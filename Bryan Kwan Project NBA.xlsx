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588d9c23500010/Desktop/utoledo/MABA/FALL 2025/OSCM6350/OSCM6350_NBA/"/>
    </mc:Choice>
  </mc:AlternateContent>
  <xr:revisionPtr revIDLastSave="208" documentId="13_ncr:1_{D0170736-0134-4F6D-9A86-76017A640727}" xr6:coauthVersionLast="47" xr6:coauthVersionMax="47" xr10:uidLastSave="{7783D584-BF28-461D-B91D-65EBC50590AF}"/>
  <bookViews>
    <workbookView xWindow="-120" yWindow="-120" windowWidth="29040" windowHeight="15720" firstSheet="2" activeTab="2" xr2:uid="{C3B4C4B5-F8CC-47C3-BAE1-B0FE58FDF2D5}"/>
  </bookViews>
  <sheets>
    <sheet name="Data_Sheet" sheetId="1" r:id="rId1"/>
    <sheet name="LP_RosterModel" sheetId="2" r:id="rId2"/>
    <sheet name="IP_RosterModel" sheetId="3" r:id="rId3"/>
    <sheet name="H_GreedyScore" sheetId="4" r:id="rId4"/>
    <sheet name="H_GreedyValue" sheetId="5" r:id="rId5"/>
    <sheet name="Simulation" sheetId="6" r:id="rId6"/>
    <sheet name="The Dream Team" sheetId="8" r:id="rId7"/>
    <sheet name="BOSTON" sheetId="7" r:id="rId8"/>
    <sheet name="DallasSim" sheetId="9" r:id="rId9"/>
    <sheet name="BostonSim" sheetId="10" r:id="rId10"/>
    <sheet name="Compare" sheetId="11" r:id="rId11"/>
  </sheets>
  <definedNames>
    <definedName name="_xlnm._FilterDatabase" localSheetId="7" hidden="1">BOSTON!$A$1:$BB$193</definedName>
    <definedName name="_xlnm._FilterDatabase" localSheetId="0" hidden="1">Data_Sheet!$A$1:$BA$468</definedName>
    <definedName name="_xlnm._FilterDatabase" localSheetId="2" hidden="1">IP_RosterModel!$A$1:$BB$193</definedName>
    <definedName name="_xlnm._FilterDatabase" localSheetId="1" hidden="1">LP_RosterModel!$A$1:$BB$193</definedName>
    <definedName name="_xlnm._FilterDatabase" localSheetId="6" hidden="1">'The Dream Team'!$A$1:$BB$193</definedName>
    <definedName name="solver_adj" localSheetId="7" hidden="1">BOSTON!$BB$2:$BB$193</definedName>
    <definedName name="solver_adj" localSheetId="2" hidden="1">IP_RosterModel!$BB$2:$BB$193</definedName>
    <definedName name="solver_adj" localSheetId="1" hidden="1">LP_RosterModel!$BB$2:$BB$193</definedName>
    <definedName name="solver_adj" localSheetId="6" hidden="1">'The Dream Team'!$BB$2:$BB$193</definedName>
    <definedName name="solver_cvg" localSheetId="7" hidden="1">0.0001</definedName>
    <definedName name="solver_cvg" localSheetId="2" hidden="1">0.0001</definedName>
    <definedName name="solver_cvg" localSheetId="1" hidden="1">0.0001</definedName>
    <definedName name="solver_cvg" localSheetId="6" hidden="1">0.0001</definedName>
    <definedName name="solver_drv" localSheetId="7" hidden="1">1</definedName>
    <definedName name="solver_drv" localSheetId="2" hidden="1">1</definedName>
    <definedName name="solver_drv" localSheetId="1" hidden="1">1</definedName>
    <definedName name="solver_drv" localSheetId="6" hidden="1">1</definedName>
    <definedName name="solver_eng" localSheetId="7" hidden="1">2</definedName>
    <definedName name="solver_eng" localSheetId="2" hidden="1">2</definedName>
    <definedName name="solver_eng" localSheetId="1" hidden="1">2</definedName>
    <definedName name="solver_eng" localSheetId="6" hidden="1">2</definedName>
    <definedName name="solver_est" localSheetId="7" hidden="1">1</definedName>
    <definedName name="solver_est" localSheetId="2" hidden="1">1</definedName>
    <definedName name="solver_est" localSheetId="1" hidden="1">1</definedName>
    <definedName name="solver_est" localSheetId="6" hidden="1">1</definedName>
    <definedName name="solver_itr" localSheetId="7" hidden="1">2147483647</definedName>
    <definedName name="solver_itr" localSheetId="2" hidden="1">2147483647</definedName>
    <definedName name="solver_itr" localSheetId="1" hidden="1">2147483647</definedName>
    <definedName name="solver_itr" localSheetId="6" hidden="1">2147483647</definedName>
    <definedName name="solver_lhs1" localSheetId="7" hidden="1">BOSTON!$BB$193</definedName>
    <definedName name="solver_lhs1" localSheetId="2" hidden="1">IP_RosterModel!$BB$193</definedName>
    <definedName name="solver_lhs1" localSheetId="1" hidden="1">LP_RosterModel!$BB$193</definedName>
    <definedName name="solver_lhs1" localSheetId="6" hidden="1">'The Dream Team'!$BB$193</definedName>
    <definedName name="solver_lhs10" localSheetId="7" hidden="1">BOSTON!$BK$2</definedName>
    <definedName name="solver_lhs10" localSheetId="2" hidden="1">IP_RosterModel!$BK$2</definedName>
    <definedName name="solver_lhs10" localSheetId="1" hidden="1">LP_RosterModel!$BJ$2</definedName>
    <definedName name="solver_lhs10" localSheetId="6" hidden="1">'The Dream Team'!$BK$2</definedName>
    <definedName name="solver_lhs11" localSheetId="1" hidden="1">LP_RosterModel!$BK$2</definedName>
    <definedName name="solver_lhs2" localSheetId="7" hidden="1">BOSTON!$BB$26</definedName>
    <definedName name="solver_lhs2" localSheetId="2" hidden="1">IP_RosterModel!$BB$26</definedName>
    <definedName name="solver_lhs2" localSheetId="1" hidden="1">LP_RosterModel!$BB$28</definedName>
    <definedName name="solver_lhs2" localSheetId="6" hidden="1">'The Dream Team'!$BB$26</definedName>
    <definedName name="solver_lhs3" localSheetId="7" hidden="1">BOSTON!$BB$2:$BB$192</definedName>
    <definedName name="solver_lhs3" localSheetId="2" hidden="1">IP_RosterModel!$BB$2:$BB$192</definedName>
    <definedName name="solver_lhs3" localSheetId="1" hidden="1">LP_RosterModel!$BB$2:$BB$192</definedName>
    <definedName name="solver_lhs3" localSheetId="6" hidden="1">'The Dream Team'!$BB$2:$BB$192</definedName>
    <definedName name="solver_lhs4" localSheetId="7" hidden="1">BOSTON!$BE$2</definedName>
    <definedName name="solver_lhs4" localSheetId="2" hidden="1">IP_RosterModel!$BE$2</definedName>
    <definedName name="solver_lhs4" localSheetId="1" hidden="1">LP_RosterModel!$BB$2:$BB$192</definedName>
    <definedName name="solver_lhs4" localSheetId="6" hidden="1">'The Dream Team'!$BE$2</definedName>
    <definedName name="solver_lhs5" localSheetId="7" hidden="1">BOSTON!$BF$2</definedName>
    <definedName name="solver_lhs5" localSheetId="2" hidden="1">IP_RosterModel!$BF$2</definedName>
    <definedName name="solver_lhs5" localSheetId="1" hidden="1">LP_RosterModel!$BE$2</definedName>
    <definedName name="solver_lhs5" localSheetId="6" hidden="1">'The Dream Team'!$BF$2</definedName>
    <definedName name="solver_lhs6" localSheetId="7" hidden="1">BOSTON!$BG$2</definedName>
    <definedName name="solver_lhs6" localSheetId="2" hidden="1">IP_RosterModel!$BG$2</definedName>
    <definedName name="solver_lhs6" localSheetId="1" hidden="1">LP_RosterModel!$BF$2</definedName>
    <definedName name="solver_lhs6" localSheetId="6" hidden="1">'The Dream Team'!$BG$2</definedName>
    <definedName name="solver_lhs7" localSheetId="7" hidden="1">BOSTON!$BH$2</definedName>
    <definedName name="solver_lhs7" localSheetId="2" hidden="1">IP_RosterModel!$BH$2</definedName>
    <definedName name="solver_lhs7" localSheetId="1" hidden="1">LP_RosterModel!$BG$2</definedName>
    <definedName name="solver_lhs7" localSheetId="6" hidden="1">'The Dream Team'!$BH$2</definedName>
    <definedName name="solver_lhs8" localSheetId="7" hidden="1">BOSTON!$BI$2</definedName>
    <definedName name="solver_lhs8" localSheetId="2" hidden="1">IP_RosterModel!$BI$2</definedName>
    <definedName name="solver_lhs8" localSheetId="1" hidden="1">LP_RosterModel!$BH$2</definedName>
    <definedName name="solver_lhs8" localSheetId="6" hidden="1">'The Dream Team'!$BI$2</definedName>
    <definedName name="solver_lhs9" localSheetId="7" hidden="1">BOSTON!$BJ$2</definedName>
    <definedName name="solver_lhs9" localSheetId="2" hidden="1">IP_RosterModel!$BJ$2</definedName>
    <definedName name="solver_lhs9" localSheetId="1" hidden="1">LP_RosterModel!$BI$2</definedName>
    <definedName name="solver_lhs9" localSheetId="6" hidden="1">'The Dream Team'!$BJ$2</definedName>
    <definedName name="solver_mip" localSheetId="7" hidden="1">2147483647</definedName>
    <definedName name="solver_mip" localSheetId="2" hidden="1">2147483647</definedName>
    <definedName name="solver_mip" localSheetId="1" hidden="1">2147483647</definedName>
    <definedName name="solver_mip" localSheetId="6" hidden="1">2147483647</definedName>
    <definedName name="solver_mni" localSheetId="7" hidden="1">30</definedName>
    <definedName name="solver_mni" localSheetId="2" hidden="1">30</definedName>
    <definedName name="solver_mni" localSheetId="1" hidden="1">30</definedName>
    <definedName name="solver_mni" localSheetId="6" hidden="1">30</definedName>
    <definedName name="solver_mrt" localSheetId="7" hidden="1">0.075</definedName>
    <definedName name="solver_mrt" localSheetId="2" hidden="1">0.075</definedName>
    <definedName name="solver_mrt" localSheetId="1" hidden="1">0.075</definedName>
    <definedName name="solver_mrt" localSheetId="6" hidden="1">0.075</definedName>
    <definedName name="solver_msl" localSheetId="7" hidden="1">2</definedName>
    <definedName name="solver_msl" localSheetId="2" hidden="1">2</definedName>
    <definedName name="solver_msl" localSheetId="1" hidden="1">2</definedName>
    <definedName name="solver_msl" localSheetId="6" hidden="1">2</definedName>
    <definedName name="solver_neg" localSheetId="7" hidden="1">1</definedName>
    <definedName name="solver_neg" localSheetId="2" hidden="1">1</definedName>
    <definedName name="solver_neg" localSheetId="1" hidden="1">1</definedName>
    <definedName name="solver_neg" localSheetId="6" hidden="1">1</definedName>
    <definedName name="solver_nod" localSheetId="7" hidden="1">2147483647</definedName>
    <definedName name="solver_nod" localSheetId="2" hidden="1">2147483647</definedName>
    <definedName name="solver_nod" localSheetId="1" hidden="1">2147483647</definedName>
    <definedName name="solver_nod" localSheetId="6" hidden="1">2147483647</definedName>
    <definedName name="solver_num" localSheetId="7" hidden="1">10</definedName>
    <definedName name="solver_num" localSheetId="2" hidden="1">10</definedName>
    <definedName name="solver_num" localSheetId="1" hidden="1">11</definedName>
    <definedName name="solver_num" localSheetId="6" hidden="1">10</definedName>
    <definedName name="solver_nwt" localSheetId="7" hidden="1">1</definedName>
    <definedName name="solver_nwt" localSheetId="2" hidden="1">1</definedName>
    <definedName name="solver_nwt" localSheetId="1" hidden="1">1</definedName>
    <definedName name="solver_nwt" localSheetId="6" hidden="1">1</definedName>
    <definedName name="solver_opt" localSheetId="7" hidden="1">BOSTON!$BD$2</definedName>
    <definedName name="solver_opt" localSheetId="2" hidden="1">IP_RosterModel!$BD$2</definedName>
    <definedName name="solver_opt" localSheetId="1" hidden="1">LP_RosterModel!$BD$2</definedName>
    <definedName name="solver_opt" localSheetId="6" hidden="1">'The Dream Team'!$BD$2</definedName>
    <definedName name="solver_pre" localSheetId="7" hidden="1">0.000001</definedName>
    <definedName name="solver_pre" localSheetId="2" hidden="1">0.000001</definedName>
    <definedName name="solver_pre" localSheetId="1" hidden="1">0.000001</definedName>
    <definedName name="solver_pre" localSheetId="6" hidden="1">0.000001</definedName>
    <definedName name="solver_rbv" localSheetId="7" hidden="1">1</definedName>
    <definedName name="solver_rbv" localSheetId="2" hidden="1">1</definedName>
    <definedName name="solver_rbv" localSheetId="1" hidden="1">1</definedName>
    <definedName name="solver_rbv" localSheetId="6" hidden="1">1</definedName>
    <definedName name="solver_rel1" localSheetId="7" hidden="1">2</definedName>
    <definedName name="solver_rel1" localSheetId="2" hidden="1">2</definedName>
    <definedName name="solver_rel1" localSheetId="1" hidden="1">2</definedName>
    <definedName name="solver_rel1" localSheetId="6" hidden="1">2</definedName>
    <definedName name="solver_rel10" localSheetId="7" hidden="1">3</definedName>
    <definedName name="solver_rel10" localSheetId="2" hidden="1">3</definedName>
    <definedName name="solver_rel10" localSheetId="1" hidden="1">3</definedName>
    <definedName name="solver_rel10" localSheetId="6" hidden="1">3</definedName>
    <definedName name="solver_rel11" localSheetId="1" hidden="1">3</definedName>
    <definedName name="solver_rel2" localSheetId="7" hidden="1">2</definedName>
    <definedName name="solver_rel2" localSheetId="2" hidden="1">2</definedName>
    <definedName name="solver_rel2" localSheetId="1" hidden="1">2</definedName>
    <definedName name="solver_rel2" localSheetId="6" hidden="1">2</definedName>
    <definedName name="solver_rel3" localSheetId="7" hidden="1">5</definedName>
    <definedName name="solver_rel3" localSheetId="2" hidden="1">5</definedName>
    <definedName name="solver_rel3" localSheetId="1" hidden="1">1</definedName>
    <definedName name="solver_rel3" localSheetId="6" hidden="1">5</definedName>
    <definedName name="solver_rel4" localSheetId="7" hidden="1">1</definedName>
    <definedName name="solver_rel4" localSheetId="2" hidden="1">1</definedName>
    <definedName name="solver_rel4" localSheetId="1" hidden="1">3</definedName>
    <definedName name="solver_rel4" localSheetId="6" hidden="1">1</definedName>
    <definedName name="solver_rel5" localSheetId="7" hidden="1">2</definedName>
    <definedName name="solver_rel5" localSheetId="2" hidden="1">2</definedName>
    <definedName name="solver_rel5" localSheetId="1" hidden="1">1</definedName>
    <definedName name="solver_rel5" localSheetId="6" hidden="1">2</definedName>
    <definedName name="solver_rel6" localSheetId="7" hidden="1">3</definedName>
    <definedName name="solver_rel6" localSheetId="2" hidden="1">3</definedName>
    <definedName name="solver_rel6" localSheetId="1" hidden="1">2</definedName>
    <definedName name="solver_rel6" localSheetId="6" hidden="1">3</definedName>
    <definedName name="solver_rel7" localSheetId="7" hidden="1">3</definedName>
    <definedName name="solver_rel7" localSheetId="2" hidden="1">3</definedName>
    <definedName name="solver_rel7" localSheetId="1" hidden="1">3</definedName>
    <definedName name="solver_rel7" localSheetId="6" hidden="1">3</definedName>
    <definedName name="solver_rel8" localSheetId="7" hidden="1">3</definedName>
    <definedName name="solver_rel8" localSheetId="2" hidden="1">3</definedName>
    <definedName name="solver_rel8" localSheetId="1" hidden="1">3</definedName>
    <definedName name="solver_rel8" localSheetId="6" hidden="1">3</definedName>
    <definedName name="solver_rel9" localSheetId="7" hidden="1">3</definedName>
    <definedName name="solver_rel9" localSheetId="2" hidden="1">3</definedName>
    <definedName name="solver_rel9" localSheetId="1" hidden="1">3</definedName>
    <definedName name="solver_rel9" localSheetId="6" hidden="1">3</definedName>
    <definedName name="solver_rhs1" localSheetId="7" hidden="1">1</definedName>
    <definedName name="solver_rhs1" localSheetId="2" hidden="1">1</definedName>
    <definedName name="solver_rhs1" localSheetId="1" hidden="1">1</definedName>
    <definedName name="solver_rhs1" localSheetId="6" hidden="1">1</definedName>
    <definedName name="solver_rhs10" localSheetId="7" hidden="1">2</definedName>
    <definedName name="solver_rhs10" localSheetId="2" hidden="1">2</definedName>
    <definedName name="solver_rhs10" localSheetId="1" hidden="1">2</definedName>
    <definedName name="solver_rhs10" localSheetId="6" hidden="1">2</definedName>
    <definedName name="solver_rhs11" localSheetId="1" hidden="1">2</definedName>
    <definedName name="solver_rhs2" localSheetId="7" hidden="1">1</definedName>
    <definedName name="solver_rhs2" localSheetId="2" hidden="1">1</definedName>
    <definedName name="solver_rhs2" localSheetId="1" hidden="1">1</definedName>
    <definedName name="solver_rhs2" localSheetId="6" hidden="1">1</definedName>
    <definedName name="solver_rhs3" localSheetId="7" hidden="1">"binary"</definedName>
    <definedName name="solver_rhs3" localSheetId="2" hidden="1">"binary"</definedName>
    <definedName name="solver_rhs3" localSheetId="1" hidden="1">1</definedName>
    <definedName name="solver_rhs3" localSheetId="6" hidden="1">"binary"</definedName>
    <definedName name="solver_rhs4" localSheetId="7" hidden="1">BOSTON!$BL$2</definedName>
    <definedName name="solver_rhs4" localSheetId="2" hidden="1">IP_RosterModel!$BL$2</definedName>
    <definedName name="solver_rhs4" localSheetId="1" hidden="1">0</definedName>
    <definedName name="solver_rhs4" localSheetId="6" hidden="1">'The Dream Team'!$BL$2</definedName>
    <definedName name="solver_rhs5" localSheetId="7" hidden="1">BOSTON!$BM$2</definedName>
    <definedName name="solver_rhs5" localSheetId="2" hidden="1">IP_RosterModel!$BM$2</definedName>
    <definedName name="solver_rhs5" localSheetId="1" hidden="1">LP_RosterModel!$BL$2</definedName>
    <definedName name="solver_rhs5" localSheetId="6" hidden="1">'The Dream Team'!$BM$2</definedName>
    <definedName name="solver_rhs6" localSheetId="7" hidden="1">1</definedName>
    <definedName name="solver_rhs6" localSheetId="2" hidden="1">1</definedName>
    <definedName name="solver_rhs6" localSheetId="1" hidden="1">LP_RosterModel!$BM$2</definedName>
    <definedName name="solver_rhs6" localSheetId="6" hidden="1">1</definedName>
    <definedName name="solver_rhs7" localSheetId="7" hidden="1">2</definedName>
    <definedName name="solver_rhs7" localSheetId="2" hidden="1">2</definedName>
    <definedName name="solver_rhs7" localSheetId="1" hidden="1">1</definedName>
    <definedName name="solver_rhs7" localSheetId="6" hidden="1">2</definedName>
    <definedName name="solver_rhs8" localSheetId="7" hidden="1">2</definedName>
    <definedName name="solver_rhs8" localSheetId="2" hidden="1">2</definedName>
    <definedName name="solver_rhs8" localSheetId="1" hidden="1">2</definedName>
    <definedName name="solver_rhs8" localSheetId="6" hidden="1">2</definedName>
    <definedName name="solver_rhs9" localSheetId="7" hidden="1">2</definedName>
    <definedName name="solver_rhs9" localSheetId="2" hidden="1">2</definedName>
    <definedName name="solver_rhs9" localSheetId="1" hidden="1">2</definedName>
    <definedName name="solver_rhs9" localSheetId="6" hidden="1">2</definedName>
    <definedName name="solver_rlx" localSheetId="7" hidden="1">2</definedName>
    <definedName name="solver_rlx" localSheetId="2" hidden="1">2</definedName>
    <definedName name="solver_rlx" localSheetId="1" hidden="1">2</definedName>
    <definedName name="solver_rlx" localSheetId="6" hidden="1">2</definedName>
    <definedName name="solver_rsd" localSheetId="7" hidden="1">0</definedName>
    <definedName name="solver_rsd" localSheetId="2" hidden="1">0</definedName>
    <definedName name="solver_rsd" localSheetId="1" hidden="1">0</definedName>
    <definedName name="solver_rsd" localSheetId="6" hidden="1">0</definedName>
    <definedName name="solver_scl" localSheetId="7" hidden="1">1</definedName>
    <definedName name="solver_scl" localSheetId="2" hidden="1">1</definedName>
    <definedName name="solver_scl" localSheetId="1" hidden="1">1</definedName>
    <definedName name="solver_scl" localSheetId="6" hidden="1">1</definedName>
    <definedName name="solver_sho" localSheetId="7" hidden="1">2</definedName>
    <definedName name="solver_sho" localSheetId="2" hidden="1">2</definedName>
    <definedName name="solver_sho" localSheetId="1" hidden="1">2</definedName>
    <definedName name="solver_sho" localSheetId="6" hidden="1">2</definedName>
    <definedName name="solver_ssz" localSheetId="7" hidden="1">100</definedName>
    <definedName name="solver_ssz" localSheetId="2" hidden="1">100</definedName>
    <definedName name="solver_ssz" localSheetId="1" hidden="1">100</definedName>
    <definedName name="solver_ssz" localSheetId="6" hidden="1">100</definedName>
    <definedName name="solver_tim" localSheetId="7" hidden="1">2147483647</definedName>
    <definedName name="solver_tim" localSheetId="2" hidden="1">2147483647</definedName>
    <definedName name="solver_tim" localSheetId="1" hidden="1">2147483647</definedName>
    <definedName name="solver_tim" localSheetId="6" hidden="1">2147483647</definedName>
    <definedName name="solver_tol" localSheetId="7" hidden="1">0.01</definedName>
    <definedName name="solver_tol" localSheetId="2" hidden="1">0.01</definedName>
    <definedName name="solver_tol" localSheetId="1" hidden="1">0.01</definedName>
    <definedName name="solver_tol" localSheetId="6" hidden="1">0.01</definedName>
    <definedName name="solver_typ" localSheetId="7" hidden="1">1</definedName>
    <definedName name="solver_typ" localSheetId="2" hidden="1">1</definedName>
    <definedName name="solver_typ" localSheetId="1" hidden="1">1</definedName>
    <definedName name="solver_typ" localSheetId="6" hidden="1">1</definedName>
    <definedName name="solver_val" localSheetId="7" hidden="1">0</definedName>
    <definedName name="solver_val" localSheetId="2" hidden="1">0</definedName>
    <definedName name="solver_val" localSheetId="1" hidden="1">0</definedName>
    <definedName name="solver_val" localSheetId="6" hidden="1">0</definedName>
    <definedName name="solver_ver" localSheetId="7" hidden="1">3</definedName>
    <definedName name="solver_ver" localSheetId="2" hidden="1">3</definedName>
    <definedName name="solver_ver" localSheetId="1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3" i="11"/>
  <c r="D994" i="11" l="1"/>
  <c r="D978" i="11"/>
  <c r="D962" i="11"/>
  <c r="D946" i="11"/>
  <c r="D930" i="11"/>
  <c r="D914" i="11"/>
  <c r="D898" i="11"/>
  <c r="D882" i="11"/>
  <c r="D866" i="11"/>
  <c r="D850" i="11"/>
  <c r="D834" i="11"/>
  <c r="D818" i="11"/>
  <c r="D802" i="11"/>
  <c r="D786" i="11"/>
  <c r="D770" i="11"/>
  <c r="D754" i="11"/>
  <c r="D738" i="11"/>
  <c r="D722" i="11"/>
  <c r="D706" i="11"/>
  <c r="D690" i="11"/>
  <c r="D674" i="11"/>
  <c r="D658" i="11"/>
  <c r="D642" i="11"/>
  <c r="D626" i="11"/>
  <c r="D610" i="11"/>
  <c r="D594" i="11"/>
  <c r="D578" i="11"/>
  <c r="D562" i="11"/>
  <c r="D546" i="11"/>
  <c r="D530" i="11"/>
  <c r="D514" i="11"/>
  <c r="D498" i="11"/>
  <c r="D482" i="11"/>
  <c r="D466" i="11"/>
  <c r="D450" i="11"/>
  <c r="D434" i="11"/>
  <c r="D418" i="11"/>
  <c r="D402" i="11"/>
  <c r="D386" i="11"/>
  <c r="D370" i="11"/>
  <c r="D354" i="11"/>
  <c r="D338" i="11"/>
  <c r="D322" i="11"/>
  <c r="D306" i="11"/>
  <c r="D290" i="11"/>
  <c r="D274" i="11"/>
  <c r="D258" i="11"/>
  <c r="D242" i="11"/>
  <c r="D226" i="11"/>
  <c r="D210" i="11"/>
  <c r="D194" i="11"/>
  <c r="D178" i="11"/>
  <c r="D162" i="11"/>
  <c r="D146" i="11"/>
  <c r="D130" i="11"/>
  <c r="D114" i="11"/>
  <c r="D98" i="11"/>
  <c r="D82" i="11"/>
  <c r="D66" i="11"/>
  <c r="D50" i="11"/>
  <c r="D34" i="11"/>
  <c r="D18" i="11"/>
  <c r="D993" i="11"/>
  <c r="D977" i="11"/>
  <c r="D961" i="11"/>
  <c r="D945" i="11"/>
  <c r="D929" i="11"/>
  <c r="D913" i="11"/>
  <c r="D897" i="11"/>
  <c r="D881" i="11"/>
  <c r="D865" i="11"/>
  <c r="D849" i="11"/>
  <c r="D833" i="11"/>
  <c r="D817" i="11"/>
  <c r="D801" i="11"/>
  <c r="D785" i="11"/>
  <c r="D769" i="11"/>
  <c r="D753" i="11"/>
  <c r="D737" i="11"/>
  <c r="D721" i="11"/>
  <c r="D705" i="11"/>
  <c r="D689" i="11"/>
  <c r="D673" i="11"/>
  <c r="D657" i="11"/>
  <c r="D641" i="11"/>
  <c r="D625" i="11"/>
  <c r="D609" i="11"/>
  <c r="D593" i="11"/>
  <c r="D577" i="11"/>
  <c r="D561" i="11"/>
  <c r="D545" i="11"/>
  <c r="D529" i="11"/>
  <c r="D513" i="11"/>
  <c r="D497" i="11"/>
  <c r="D481" i="11"/>
  <c r="D465" i="11"/>
  <c r="D449" i="11"/>
  <c r="D433" i="11"/>
  <c r="D417" i="11"/>
  <c r="D401" i="11"/>
  <c r="D385" i="11"/>
  <c r="D369" i="11"/>
  <c r="D353" i="11"/>
  <c r="D337" i="11"/>
  <c r="D321" i="11"/>
  <c r="D305" i="11"/>
  <c r="D289" i="11"/>
  <c r="D273" i="11"/>
  <c r="D257" i="11"/>
  <c r="D241" i="11"/>
  <c r="D225" i="11"/>
  <c r="D209" i="11"/>
  <c r="D193" i="11"/>
  <c r="D177" i="11"/>
  <c r="D161" i="11"/>
  <c r="D145" i="11"/>
  <c r="D129" i="11"/>
  <c r="D113" i="11"/>
  <c r="D97" i="11"/>
  <c r="D81" i="11"/>
  <c r="D65" i="11"/>
  <c r="D49" i="11"/>
  <c r="D33" i="11"/>
  <c r="D17" i="11"/>
  <c r="D992" i="11"/>
  <c r="D976" i="11"/>
  <c r="D960" i="11"/>
  <c r="D944" i="11"/>
  <c r="D928" i="11"/>
  <c r="D912" i="11"/>
  <c r="D896" i="11"/>
  <c r="D880" i="11"/>
  <c r="D864" i="11"/>
  <c r="D848" i="11"/>
  <c r="D832" i="11"/>
  <c r="D816" i="11"/>
  <c r="D800" i="11"/>
  <c r="D784" i="11"/>
  <c r="D768" i="11"/>
  <c r="D752" i="11"/>
  <c r="D736" i="11"/>
  <c r="D720" i="11"/>
  <c r="D704" i="11"/>
  <c r="D688" i="11"/>
  <c r="D672" i="11"/>
  <c r="D656" i="11"/>
  <c r="D640" i="11"/>
  <c r="D624" i="11"/>
  <c r="D608" i="11"/>
  <c r="D592" i="11"/>
  <c r="D576" i="11"/>
  <c r="D560" i="11"/>
  <c r="D544" i="11"/>
  <c r="D528" i="11"/>
  <c r="D512" i="11"/>
  <c r="D496" i="11"/>
  <c r="D480" i="11"/>
  <c r="D464" i="11"/>
  <c r="D448" i="11"/>
  <c r="D432" i="11"/>
  <c r="D416" i="11"/>
  <c r="D400" i="11"/>
  <c r="D384" i="11"/>
  <c r="D368" i="11"/>
  <c r="D352" i="11"/>
  <c r="D336" i="11"/>
  <c r="D320" i="11"/>
  <c r="D304" i="11"/>
  <c r="D288" i="11"/>
  <c r="D272" i="11"/>
  <c r="D256" i="11"/>
  <c r="D240" i="11"/>
  <c r="D224" i="11"/>
  <c r="D208" i="11"/>
  <c r="D192" i="11"/>
  <c r="D176" i="11"/>
  <c r="D160" i="11"/>
  <c r="D144" i="11"/>
  <c r="D128" i="11"/>
  <c r="D112" i="11"/>
  <c r="D96" i="11"/>
  <c r="D80" i="11"/>
  <c r="D64" i="11"/>
  <c r="D48" i="11"/>
  <c r="D32" i="11"/>
  <c r="D16" i="11"/>
  <c r="D991" i="11"/>
  <c r="D975" i="11"/>
  <c r="D959" i="11"/>
  <c r="D943" i="11"/>
  <c r="D927" i="11"/>
  <c r="D911" i="11"/>
  <c r="D895" i="11"/>
  <c r="D879" i="11"/>
  <c r="D863" i="11"/>
  <c r="D847" i="11"/>
  <c r="D831" i="11"/>
  <c r="D815" i="11"/>
  <c r="D799" i="11"/>
  <c r="D783" i="11"/>
  <c r="D767" i="11"/>
  <c r="D751" i="11"/>
  <c r="D735" i="11"/>
  <c r="D719" i="11"/>
  <c r="D703" i="11"/>
  <c r="D687" i="11"/>
  <c r="D671" i="11"/>
  <c r="D655" i="11"/>
  <c r="D639" i="11"/>
  <c r="D623" i="11"/>
  <c r="D607" i="11"/>
  <c r="D591" i="11"/>
  <c r="D575" i="11"/>
  <c r="D559" i="11"/>
  <c r="D543" i="11"/>
  <c r="D527" i="11"/>
  <c r="D511" i="11"/>
  <c r="D495" i="11"/>
  <c r="D479" i="11"/>
  <c r="D463" i="11"/>
  <c r="D447" i="11"/>
  <c r="D431" i="11"/>
  <c r="D415" i="11"/>
  <c r="D399" i="11"/>
  <c r="D383" i="11"/>
  <c r="D367" i="11"/>
  <c r="D351" i="11"/>
  <c r="D335" i="11"/>
  <c r="D319" i="11"/>
  <c r="D303" i="11"/>
  <c r="D287" i="11"/>
  <c r="D271" i="11"/>
  <c r="D255" i="11"/>
  <c r="D239" i="11"/>
  <c r="D223" i="11"/>
  <c r="D207" i="11"/>
  <c r="D191" i="11"/>
  <c r="D175" i="11"/>
  <c r="D159" i="11"/>
  <c r="D143" i="11"/>
  <c r="D127" i="11"/>
  <c r="D111" i="11"/>
  <c r="D95" i="11"/>
  <c r="D79" i="11"/>
  <c r="D63" i="11"/>
  <c r="D47" i="11"/>
  <c r="D31" i="11"/>
  <c r="D15" i="11"/>
  <c r="D990" i="11"/>
  <c r="D974" i="11"/>
  <c r="D958" i="11"/>
  <c r="D942" i="11"/>
  <c r="D926" i="11"/>
  <c r="D910" i="11"/>
  <c r="D894" i="11"/>
  <c r="D878" i="11"/>
  <c r="D862" i="11"/>
  <c r="D846" i="11"/>
  <c r="D830" i="11"/>
  <c r="D814" i="11"/>
  <c r="D798" i="11"/>
  <c r="D782" i="11"/>
  <c r="D766" i="11"/>
  <c r="D750" i="11"/>
  <c r="D734" i="11"/>
  <c r="D718" i="11"/>
  <c r="D702" i="11"/>
  <c r="D686" i="11"/>
  <c r="D670" i="11"/>
  <c r="D654" i="11"/>
  <c r="D638" i="11"/>
  <c r="D622" i="11"/>
  <c r="D606" i="11"/>
  <c r="D590" i="11"/>
  <c r="D574" i="11"/>
  <c r="D558" i="11"/>
  <c r="D542" i="11"/>
  <c r="D526" i="11"/>
  <c r="D510" i="11"/>
  <c r="D494" i="11"/>
  <c r="D478" i="11"/>
  <c r="D462" i="11"/>
  <c r="D446" i="11"/>
  <c r="D430" i="11"/>
  <c r="D414" i="11"/>
  <c r="D398" i="11"/>
  <c r="D382" i="11"/>
  <c r="D366" i="11"/>
  <c r="D350" i="11"/>
  <c r="D334" i="11"/>
  <c r="D318" i="11"/>
  <c r="D302" i="11"/>
  <c r="D286" i="11"/>
  <c r="D270" i="11"/>
  <c r="D254" i="11"/>
  <c r="D238" i="11"/>
  <c r="D222" i="11"/>
  <c r="D206" i="11"/>
  <c r="D190" i="11"/>
  <c r="D174" i="11"/>
  <c r="D158" i="11"/>
  <c r="D142" i="11"/>
  <c r="D126" i="11"/>
  <c r="D110" i="11"/>
  <c r="D94" i="11"/>
  <c r="D78" i="11"/>
  <c r="D62" i="11"/>
  <c r="D46" i="11"/>
  <c r="D30" i="11"/>
  <c r="D14" i="11"/>
  <c r="D989" i="11"/>
  <c r="D973" i="11"/>
  <c r="D957" i="11"/>
  <c r="D941" i="11"/>
  <c r="D925" i="11"/>
  <c r="D909" i="11"/>
  <c r="D893" i="11"/>
  <c r="D877" i="11"/>
  <c r="D861" i="11"/>
  <c r="D845" i="11"/>
  <c r="D829" i="11"/>
  <c r="D813" i="11"/>
  <c r="D797" i="11"/>
  <c r="D781" i="11"/>
  <c r="D765" i="11"/>
  <c r="D749" i="11"/>
  <c r="D733" i="11"/>
  <c r="D717" i="11"/>
  <c r="D701" i="11"/>
  <c r="D685" i="11"/>
  <c r="D669" i="11"/>
  <c r="D653" i="11"/>
  <c r="D637" i="11"/>
  <c r="D621" i="11"/>
  <c r="D605" i="11"/>
  <c r="D589" i="11"/>
  <c r="D573" i="11"/>
  <c r="D557" i="11"/>
  <c r="D541" i="11"/>
  <c r="D525" i="11"/>
  <c r="D509" i="11"/>
  <c r="D493" i="11"/>
  <c r="D477" i="11"/>
  <c r="D461" i="11"/>
  <c r="D445" i="11"/>
  <c r="D429" i="11"/>
  <c r="D413" i="11"/>
  <c r="D397" i="11"/>
  <c r="D381" i="11"/>
  <c r="D365" i="11"/>
  <c r="D349" i="11"/>
  <c r="D333" i="11"/>
  <c r="D317" i="11"/>
  <c r="D301" i="11"/>
  <c r="D285" i="11"/>
  <c r="D269" i="11"/>
  <c r="D253" i="11"/>
  <c r="D237" i="11"/>
  <c r="D221" i="11"/>
  <c r="D205" i="11"/>
  <c r="D189" i="11"/>
  <c r="D173" i="11"/>
  <c r="D157" i="11"/>
  <c r="D141" i="11"/>
  <c r="D125" i="11"/>
  <c r="D109" i="11"/>
  <c r="D93" i="11"/>
  <c r="D77" i="11"/>
  <c r="D61" i="11"/>
  <c r="D45" i="11"/>
  <c r="D29" i="11"/>
  <c r="D13" i="11"/>
  <c r="D988" i="11"/>
  <c r="D972" i="11"/>
  <c r="D956" i="11"/>
  <c r="D940" i="11"/>
  <c r="D924" i="11"/>
  <c r="D908" i="11"/>
  <c r="D892" i="11"/>
  <c r="D876" i="11"/>
  <c r="D860" i="11"/>
  <c r="D844" i="11"/>
  <c r="D828" i="11"/>
  <c r="D812" i="11"/>
  <c r="D796" i="11"/>
  <c r="D780" i="11"/>
  <c r="D764" i="11"/>
  <c r="D748" i="11"/>
  <c r="D732" i="11"/>
  <c r="D716" i="11"/>
  <c r="D700" i="11"/>
  <c r="D684" i="11"/>
  <c r="D668" i="11"/>
  <c r="D652" i="11"/>
  <c r="D636" i="11"/>
  <c r="D620" i="11"/>
  <c r="D604" i="11"/>
  <c r="D588" i="11"/>
  <c r="D572" i="11"/>
  <c r="D556" i="11"/>
  <c r="D540" i="11"/>
  <c r="D524" i="11"/>
  <c r="D508" i="11"/>
  <c r="D492" i="11"/>
  <c r="D476" i="11"/>
  <c r="D460" i="11"/>
  <c r="D444" i="11"/>
  <c r="D428" i="11"/>
  <c r="D412" i="11"/>
  <c r="D396" i="11"/>
  <c r="D380" i="11"/>
  <c r="D364" i="11"/>
  <c r="D348" i="11"/>
  <c r="D332" i="11"/>
  <c r="D316" i="11"/>
  <c r="D300" i="11"/>
  <c r="D284" i="11"/>
  <c r="D268" i="11"/>
  <c r="D252" i="11"/>
  <c r="D236" i="11"/>
  <c r="D220" i="11"/>
  <c r="D204" i="11"/>
  <c r="D188" i="11"/>
  <c r="D172" i="11"/>
  <c r="D156" i="11"/>
  <c r="D140" i="11"/>
  <c r="D124" i="11"/>
  <c r="D108" i="11"/>
  <c r="D92" i="11"/>
  <c r="D76" i="11"/>
  <c r="D60" i="11"/>
  <c r="D44" i="11"/>
  <c r="D28" i="11"/>
  <c r="D12" i="11"/>
  <c r="D987" i="11"/>
  <c r="D971" i="11"/>
  <c r="D955" i="11"/>
  <c r="D939" i="11"/>
  <c r="D923" i="11"/>
  <c r="D907" i="11"/>
  <c r="D891" i="11"/>
  <c r="D875" i="11"/>
  <c r="D859" i="11"/>
  <c r="D843" i="11"/>
  <c r="D827" i="11"/>
  <c r="D811" i="11"/>
  <c r="D795" i="11"/>
  <c r="D779" i="11"/>
  <c r="D763" i="11"/>
  <c r="D747" i="11"/>
  <c r="D731" i="11"/>
  <c r="D715" i="11"/>
  <c r="D699" i="11"/>
  <c r="D683" i="11"/>
  <c r="D667" i="11"/>
  <c r="D651" i="11"/>
  <c r="D635" i="11"/>
  <c r="D619" i="11"/>
  <c r="D603" i="11"/>
  <c r="D587" i="11"/>
  <c r="D571" i="11"/>
  <c r="D555" i="11"/>
  <c r="D539" i="11"/>
  <c r="D523" i="11"/>
  <c r="D507" i="11"/>
  <c r="D491" i="11"/>
  <c r="D475" i="11"/>
  <c r="D459" i="11"/>
  <c r="D443" i="11"/>
  <c r="D427" i="11"/>
  <c r="D411" i="11"/>
  <c r="D395" i="11"/>
  <c r="D379" i="11"/>
  <c r="D363" i="11"/>
  <c r="D347" i="11"/>
  <c r="D331" i="11"/>
  <c r="D315" i="11"/>
  <c r="D299" i="11"/>
  <c r="D283" i="11"/>
  <c r="D267" i="11"/>
  <c r="D251" i="11"/>
  <c r="D235" i="11"/>
  <c r="D219" i="11"/>
  <c r="D203" i="11"/>
  <c r="D187" i="11"/>
  <c r="D171" i="11"/>
  <c r="D155" i="11"/>
  <c r="D139" i="11"/>
  <c r="D123" i="11"/>
  <c r="D107" i="11"/>
  <c r="D91" i="11"/>
  <c r="D75" i="11"/>
  <c r="D59" i="11"/>
  <c r="D43" i="11"/>
  <c r="D27" i="11"/>
  <c r="D11" i="11"/>
  <c r="D986" i="11"/>
  <c r="D970" i="11"/>
  <c r="D954" i="11"/>
  <c r="D938" i="11"/>
  <c r="D922" i="11"/>
  <c r="D906" i="11"/>
  <c r="D890" i="11"/>
  <c r="D874" i="11"/>
  <c r="D858" i="11"/>
  <c r="D842" i="11"/>
  <c r="D826" i="11"/>
  <c r="D810" i="11"/>
  <c r="D794" i="11"/>
  <c r="D778" i="11"/>
  <c r="D762" i="11"/>
  <c r="D746" i="11"/>
  <c r="D730" i="11"/>
  <c r="D714" i="11"/>
  <c r="D698" i="11"/>
  <c r="D682" i="11"/>
  <c r="D666" i="11"/>
  <c r="D650" i="11"/>
  <c r="D634" i="11"/>
  <c r="D618" i="11"/>
  <c r="D602" i="11"/>
  <c r="D586" i="11"/>
  <c r="D570" i="11"/>
  <c r="D554" i="11"/>
  <c r="D538" i="11"/>
  <c r="D522" i="11"/>
  <c r="D506" i="11"/>
  <c r="D490" i="11"/>
  <c r="D474" i="11"/>
  <c r="D458" i="11"/>
  <c r="D442" i="11"/>
  <c r="D426" i="11"/>
  <c r="D410" i="11"/>
  <c r="D394" i="11"/>
  <c r="D378" i="11"/>
  <c r="D362" i="11"/>
  <c r="D346" i="11"/>
  <c r="D330" i="11"/>
  <c r="D314" i="11"/>
  <c r="D298" i="11"/>
  <c r="D282" i="11"/>
  <c r="D266" i="11"/>
  <c r="D250" i="11"/>
  <c r="D234" i="11"/>
  <c r="D218" i="11"/>
  <c r="D202" i="11"/>
  <c r="D186" i="11"/>
  <c r="D170" i="11"/>
  <c r="D154" i="11"/>
  <c r="D138" i="11"/>
  <c r="D122" i="11"/>
  <c r="D106" i="11"/>
  <c r="D90" i="11"/>
  <c r="D74" i="11"/>
  <c r="D58" i="11"/>
  <c r="D42" i="11"/>
  <c r="D26" i="11"/>
  <c r="D10" i="11"/>
  <c r="D1001" i="11"/>
  <c r="D985" i="11"/>
  <c r="D969" i="11"/>
  <c r="D953" i="11"/>
  <c r="D937" i="11"/>
  <c r="D921" i="11"/>
  <c r="D905" i="11"/>
  <c r="D889" i="11"/>
  <c r="D873" i="11"/>
  <c r="D857" i="11"/>
  <c r="D841" i="11"/>
  <c r="D825" i="11"/>
  <c r="D809" i="11"/>
  <c r="D793" i="11"/>
  <c r="D777" i="11"/>
  <c r="D761" i="11"/>
  <c r="D745" i="11"/>
  <c r="D729" i="11"/>
  <c r="D713" i="11"/>
  <c r="D697" i="11"/>
  <c r="D681" i="11"/>
  <c r="D665" i="11"/>
  <c r="D649" i="11"/>
  <c r="D633" i="11"/>
  <c r="D617" i="11"/>
  <c r="D601" i="11"/>
  <c r="D585" i="11"/>
  <c r="D569" i="11"/>
  <c r="D553" i="11"/>
  <c r="D537" i="11"/>
  <c r="D521" i="11"/>
  <c r="D505" i="11"/>
  <c r="D489" i="11"/>
  <c r="D473" i="11"/>
  <c r="D457" i="11"/>
  <c r="D441" i="11"/>
  <c r="D425" i="11"/>
  <c r="D409" i="11"/>
  <c r="D393" i="11"/>
  <c r="D377" i="11"/>
  <c r="D361" i="11"/>
  <c r="D345" i="11"/>
  <c r="D329" i="11"/>
  <c r="D313" i="11"/>
  <c r="D297" i="11"/>
  <c r="D281" i="11"/>
  <c r="D265" i="11"/>
  <c r="D249" i="11"/>
  <c r="D233" i="11"/>
  <c r="D217" i="11"/>
  <c r="D201" i="11"/>
  <c r="D185" i="11"/>
  <c r="D169" i="11"/>
  <c r="D153" i="11"/>
  <c r="D137" i="11"/>
  <c r="D121" i="11"/>
  <c r="D105" i="11"/>
  <c r="D89" i="11"/>
  <c r="D73" i="11"/>
  <c r="D57" i="11"/>
  <c r="D41" i="11"/>
  <c r="D25" i="11"/>
  <c r="D9" i="11"/>
  <c r="D1000" i="11"/>
  <c r="D984" i="11"/>
  <c r="D968" i="11"/>
  <c r="D952" i="11"/>
  <c r="D936" i="11"/>
  <c r="D920" i="11"/>
  <c r="D904" i="11"/>
  <c r="D888" i="11"/>
  <c r="D872" i="11"/>
  <c r="D856" i="11"/>
  <c r="D840" i="11"/>
  <c r="D824" i="11"/>
  <c r="D808" i="11"/>
  <c r="D792" i="11"/>
  <c r="D776" i="11"/>
  <c r="D760" i="11"/>
  <c r="D744" i="11"/>
  <c r="D728" i="11"/>
  <c r="D712" i="11"/>
  <c r="D696" i="11"/>
  <c r="D680" i="11"/>
  <c r="D664" i="11"/>
  <c r="D648" i="11"/>
  <c r="D632" i="11"/>
  <c r="D616" i="11"/>
  <c r="D600" i="11"/>
  <c r="D584" i="11"/>
  <c r="D568" i="11"/>
  <c r="D552" i="11"/>
  <c r="D536" i="11"/>
  <c r="D520" i="11"/>
  <c r="D504" i="11"/>
  <c r="D488" i="11"/>
  <c r="D472" i="11"/>
  <c r="D456" i="11"/>
  <c r="D440" i="11"/>
  <c r="D424" i="11"/>
  <c r="D408" i="11"/>
  <c r="D392" i="11"/>
  <c r="D376" i="11"/>
  <c r="D360" i="11"/>
  <c r="D344" i="11"/>
  <c r="D328" i="11"/>
  <c r="D312" i="11"/>
  <c r="D296" i="11"/>
  <c r="D280" i="11"/>
  <c r="D264" i="11"/>
  <c r="D248" i="11"/>
  <c r="D232" i="11"/>
  <c r="D216" i="11"/>
  <c r="D200" i="11"/>
  <c r="D184" i="11"/>
  <c r="D168" i="11"/>
  <c r="D152" i="11"/>
  <c r="D136" i="11"/>
  <c r="D120" i="11"/>
  <c r="D104" i="11"/>
  <c r="D88" i="11"/>
  <c r="D72" i="11"/>
  <c r="D56" i="11"/>
  <c r="D40" i="11"/>
  <c r="D24" i="11"/>
  <c r="D8" i="11"/>
  <c r="D999" i="11"/>
  <c r="D983" i="11"/>
  <c r="D967" i="11"/>
  <c r="D951" i="11"/>
  <c r="D935" i="11"/>
  <c r="D919" i="11"/>
  <c r="D903" i="11"/>
  <c r="D887" i="11"/>
  <c r="D871" i="11"/>
  <c r="D855" i="11"/>
  <c r="D839" i="11"/>
  <c r="D823" i="11"/>
  <c r="D807" i="11"/>
  <c r="D791" i="11"/>
  <c r="D775" i="11"/>
  <c r="D759" i="11"/>
  <c r="D743" i="11"/>
  <c r="D727" i="11"/>
  <c r="D711" i="11"/>
  <c r="D695" i="11"/>
  <c r="D679" i="11"/>
  <c r="D663" i="11"/>
  <c r="D647" i="11"/>
  <c r="D631" i="11"/>
  <c r="D615" i="11"/>
  <c r="D599" i="11"/>
  <c r="D583" i="11"/>
  <c r="D567" i="11"/>
  <c r="D551" i="11"/>
  <c r="D535" i="11"/>
  <c r="D519" i="11"/>
  <c r="D503" i="11"/>
  <c r="D487" i="11"/>
  <c r="D471" i="11"/>
  <c r="D455" i="11"/>
  <c r="D439" i="11"/>
  <c r="D423" i="11"/>
  <c r="D407" i="11"/>
  <c r="D391" i="11"/>
  <c r="D375" i="11"/>
  <c r="D359" i="11"/>
  <c r="D343" i="11"/>
  <c r="D327" i="11"/>
  <c r="D311" i="11"/>
  <c r="D295" i="11"/>
  <c r="D279" i="11"/>
  <c r="D263" i="11"/>
  <c r="D247" i="11"/>
  <c r="D231" i="11"/>
  <c r="D215" i="11"/>
  <c r="D199" i="11"/>
  <c r="D183" i="11"/>
  <c r="D167" i="11"/>
  <c r="D151" i="11"/>
  <c r="D135" i="11"/>
  <c r="D119" i="11"/>
  <c r="D103" i="11"/>
  <c r="D87" i="11"/>
  <c r="D71" i="11"/>
  <c r="D55" i="11"/>
  <c r="D39" i="11"/>
  <c r="D23" i="11"/>
  <c r="D7" i="11"/>
  <c r="D998" i="11"/>
  <c r="D982" i="11"/>
  <c r="D966" i="11"/>
  <c r="D950" i="11"/>
  <c r="D934" i="11"/>
  <c r="D918" i="11"/>
  <c r="D902" i="11"/>
  <c r="D886" i="11"/>
  <c r="D870" i="11"/>
  <c r="D854" i="11"/>
  <c r="D838" i="11"/>
  <c r="D822" i="11"/>
  <c r="D806" i="11"/>
  <c r="D790" i="11"/>
  <c r="D774" i="11"/>
  <c r="D758" i="11"/>
  <c r="D742" i="11"/>
  <c r="D726" i="11"/>
  <c r="D710" i="11"/>
  <c r="D694" i="11"/>
  <c r="D678" i="11"/>
  <c r="D662" i="11"/>
  <c r="D646" i="11"/>
  <c r="D630" i="11"/>
  <c r="D614" i="11"/>
  <c r="D598" i="11"/>
  <c r="D582" i="11"/>
  <c r="D566" i="11"/>
  <c r="D550" i="11"/>
  <c r="D534" i="11"/>
  <c r="D518" i="11"/>
  <c r="D502" i="11"/>
  <c r="D486" i="11"/>
  <c r="D470" i="11"/>
  <c r="D454" i="11"/>
  <c r="D438" i="11"/>
  <c r="D422" i="11"/>
  <c r="D406" i="11"/>
  <c r="D390" i="11"/>
  <c r="D374" i="11"/>
  <c r="D358" i="11"/>
  <c r="D342" i="11"/>
  <c r="D326" i="11"/>
  <c r="D310" i="11"/>
  <c r="D294" i="11"/>
  <c r="D278" i="11"/>
  <c r="D262" i="11"/>
  <c r="D246" i="11"/>
  <c r="D230" i="11"/>
  <c r="D214" i="11"/>
  <c r="D198" i="11"/>
  <c r="D182" i="11"/>
  <c r="D166" i="11"/>
  <c r="D150" i="11"/>
  <c r="D134" i="11"/>
  <c r="D118" i="11"/>
  <c r="D102" i="11"/>
  <c r="D86" i="11"/>
  <c r="D70" i="11"/>
  <c r="D54" i="11"/>
  <c r="D38" i="11"/>
  <c r="D22" i="11"/>
  <c r="D6" i="11"/>
  <c r="D997" i="11"/>
  <c r="D981" i="11"/>
  <c r="D965" i="11"/>
  <c r="D949" i="11"/>
  <c r="D933" i="11"/>
  <c r="D917" i="11"/>
  <c r="D901" i="11"/>
  <c r="D885" i="11"/>
  <c r="D869" i="11"/>
  <c r="D853" i="11"/>
  <c r="D837" i="11"/>
  <c r="D821" i="11"/>
  <c r="D805" i="11"/>
  <c r="D789" i="11"/>
  <c r="D773" i="11"/>
  <c r="D757" i="11"/>
  <c r="D741" i="11"/>
  <c r="D725" i="11"/>
  <c r="D709" i="11"/>
  <c r="D693" i="11"/>
  <c r="D677" i="11"/>
  <c r="D661" i="11"/>
  <c r="D645" i="11"/>
  <c r="D629" i="11"/>
  <c r="D613" i="11"/>
  <c r="D597" i="11"/>
  <c r="D581" i="11"/>
  <c r="D565" i="11"/>
  <c r="D549" i="11"/>
  <c r="D533" i="11"/>
  <c r="D517" i="11"/>
  <c r="D501" i="11"/>
  <c r="D485" i="11"/>
  <c r="D469" i="11"/>
  <c r="D453" i="11"/>
  <c r="D437" i="11"/>
  <c r="D421" i="11"/>
  <c r="D405" i="11"/>
  <c r="D389" i="11"/>
  <c r="D373" i="11"/>
  <c r="D357" i="11"/>
  <c r="D341" i="11"/>
  <c r="D325" i="11"/>
  <c r="D309" i="11"/>
  <c r="D293" i="11"/>
  <c r="D277" i="11"/>
  <c r="D261" i="11"/>
  <c r="D245" i="11"/>
  <c r="D229" i="11"/>
  <c r="D213" i="11"/>
  <c r="D197" i="11"/>
  <c r="D181" i="11"/>
  <c r="D165" i="11"/>
  <c r="D149" i="11"/>
  <c r="D133" i="11"/>
  <c r="D117" i="11"/>
  <c r="D101" i="11"/>
  <c r="D85" i="11"/>
  <c r="D69" i="11"/>
  <c r="D53" i="11"/>
  <c r="D37" i="11"/>
  <c r="D21" i="11"/>
  <c r="D5" i="11"/>
  <c r="D996" i="11"/>
  <c r="D980" i="11"/>
  <c r="D964" i="11"/>
  <c r="D948" i="11"/>
  <c r="D932" i="11"/>
  <c r="D916" i="11"/>
  <c r="D900" i="11"/>
  <c r="D884" i="11"/>
  <c r="D868" i="11"/>
  <c r="D852" i="11"/>
  <c r="D836" i="11"/>
  <c r="D820" i="11"/>
  <c r="D804" i="11"/>
  <c r="D788" i="11"/>
  <c r="D772" i="11"/>
  <c r="D756" i="11"/>
  <c r="D740" i="11"/>
  <c r="D724" i="11"/>
  <c r="D708" i="11"/>
  <c r="D692" i="11"/>
  <c r="D676" i="11"/>
  <c r="D660" i="11"/>
  <c r="D644" i="11"/>
  <c r="D628" i="11"/>
  <c r="D612" i="11"/>
  <c r="D596" i="11"/>
  <c r="D580" i="11"/>
  <c r="D564" i="11"/>
  <c r="D548" i="11"/>
  <c r="D532" i="11"/>
  <c r="D516" i="11"/>
  <c r="D500" i="11"/>
  <c r="D484" i="11"/>
  <c r="D468" i="11"/>
  <c r="D452" i="11"/>
  <c r="D436" i="11"/>
  <c r="D420" i="11"/>
  <c r="D404" i="11"/>
  <c r="D388" i="11"/>
  <c r="D372" i="11"/>
  <c r="D356" i="11"/>
  <c r="D340" i="11"/>
  <c r="D324" i="11"/>
  <c r="D308" i="11"/>
  <c r="D292" i="11"/>
  <c r="D276" i="11"/>
  <c r="D260" i="11"/>
  <c r="D244" i="11"/>
  <c r="D228" i="11"/>
  <c r="D212" i="11"/>
  <c r="D196" i="11"/>
  <c r="D180" i="11"/>
  <c r="D164" i="11"/>
  <c r="D148" i="11"/>
  <c r="D132" i="11"/>
  <c r="D116" i="11"/>
  <c r="D100" i="11"/>
  <c r="D84" i="11"/>
  <c r="D68" i="11"/>
  <c r="D52" i="11"/>
  <c r="D36" i="11"/>
  <c r="D20" i="11"/>
  <c r="D4" i="11"/>
  <c r="D995" i="11"/>
  <c r="D979" i="11"/>
  <c r="D963" i="11"/>
  <c r="D947" i="11"/>
  <c r="D931" i="11"/>
  <c r="D915" i="11"/>
  <c r="D899" i="11"/>
  <c r="D883" i="11"/>
  <c r="D867" i="11"/>
  <c r="D851" i="11"/>
  <c r="D835" i="11"/>
  <c r="D819" i="11"/>
  <c r="D803" i="11"/>
  <c r="D787" i="11"/>
  <c r="D771" i="11"/>
  <c r="D755" i="11"/>
  <c r="D739" i="11"/>
  <c r="D723" i="11"/>
  <c r="D707" i="11"/>
  <c r="D691" i="11"/>
  <c r="D675" i="11"/>
  <c r="D659" i="11"/>
  <c r="D643" i="11"/>
  <c r="D627" i="11"/>
  <c r="D611" i="11"/>
  <c r="D595" i="11"/>
  <c r="D579" i="11"/>
  <c r="D563" i="11"/>
  <c r="D547" i="11"/>
  <c r="D531" i="11"/>
  <c r="D515" i="11"/>
  <c r="D499" i="11"/>
  <c r="D483" i="11"/>
  <c r="D467" i="11"/>
  <c r="D451" i="11"/>
  <c r="D435" i="11"/>
  <c r="D419" i="11"/>
  <c r="D403" i="11"/>
  <c r="D387" i="11"/>
  <c r="D371" i="11"/>
  <c r="D355" i="11"/>
  <c r="D339" i="11"/>
  <c r="D323" i="11"/>
  <c r="D307" i="11"/>
  <c r="D291" i="11"/>
  <c r="D275" i="11"/>
  <c r="D259" i="11"/>
  <c r="D243" i="11"/>
  <c r="D227" i="11"/>
  <c r="D211" i="11"/>
  <c r="D195" i="11"/>
  <c r="D179" i="11"/>
  <c r="D163" i="11"/>
  <c r="D147" i="11"/>
  <c r="D131" i="11"/>
  <c r="D115" i="11"/>
  <c r="D99" i="11"/>
  <c r="D83" i="11"/>
  <c r="D67" i="11"/>
  <c r="D51" i="11"/>
  <c r="D35" i="11"/>
  <c r="D19" i="11"/>
  <c r="D3" i="11"/>
  <c r="C9" i="10"/>
  <c r="D9" i="10" s="1"/>
  <c r="C8" i="10"/>
  <c r="D8" i="10" s="1"/>
  <c r="C7" i="10"/>
  <c r="D7" i="10" s="1"/>
  <c r="C6" i="10"/>
  <c r="D6" i="10" s="1"/>
  <c r="C5" i="10"/>
  <c r="D5" i="10" s="1"/>
  <c r="C4" i="10"/>
  <c r="D4" i="10" s="1"/>
  <c r="C3" i="10"/>
  <c r="D3" i="10" s="1"/>
  <c r="C2" i="10"/>
  <c r="D2" i="10" s="1"/>
  <c r="C9" i="9"/>
  <c r="D9" i="9" s="1"/>
  <c r="C8" i="9"/>
  <c r="D8" i="9" s="1"/>
  <c r="C7" i="9"/>
  <c r="D7" i="9" s="1"/>
  <c r="C6" i="9"/>
  <c r="D6" i="9" s="1"/>
  <c r="C5" i="9"/>
  <c r="D5" i="9" s="1"/>
  <c r="C4" i="9"/>
  <c r="D4" i="9" s="1"/>
  <c r="C3" i="9"/>
  <c r="D3" i="9" s="1"/>
  <c r="C2" i="9"/>
  <c r="D2" i="9" s="1"/>
  <c r="BL2" i="8"/>
  <c r="BK2" i="8" a="1"/>
  <c r="BK2" i="8" s="1"/>
  <c r="BJ2" i="8" a="1"/>
  <c r="BJ2" i="8" s="1"/>
  <c r="BI2" i="8" a="1"/>
  <c r="BI2" i="8" s="1"/>
  <c r="BH2" i="8" a="1"/>
  <c r="BH2" i="8" s="1"/>
  <c r="BG2" i="8" a="1"/>
  <c r="BG2" i="8" s="1"/>
  <c r="BF2" i="8"/>
  <c r="BE2" i="8"/>
  <c r="BD2" i="8"/>
  <c r="BL2" i="7"/>
  <c r="BK2" i="7" a="1"/>
  <c r="BK2" i="7" s="1"/>
  <c r="BJ2" i="7" a="1"/>
  <c r="BJ2" i="7" s="1"/>
  <c r="BI2" i="7" a="1"/>
  <c r="BI2" i="7" s="1"/>
  <c r="BH2" i="7" a="1"/>
  <c r="BH2" i="7" s="1"/>
  <c r="BG2" i="7" a="1"/>
  <c r="BG2" i="7" s="1"/>
  <c r="BF2" i="7"/>
  <c r="BE2" i="7"/>
  <c r="BD2" i="7"/>
  <c r="Q2" i="5" a="1"/>
  <c r="Q2" i="5" s="1"/>
  <c r="P2" i="5" a="1"/>
  <c r="P2" i="5" s="1"/>
  <c r="O2" i="5" a="1"/>
  <c r="O2" i="5" s="1"/>
  <c r="N2" i="5" a="1"/>
  <c r="N2" i="5" s="1"/>
  <c r="L5" i="5"/>
  <c r="K5" i="5"/>
  <c r="J5" i="5"/>
  <c r="M2" i="5" a="1"/>
  <c r="M2" i="5" s="1"/>
  <c r="E4" i="4"/>
  <c r="E5" i="4" s="1"/>
  <c r="G4" i="5"/>
  <c r="F4" i="5" s="1"/>
  <c r="F5" i="5" s="1"/>
  <c r="F6" i="5" s="1"/>
  <c r="G5" i="5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3" i="5"/>
  <c r="G2" i="5"/>
  <c r="J2" i="5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4" i="4"/>
  <c r="F3" i="4"/>
  <c r="F2" i="4"/>
  <c r="BK2" i="2" a="1"/>
  <c r="BK2" i="2" s="1"/>
  <c r="BJ2" i="2" a="1"/>
  <c r="BJ2" i="2" s="1"/>
  <c r="BI2" i="2" a="1"/>
  <c r="BI2" i="2" s="1"/>
  <c r="BH2" i="2" a="1"/>
  <c r="BH2" i="2" s="1"/>
  <c r="BG2" i="2" a="1"/>
  <c r="BG2" i="2" s="1"/>
  <c r="BF2" i="2"/>
  <c r="BE2" i="2"/>
  <c r="BD2" i="2"/>
  <c r="BK2" i="3" a="1"/>
  <c r="BK2" i="3" s="1"/>
  <c r="BJ2" i="3" a="1"/>
  <c r="BJ2" i="3" s="1"/>
  <c r="BI2" i="3" a="1"/>
  <c r="BI2" i="3" s="1"/>
  <c r="BD2" i="3"/>
  <c r="BE2" i="3"/>
  <c r="BF2" i="3"/>
  <c r="BH2" i="3" a="1"/>
  <c r="BH2" i="3" s="1"/>
  <c r="BG2" i="3" a="1"/>
  <c r="BG2" i="3" s="1"/>
  <c r="C3" i="6"/>
  <c r="D3" i="6" s="1"/>
  <c r="C4" i="6"/>
  <c r="D4" i="6" s="1"/>
  <c r="C5" i="6"/>
  <c r="D5" i="6" s="1"/>
  <c r="C6" i="6"/>
  <c r="D6" i="6" s="1"/>
  <c r="C7" i="6"/>
  <c r="D7" i="6" s="1"/>
  <c r="C8" i="6"/>
  <c r="D8" i="6" s="1"/>
  <c r="C9" i="6"/>
  <c r="D9" i="6" s="1"/>
  <c r="C10" i="6"/>
  <c r="D10" i="6" s="1"/>
  <c r="C11" i="6"/>
  <c r="D11" i="6" s="1"/>
  <c r="C12" i="6"/>
  <c r="D12" i="6" s="1"/>
  <c r="C13" i="6"/>
  <c r="D13" i="6" s="1"/>
  <c r="C2" i="6"/>
  <c r="D2" i="6" s="1"/>
  <c r="J2" i="4"/>
  <c r="BL2" i="3"/>
  <c r="AZ3" i="1"/>
  <c r="BA3" i="1" s="1"/>
  <c r="AZ4" i="1"/>
  <c r="BA4" i="1" s="1"/>
  <c r="AZ5" i="1"/>
  <c r="BA5" i="1" s="1"/>
  <c r="AZ6" i="1"/>
  <c r="BA6" i="1" s="1"/>
  <c r="AZ7" i="1"/>
  <c r="BA7" i="1" s="1"/>
  <c r="AZ8" i="1"/>
  <c r="BA8" i="1" s="1"/>
  <c r="AZ9" i="1"/>
  <c r="BA9" i="1" s="1"/>
  <c r="AZ10" i="1"/>
  <c r="BA10" i="1" s="1"/>
  <c r="AZ11" i="1"/>
  <c r="BA11" i="1" s="1"/>
  <c r="AZ12" i="1"/>
  <c r="BA12" i="1" s="1"/>
  <c r="AZ13" i="1"/>
  <c r="BA13" i="1" s="1"/>
  <c r="AZ14" i="1"/>
  <c r="BA14" i="1" s="1"/>
  <c r="AZ15" i="1"/>
  <c r="BA15" i="1" s="1"/>
  <c r="AZ16" i="1"/>
  <c r="BA16" i="1" s="1"/>
  <c r="AZ17" i="1"/>
  <c r="BA17" i="1" s="1"/>
  <c r="AZ18" i="1"/>
  <c r="BA18" i="1" s="1"/>
  <c r="AZ19" i="1"/>
  <c r="BA19" i="1" s="1"/>
  <c r="AZ20" i="1"/>
  <c r="BA20" i="1" s="1"/>
  <c r="AZ21" i="1"/>
  <c r="BA21" i="1" s="1"/>
  <c r="AZ22" i="1"/>
  <c r="BA22" i="1" s="1"/>
  <c r="AZ23" i="1"/>
  <c r="BA23" i="1" s="1"/>
  <c r="AZ24" i="1"/>
  <c r="BA24" i="1" s="1"/>
  <c r="AZ25" i="1"/>
  <c r="BA25" i="1" s="1"/>
  <c r="AZ26" i="1"/>
  <c r="BA26" i="1" s="1"/>
  <c r="AZ27" i="1"/>
  <c r="BA27" i="1" s="1"/>
  <c r="AZ28" i="1"/>
  <c r="BA28" i="1" s="1"/>
  <c r="AZ29" i="1"/>
  <c r="BA29" i="1" s="1"/>
  <c r="AZ30" i="1"/>
  <c r="BA30" i="1" s="1"/>
  <c r="AZ31" i="1"/>
  <c r="BA31" i="1" s="1"/>
  <c r="AZ32" i="1"/>
  <c r="BA32" i="1" s="1"/>
  <c r="AZ33" i="1"/>
  <c r="BA33" i="1" s="1"/>
  <c r="AZ34" i="1"/>
  <c r="BA34" i="1" s="1"/>
  <c r="AZ35" i="1"/>
  <c r="BA35" i="1" s="1"/>
  <c r="AZ36" i="1"/>
  <c r="BA36" i="1" s="1"/>
  <c r="AZ37" i="1"/>
  <c r="BA37" i="1" s="1"/>
  <c r="AZ38" i="1"/>
  <c r="BA38" i="1" s="1"/>
  <c r="AZ39" i="1"/>
  <c r="BA39" i="1" s="1"/>
  <c r="AZ40" i="1"/>
  <c r="BA40" i="1" s="1"/>
  <c r="AZ41" i="1"/>
  <c r="BA41" i="1" s="1"/>
  <c r="AZ42" i="1"/>
  <c r="BA42" i="1" s="1"/>
  <c r="AZ43" i="1"/>
  <c r="BA43" i="1" s="1"/>
  <c r="AZ44" i="1"/>
  <c r="BA44" i="1" s="1"/>
  <c r="AZ45" i="1"/>
  <c r="BA45" i="1" s="1"/>
  <c r="AZ46" i="1"/>
  <c r="BA46" i="1" s="1"/>
  <c r="AZ47" i="1"/>
  <c r="BA47" i="1" s="1"/>
  <c r="AZ48" i="1"/>
  <c r="BA48" i="1" s="1"/>
  <c r="AZ49" i="1"/>
  <c r="BA49" i="1" s="1"/>
  <c r="AZ50" i="1"/>
  <c r="BA50" i="1" s="1"/>
  <c r="AZ51" i="1"/>
  <c r="BA51" i="1" s="1"/>
  <c r="AZ52" i="1"/>
  <c r="BA52" i="1" s="1"/>
  <c r="AZ53" i="1"/>
  <c r="BA53" i="1" s="1"/>
  <c r="AZ54" i="1"/>
  <c r="BA54" i="1" s="1"/>
  <c r="AZ55" i="1"/>
  <c r="BA55" i="1" s="1"/>
  <c r="AZ56" i="1"/>
  <c r="BA56" i="1" s="1"/>
  <c r="AZ57" i="1"/>
  <c r="BA57" i="1" s="1"/>
  <c r="AZ58" i="1"/>
  <c r="BA58" i="1" s="1"/>
  <c r="AZ59" i="1"/>
  <c r="BA59" i="1" s="1"/>
  <c r="AZ60" i="1"/>
  <c r="BA60" i="1" s="1"/>
  <c r="AZ61" i="1"/>
  <c r="BA61" i="1" s="1"/>
  <c r="AZ62" i="1"/>
  <c r="BA62" i="1" s="1"/>
  <c r="AZ63" i="1"/>
  <c r="BA63" i="1" s="1"/>
  <c r="AZ64" i="1"/>
  <c r="BA64" i="1" s="1"/>
  <c r="AZ65" i="1"/>
  <c r="BA65" i="1" s="1"/>
  <c r="AZ66" i="1"/>
  <c r="BA66" i="1" s="1"/>
  <c r="AZ67" i="1"/>
  <c r="BA67" i="1" s="1"/>
  <c r="AZ68" i="1"/>
  <c r="BA68" i="1" s="1"/>
  <c r="AZ69" i="1"/>
  <c r="BA69" i="1" s="1"/>
  <c r="AZ70" i="1"/>
  <c r="BA70" i="1" s="1"/>
  <c r="AZ71" i="1"/>
  <c r="BA71" i="1" s="1"/>
  <c r="AZ72" i="1"/>
  <c r="BA72" i="1" s="1"/>
  <c r="AZ73" i="1"/>
  <c r="BA73" i="1" s="1"/>
  <c r="AZ74" i="1"/>
  <c r="BA74" i="1" s="1"/>
  <c r="AZ75" i="1"/>
  <c r="BA75" i="1" s="1"/>
  <c r="AZ76" i="1"/>
  <c r="BA76" i="1" s="1"/>
  <c r="AZ77" i="1"/>
  <c r="BA77" i="1" s="1"/>
  <c r="AZ78" i="1"/>
  <c r="BA78" i="1" s="1"/>
  <c r="AZ79" i="1"/>
  <c r="BA79" i="1" s="1"/>
  <c r="AZ80" i="1"/>
  <c r="BA80" i="1" s="1"/>
  <c r="AZ81" i="1"/>
  <c r="BA81" i="1" s="1"/>
  <c r="AZ82" i="1"/>
  <c r="BA82" i="1" s="1"/>
  <c r="AZ83" i="1"/>
  <c r="BA83" i="1" s="1"/>
  <c r="AZ84" i="1"/>
  <c r="BA84" i="1" s="1"/>
  <c r="AZ85" i="1"/>
  <c r="BA85" i="1" s="1"/>
  <c r="AZ86" i="1"/>
  <c r="BA86" i="1" s="1"/>
  <c r="AZ87" i="1"/>
  <c r="BA87" i="1" s="1"/>
  <c r="AZ88" i="1"/>
  <c r="BA88" i="1" s="1"/>
  <c r="AZ89" i="1"/>
  <c r="BA89" i="1" s="1"/>
  <c r="AZ90" i="1"/>
  <c r="BA90" i="1" s="1"/>
  <c r="AZ91" i="1"/>
  <c r="BA91" i="1" s="1"/>
  <c r="AZ92" i="1"/>
  <c r="BA92" i="1" s="1"/>
  <c r="AZ93" i="1"/>
  <c r="BA93" i="1" s="1"/>
  <c r="AZ94" i="1"/>
  <c r="BA94" i="1" s="1"/>
  <c r="AZ95" i="1"/>
  <c r="BA95" i="1" s="1"/>
  <c r="AZ96" i="1"/>
  <c r="BA96" i="1" s="1"/>
  <c r="AZ97" i="1"/>
  <c r="BA97" i="1" s="1"/>
  <c r="AZ98" i="1"/>
  <c r="BA98" i="1" s="1"/>
  <c r="AZ99" i="1"/>
  <c r="BA99" i="1" s="1"/>
  <c r="AZ100" i="1"/>
  <c r="BA100" i="1" s="1"/>
  <c r="AZ101" i="1"/>
  <c r="BA101" i="1" s="1"/>
  <c r="AZ102" i="1"/>
  <c r="BA102" i="1" s="1"/>
  <c r="AZ103" i="1"/>
  <c r="BA103" i="1" s="1"/>
  <c r="AZ104" i="1"/>
  <c r="BA104" i="1" s="1"/>
  <c r="AZ105" i="1"/>
  <c r="BA105" i="1" s="1"/>
  <c r="AZ106" i="1"/>
  <c r="BA106" i="1" s="1"/>
  <c r="AZ107" i="1"/>
  <c r="BA107" i="1" s="1"/>
  <c r="AZ108" i="1"/>
  <c r="BA108" i="1" s="1"/>
  <c r="AZ109" i="1"/>
  <c r="BA109" i="1" s="1"/>
  <c r="AZ110" i="1"/>
  <c r="BA110" i="1" s="1"/>
  <c r="AZ111" i="1"/>
  <c r="BA111" i="1" s="1"/>
  <c r="AZ112" i="1"/>
  <c r="BA112" i="1" s="1"/>
  <c r="AZ113" i="1"/>
  <c r="BA113" i="1" s="1"/>
  <c r="AZ114" i="1"/>
  <c r="BA114" i="1" s="1"/>
  <c r="AZ115" i="1"/>
  <c r="BA115" i="1" s="1"/>
  <c r="AZ116" i="1"/>
  <c r="BA116" i="1" s="1"/>
  <c r="AZ117" i="1"/>
  <c r="BA117" i="1" s="1"/>
  <c r="AZ118" i="1"/>
  <c r="BA118" i="1" s="1"/>
  <c r="AZ119" i="1"/>
  <c r="BA119" i="1" s="1"/>
  <c r="AZ120" i="1"/>
  <c r="BA120" i="1" s="1"/>
  <c r="AZ121" i="1"/>
  <c r="BA121" i="1" s="1"/>
  <c r="AZ122" i="1"/>
  <c r="BA122" i="1" s="1"/>
  <c r="AZ123" i="1"/>
  <c r="BA123" i="1" s="1"/>
  <c r="AZ124" i="1"/>
  <c r="BA124" i="1" s="1"/>
  <c r="AZ125" i="1"/>
  <c r="BA125" i="1" s="1"/>
  <c r="AZ126" i="1"/>
  <c r="BA126" i="1" s="1"/>
  <c r="AZ127" i="1"/>
  <c r="BA127" i="1" s="1"/>
  <c r="AZ128" i="1"/>
  <c r="BA128" i="1" s="1"/>
  <c r="AZ129" i="1"/>
  <c r="BA129" i="1" s="1"/>
  <c r="AZ130" i="1"/>
  <c r="BA130" i="1" s="1"/>
  <c r="AZ131" i="1"/>
  <c r="BA131" i="1" s="1"/>
  <c r="AZ132" i="1"/>
  <c r="BA132" i="1" s="1"/>
  <c r="AZ133" i="1"/>
  <c r="BA133" i="1" s="1"/>
  <c r="AZ134" i="1"/>
  <c r="BA134" i="1" s="1"/>
  <c r="AZ135" i="1"/>
  <c r="BA135" i="1" s="1"/>
  <c r="AZ136" i="1"/>
  <c r="BA136" i="1" s="1"/>
  <c r="AZ137" i="1"/>
  <c r="BA137" i="1" s="1"/>
  <c r="AZ138" i="1"/>
  <c r="BA138" i="1" s="1"/>
  <c r="AZ139" i="1"/>
  <c r="BA139" i="1" s="1"/>
  <c r="AZ140" i="1"/>
  <c r="BA140" i="1" s="1"/>
  <c r="AZ141" i="1"/>
  <c r="BA141" i="1" s="1"/>
  <c r="AZ142" i="1"/>
  <c r="BA142" i="1" s="1"/>
  <c r="AZ143" i="1"/>
  <c r="BA143" i="1" s="1"/>
  <c r="AZ144" i="1"/>
  <c r="BA144" i="1" s="1"/>
  <c r="AZ145" i="1"/>
  <c r="BA145" i="1" s="1"/>
  <c r="AZ146" i="1"/>
  <c r="BA146" i="1" s="1"/>
  <c r="AZ147" i="1"/>
  <c r="BA147" i="1" s="1"/>
  <c r="AZ148" i="1"/>
  <c r="BA148" i="1" s="1"/>
  <c r="AZ149" i="1"/>
  <c r="BA149" i="1" s="1"/>
  <c r="AZ150" i="1"/>
  <c r="BA150" i="1" s="1"/>
  <c r="AZ151" i="1"/>
  <c r="BA151" i="1" s="1"/>
  <c r="AZ152" i="1"/>
  <c r="BA152" i="1" s="1"/>
  <c r="AZ153" i="1"/>
  <c r="BA153" i="1" s="1"/>
  <c r="AZ154" i="1"/>
  <c r="BA154" i="1" s="1"/>
  <c r="AZ155" i="1"/>
  <c r="BA155" i="1" s="1"/>
  <c r="AZ156" i="1"/>
  <c r="BA156" i="1" s="1"/>
  <c r="AZ157" i="1"/>
  <c r="BA157" i="1" s="1"/>
  <c r="AZ158" i="1"/>
  <c r="BA158" i="1" s="1"/>
  <c r="AZ159" i="1"/>
  <c r="BA159" i="1" s="1"/>
  <c r="AZ160" i="1"/>
  <c r="BA160" i="1" s="1"/>
  <c r="AZ161" i="1"/>
  <c r="BA161" i="1" s="1"/>
  <c r="AZ162" i="1"/>
  <c r="BA162" i="1" s="1"/>
  <c r="AZ163" i="1"/>
  <c r="BA163" i="1" s="1"/>
  <c r="AZ164" i="1"/>
  <c r="BA164" i="1" s="1"/>
  <c r="AZ165" i="1"/>
  <c r="BA165" i="1" s="1"/>
  <c r="AZ166" i="1"/>
  <c r="BA166" i="1" s="1"/>
  <c r="AZ167" i="1"/>
  <c r="BA167" i="1" s="1"/>
  <c r="AZ168" i="1"/>
  <c r="BA168" i="1" s="1"/>
  <c r="AZ169" i="1"/>
  <c r="BA169" i="1" s="1"/>
  <c r="AZ170" i="1"/>
  <c r="BA170" i="1" s="1"/>
  <c r="AZ171" i="1"/>
  <c r="BA171" i="1" s="1"/>
  <c r="AZ172" i="1"/>
  <c r="BA172" i="1" s="1"/>
  <c r="AZ173" i="1"/>
  <c r="BA173" i="1" s="1"/>
  <c r="AZ174" i="1"/>
  <c r="BA174" i="1" s="1"/>
  <c r="AZ175" i="1"/>
  <c r="BA175" i="1" s="1"/>
  <c r="AZ176" i="1"/>
  <c r="BA176" i="1" s="1"/>
  <c r="AZ177" i="1"/>
  <c r="BA177" i="1" s="1"/>
  <c r="AZ178" i="1"/>
  <c r="BA178" i="1" s="1"/>
  <c r="AZ179" i="1"/>
  <c r="BA179" i="1" s="1"/>
  <c r="AZ180" i="1"/>
  <c r="BA180" i="1" s="1"/>
  <c r="AZ181" i="1"/>
  <c r="BA181" i="1" s="1"/>
  <c r="AZ182" i="1"/>
  <c r="BA182" i="1" s="1"/>
  <c r="AZ183" i="1"/>
  <c r="BA183" i="1" s="1"/>
  <c r="AZ184" i="1"/>
  <c r="BA184" i="1" s="1"/>
  <c r="AZ185" i="1"/>
  <c r="BA185" i="1" s="1"/>
  <c r="AZ186" i="1"/>
  <c r="BA186" i="1" s="1"/>
  <c r="AZ187" i="1"/>
  <c r="BA187" i="1" s="1"/>
  <c r="AZ188" i="1"/>
  <c r="BA188" i="1" s="1"/>
  <c r="AZ189" i="1"/>
  <c r="BA189" i="1" s="1"/>
  <c r="AZ190" i="1"/>
  <c r="BA190" i="1" s="1"/>
  <c r="AZ191" i="1"/>
  <c r="BA191" i="1" s="1"/>
  <c r="AZ192" i="1"/>
  <c r="BA192" i="1" s="1"/>
  <c r="AZ193" i="1"/>
  <c r="BA193" i="1" s="1"/>
  <c r="AZ194" i="1"/>
  <c r="BA194" i="1" s="1"/>
  <c r="AZ195" i="1"/>
  <c r="BA195" i="1" s="1"/>
  <c r="AZ196" i="1"/>
  <c r="BA196" i="1" s="1"/>
  <c r="AZ197" i="1"/>
  <c r="BA197" i="1" s="1"/>
  <c r="AZ198" i="1"/>
  <c r="BA198" i="1" s="1"/>
  <c r="AZ199" i="1"/>
  <c r="BA199" i="1" s="1"/>
  <c r="AZ200" i="1"/>
  <c r="BA200" i="1" s="1"/>
  <c r="AZ201" i="1"/>
  <c r="BA201" i="1" s="1"/>
  <c r="AZ202" i="1"/>
  <c r="BA202" i="1" s="1"/>
  <c r="AZ203" i="1"/>
  <c r="BA203" i="1" s="1"/>
  <c r="AZ204" i="1"/>
  <c r="BA204" i="1" s="1"/>
  <c r="AZ205" i="1"/>
  <c r="BA205" i="1" s="1"/>
  <c r="AZ206" i="1"/>
  <c r="BA206" i="1" s="1"/>
  <c r="AZ207" i="1"/>
  <c r="BA207" i="1" s="1"/>
  <c r="AZ208" i="1"/>
  <c r="BA208" i="1" s="1"/>
  <c r="AZ209" i="1"/>
  <c r="BA209" i="1" s="1"/>
  <c r="AZ210" i="1"/>
  <c r="BA210" i="1" s="1"/>
  <c r="AZ211" i="1"/>
  <c r="BA211" i="1" s="1"/>
  <c r="AZ212" i="1"/>
  <c r="BA212" i="1" s="1"/>
  <c r="AZ213" i="1"/>
  <c r="BA213" i="1" s="1"/>
  <c r="AZ214" i="1"/>
  <c r="BA214" i="1" s="1"/>
  <c r="AZ215" i="1"/>
  <c r="BA215" i="1" s="1"/>
  <c r="AZ216" i="1"/>
  <c r="BA216" i="1" s="1"/>
  <c r="AZ217" i="1"/>
  <c r="BA217" i="1" s="1"/>
  <c r="AZ218" i="1"/>
  <c r="BA218" i="1" s="1"/>
  <c r="AZ219" i="1"/>
  <c r="BA219" i="1" s="1"/>
  <c r="AZ220" i="1"/>
  <c r="BA220" i="1" s="1"/>
  <c r="AZ221" i="1"/>
  <c r="BA221" i="1" s="1"/>
  <c r="AZ222" i="1"/>
  <c r="BA222" i="1" s="1"/>
  <c r="AZ223" i="1"/>
  <c r="BA223" i="1" s="1"/>
  <c r="AZ224" i="1"/>
  <c r="BA224" i="1" s="1"/>
  <c r="AZ225" i="1"/>
  <c r="BA225" i="1" s="1"/>
  <c r="AZ226" i="1"/>
  <c r="BA226" i="1" s="1"/>
  <c r="AZ227" i="1"/>
  <c r="BA227" i="1" s="1"/>
  <c r="AZ228" i="1"/>
  <c r="BA228" i="1" s="1"/>
  <c r="AZ229" i="1"/>
  <c r="BA229" i="1" s="1"/>
  <c r="AZ230" i="1"/>
  <c r="BA230" i="1" s="1"/>
  <c r="AZ231" i="1"/>
  <c r="BA231" i="1" s="1"/>
  <c r="AZ232" i="1"/>
  <c r="BA232" i="1" s="1"/>
  <c r="AZ233" i="1"/>
  <c r="BA233" i="1" s="1"/>
  <c r="AZ234" i="1"/>
  <c r="BA234" i="1" s="1"/>
  <c r="AZ235" i="1"/>
  <c r="BA235" i="1" s="1"/>
  <c r="AZ236" i="1"/>
  <c r="BA236" i="1" s="1"/>
  <c r="AZ237" i="1"/>
  <c r="BA237" i="1" s="1"/>
  <c r="AZ238" i="1"/>
  <c r="BA238" i="1" s="1"/>
  <c r="AZ239" i="1"/>
  <c r="BA239" i="1" s="1"/>
  <c r="AZ240" i="1"/>
  <c r="BA240" i="1" s="1"/>
  <c r="AZ241" i="1"/>
  <c r="BA241" i="1" s="1"/>
  <c r="AZ242" i="1"/>
  <c r="BA242" i="1" s="1"/>
  <c r="AZ243" i="1"/>
  <c r="BA243" i="1" s="1"/>
  <c r="AZ244" i="1"/>
  <c r="BA244" i="1" s="1"/>
  <c r="AZ245" i="1"/>
  <c r="BA245" i="1" s="1"/>
  <c r="AZ246" i="1"/>
  <c r="BA246" i="1" s="1"/>
  <c r="AZ247" i="1"/>
  <c r="BA247" i="1" s="1"/>
  <c r="AZ248" i="1"/>
  <c r="BA248" i="1" s="1"/>
  <c r="AZ249" i="1"/>
  <c r="BA249" i="1" s="1"/>
  <c r="AZ250" i="1"/>
  <c r="BA250" i="1" s="1"/>
  <c r="AZ251" i="1"/>
  <c r="BA251" i="1" s="1"/>
  <c r="AZ252" i="1"/>
  <c r="BA252" i="1" s="1"/>
  <c r="AZ253" i="1"/>
  <c r="BA253" i="1" s="1"/>
  <c r="AZ254" i="1"/>
  <c r="BA254" i="1" s="1"/>
  <c r="AZ255" i="1"/>
  <c r="BA255" i="1" s="1"/>
  <c r="AZ256" i="1"/>
  <c r="BA256" i="1" s="1"/>
  <c r="AZ257" i="1"/>
  <c r="BA257" i="1" s="1"/>
  <c r="AZ258" i="1"/>
  <c r="BA258" i="1" s="1"/>
  <c r="AZ259" i="1"/>
  <c r="BA259" i="1" s="1"/>
  <c r="AZ260" i="1"/>
  <c r="BA260" i="1" s="1"/>
  <c r="AZ261" i="1"/>
  <c r="BA261" i="1" s="1"/>
  <c r="AZ262" i="1"/>
  <c r="BA262" i="1" s="1"/>
  <c r="AZ263" i="1"/>
  <c r="BA263" i="1" s="1"/>
  <c r="AZ264" i="1"/>
  <c r="BA264" i="1" s="1"/>
  <c r="AZ265" i="1"/>
  <c r="BA265" i="1" s="1"/>
  <c r="AZ266" i="1"/>
  <c r="BA266" i="1" s="1"/>
  <c r="AZ267" i="1"/>
  <c r="BA267" i="1" s="1"/>
  <c r="AZ268" i="1"/>
  <c r="BA268" i="1" s="1"/>
  <c r="AZ269" i="1"/>
  <c r="BA269" i="1" s="1"/>
  <c r="AZ270" i="1"/>
  <c r="BA270" i="1" s="1"/>
  <c r="AZ271" i="1"/>
  <c r="BA271" i="1" s="1"/>
  <c r="AZ272" i="1"/>
  <c r="BA272" i="1" s="1"/>
  <c r="AZ273" i="1"/>
  <c r="BA273" i="1" s="1"/>
  <c r="AZ274" i="1"/>
  <c r="BA274" i="1" s="1"/>
  <c r="AZ275" i="1"/>
  <c r="BA275" i="1" s="1"/>
  <c r="AZ276" i="1"/>
  <c r="BA276" i="1" s="1"/>
  <c r="AZ277" i="1"/>
  <c r="BA277" i="1" s="1"/>
  <c r="AZ278" i="1"/>
  <c r="BA278" i="1" s="1"/>
  <c r="AZ279" i="1"/>
  <c r="BA279" i="1" s="1"/>
  <c r="AZ280" i="1"/>
  <c r="BA280" i="1" s="1"/>
  <c r="AZ281" i="1"/>
  <c r="BA281" i="1" s="1"/>
  <c r="AZ282" i="1"/>
  <c r="BA282" i="1" s="1"/>
  <c r="AZ283" i="1"/>
  <c r="BA283" i="1" s="1"/>
  <c r="AZ284" i="1"/>
  <c r="BA284" i="1" s="1"/>
  <c r="AZ285" i="1"/>
  <c r="BA285" i="1" s="1"/>
  <c r="AZ286" i="1"/>
  <c r="BA286" i="1" s="1"/>
  <c r="AZ287" i="1"/>
  <c r="BA287" i="1" s="1"/>
  <c r="AZ288" i="1"/>
  <c r="BA288" i="1" s="1"/>
  <c r="AZ289" i="1"/>
  <c r="BA289" i="1" s="1"/>
  <c r="AZ290" i="1"/>
  <c r="BA290" i="1" s="1"/>
  <c r="AZ291" i="1"/>
  <c r="BA291" i="1" s="1"/>
  <c r="AZ292" i="1"/>
  <c r="BA292" i="1" s="1"/>
  <c r="AZ293" i="1"/>
  <c r="BA293" i="1" s="1"/>
  <c r="AZ294" i="1"/>
  <c r="BA294" i="1" s="1"/>
  <c r="AZ295" i="1"/>
  <c r="BA295" i="1" s="1"/>
  <c r="AZ296" i="1"/>
  <c r="BA296" i="1" s="1"/>
  <c r="AZ297" i="1"/>
  <c r="BA297" i="1" s="1"/>
  <c r="AZ298" i="1"/>
  <c r="BA298" i="1" s="1"/>
  <c r="AZ299" i="1"/>
  <c r="BA299" i="1" s="1"/>
  <c r="AZ300" i="1"/>
  <c r="BA300" i="1" s="1"/>
  <c r="AZ301" i="1"/>
  <c r="BA301" i="1" s="1"/>
  <c r="AZ302" i="1"/>
  <c r="BA302" i="1" s="1"/>
  <c r="AZ303" i="1"/>
  <c r="BA303" i="1" s="1"/>
  <c r="AZ304" i="1"/>
  <c r="BA304" i="1" s="1"/>
  <c r="AZ305" i="1"/>
  <c r="BA305" i="1" s="1"/>
  <c r="AZ306" i="1"/>
  <c r="BA306" i="1" s="1"/>
  <c r="AZ307" i="1"/>
  <c r="BA307" i="1" s="1"/>
  <c r="AZ308" i="1"/>
  <c r="BA308" i="1" s="1"/>
  <c r="AZ309" i="1"/>
  <c r="BA309" i="1" s="1"/>
  <c r="AZ310" i="1"/>
  <c r="BA310" i="1" s="1"/>
  <c r="AZ311" i="1"/>
  <c r="BA311" i="1" s="1"/>
  <c r="AZ312" i="1"/>
  <c r="BA312" i="1" s="1"/>
  <c r="AZ313" i="1"/>
  <c r="BA313" i="1" s="1"/>
  <c r="AZ314" i="1"/>
  <c r="BA314" i="1" s="1"/>
  <c r="AZ315" i="1"/>
  <c r="BA315" i="1" s="1"/>
  <c r="AZ316" i="1"/>
  <c r="BA316" i="1" s="1"/>
  <c r="AZ317" i="1"/>
  <c r="BA317" i="1" s="1"/>
  <c r="AZ318" i="1"/>
  <c r="BA318" i="1" s="1"/>
  <c r="AZ319" i="1"/>
  <c r="BA319" i="1" s="1"/>
  <c r="AZ320" i="1"/>
  <c r="BA320" i="1" s="1"/>
  <c r="AZ321" i="1"/>
  <c r="BA321" i="1" s="1"/>
  <c r="AZ322" i="1"/>
  <c r="BA322" i="1" s="1"/>
  <c r="AZ323" i="1"/>
  <c r="BA323" i="1" s="1"/>
  <c r="AZ324" i="1"/>
  <c r="BA324" i="1" s="1"/>
  <c r="AZ325" i="1"/>
  <c r="BA325" i="1" s="1"/>
  <c r="AZ326" i="1"/>
  <c r="BA326" i="1" s="1"/>
  <c r="AZ327" i="1"/>
  <c r="BA327" i="1" s="1"/>
  <c r="AZ328" i="1"/>
  <c r="BA328" i="1" s="1"/>
  <c r="AZ329" i="1"/>
  <c r="BA329" i="1" s="1"/>
  <c r="AZ330" i="1"/>
  <c r="BA330" i="1" s="1"/>
  <c r="AZ331" i="1"/>
  <c r="BA331" i="1" s="1"/>
  <c r="AZ332" i="1"/>
  <c r="BA332" i="1" s="1"/>
  <c r="AZ333" i="1"/>
  <c r="BA333" i="1" s="1"/>
  <c r="AZ334" i="1"/>
  <c r="BA334" i="1" s="1"/>
  <c r="AZ335" i="1"/>
  <c r="BA335" i="1" s="1"/>
  <c r="AZ336" i="1"/>
  <c r="BA336" i="1" s="1"/>
  <c r="AZ337" i="1"/>
  <c r="BA337" i="1" s="1"/>
  <c r="AZ338" i="1"/>
  <c r="BA338" i="1" s="1"/>
  <c r="AZ339" i="1"/>
  <c r="BA339" i="1" s="1"/>
  <c r="AZ340" i="1"/>
  <c r="BA340" i="1" s="1"/>
  <c r="AZ341" i="1"/>
  <c r="BA341" i="1" s="1"/>
  <c r="AZ342" i="1"/>
  <c r="BA342" i="1" s="1"/>
  <c r="AZ343" i="1"/>
  <c r="BA343" i="1" s="1"/>
  <c r="AZ344" i="1"/>
  <c r="BA344" i="1" s="1"/>
  <c r="AZ345" i="1"/>
  <c r="BA345" i="1" s="1"/>
  <c r="AZ346" i="1"/>
  <c r="BA346" i="1" s="1"/>
  <c r="AZ347" i="1"/>
  <c r="BA347" i="1" s="1"/>
  <c r="AZ348" i="1"/>
  <c r="BA348" i="1" s="1"/>
  <c r="AZ349" i="1"/>
  <c r="BA349" i="1" s="1"/>
  <c r="AZ350" i="1"/>
  <c r="BA350" i="1" s="1"/>
  <c r="AZ351" i="1"/>
  <c r="BA351" i="1" s="1"/>
  <c r="AZ352" i="1"/>
  <c r="BA352" i="1" s="1"/>
  <c r="AZ353" i="1"/>
  <c r="BA353" i="1" s="1"/>
  <c r="AZ354" i="1"/>
  <c r="BA354" i="1" s="1"/>
  <c r="AZ355" i="1"/>
  <c r="BA355" i="1" s="1"/>
  <c r="AZ356" i="1"/>
  <c r="BA356" i="1" s="1"/>
  <c r="AZ357" i="1"/>
  <c r="BA357" i="1" s="1"/>
  <c r="AZ358" i="1"/>
  <c r="BA358" i="1" s="1"/>
  <c r="AZ359" i="1"/>
  <c r="BA359" i="1" s="1"/>
  <c r="AZ360" i="1"/>
  <c r="BA360" i="1" s="1"/>
  <c r="AZ361" i="1"/>
  <c r="BA361" i="1" s="1"/>
  <c r="AZ362" i="1"/>
  <c r="BA362" i="1" s="1"/>
  <c r="AZ363" i="1"/>
  <c r="BA363" i="1" s="1"/>
  <c r="AZ364" i="1"/>
  <c r="BA364" i="1" s="1"/>
  <c r="AZ365" i="1"/>
  <c r="BA365" i="1" s="1"/>
  <c r="AZ366" i="1"/>
  <c r="BA366" i="1" s="1"/>
  <c r="AZ367" i="1"/>
  <c r="BA367" i="1" s="1"/>
  <c r="AZ368" i="1"/>
  <c r="BA368" i="1" s="1"/>
  <c r="AZ369" i="1"/>
  <c r="BA369" i="1" s="1"/>
  <c r="AZ370" i="1"/>
  <c r="BA370" i="1" s="1"/>
  <c r="AZ371" i="1"/>
  <c r="BA371" i="1" s="1"/>
  <c r="AZ372" i="1"/>
  <c r="BA372" i="1" s="1"/>
  <c r="AZ373" i="1"/>
  <c r="BA373" i="1" s="1"/>
  <c r="AZ374" i="1"/>
  <c r="BA374" i="1" s="1"/>
  <c r="AZ375" i="1"/>
  <c r="BA375" i="1" s="1"/>
  <c r="AZ376" i="1"/>
  <c r="BA376" i="1" s="1"/>
  <c r="AZ377" i="1"/>
  <c r="BA377" i="1" s="1"/>
  <c r="AZ378" i="1"/>
  <c r="BA378" i="1" s="1"/>
  <c r="AZ379" i="1"/>
  <c r="BA379" i="1" s="1"/>
  <c r="AZ380" i="1"/>
  <c r="BA380" i="1" s="1"/>
  <c r="AZ381" i="1"/>
  <c r="BA381" i="1" s="1"/>
  <c r="AZ382" i="1"/>
  <c r="BA382" i="1" s="1"/>
  <c r="AZ383" i="1"/>
  <c r="BA383" i="1" s="1"/>
  <c r="AZ384" i="1"/>
  <c r="BA384" i="1" s="1"/>
  <c r="AZ385" i="1"/>
  <c r="BA385" i="1" s="1"/>
  <c r="AZ386" i="1"/>
  <c r="BA386" i="1" s="1"/>
  <c r="AZ387" i="1"/>
  <c r="BA387" i="1" s="1"/>
  <c r="AZ388" i="1"/>
  <c r="BA388" i="1" s="1"/>
  <c r="AZ389" i="1"/>
  <c r="BA389" i="1" s="1"/>
  <c r="AZ390" i="1"/>
  <c r="BA390" i="1" s="1"/>
  <c r="AZ391" i="1"/>
  <c r="BA391" i="1" s="1"/>
  <c r="AZ392" i="1"/>
  <c r="BA392" i="1" s="1"/>
  <c r="AZ393" i="1"/>
  <c r="BA393" i="1" s="1"/>
  <c r="AZ394" i="1"/>
  <c r="BA394" i="1" s="1"/>
  <c r="AZ395" i="1"/>
  <c r="BA395" i="1" s="1"/>
  <c r="AZ396" i="1"/>
  <c r="BA396" i="1" s="1"/>
  <c r="AZ397" i="1"/>
  <c r="BA397" i="1" s="1"/>
  <c r="AZ398" i="1"/>
  <c r="BA398" i="1" s="1"/>
  <c r="AZ399" i="1"/>
  <c r="BA399" i="1" s="1"/>
  <c r="AZ400" i="1"/>
  <c r="BA400" i="1" s="1"/>
  <c r="AZ401" i="1"/>
  <c r="BA401" i="1" s="1"/>
  <c r="AZ402" i="1"/>
  <c r="BA402" i="1" s="1"/>
  <c r="AZ403" i="1"/>
  <c r="BA403" i="1" s="1"/>
  <c r="AZ404" i="1"/>
  <c r="BA404" i="1" s="1"/>
  <c r="AZ405" i="1"/>
  <c r="BA405" i="1" s="1"/>
  <c r="AZ406" i="1"/>
  <c r="BA406" i="1" s="1"/>
  <c r="AZ407" i="1"/>
  <c r="BA407" i="1" s="1"/>
  <c r="AZ408" i="1"/>
  <c r="BA408" i="1" s="1"/>
  <c r="AZ409" i="1"/>
  <c r="BA409" i="1" s="1"/>
  <c r="AZ410" i="1"/>
  <c r="BA410" i="1" s="1"/>
  <c r="AZ411" i="1"/>
  <c r="BA411" i="1" s="1"/>
  <c r="AZ412" i="1"/>
  <c r="BA412" i="1" s="1"/>
  <c r="AZ413" i="1"/>
  <c r="BA413" i="1" s="1"/>
  <c r="AZ414" i="1"/>
  <c r="BA414" i="1" s="1"/>
  <c r="AZ415" i="1"/>
  <c r="BA415" i="1" s="1"/>
  <c r="AZ416" i="1"/>
  <c r="BA416" i="1" s="1"/>
  <c r="AZ417" i="1"/>
  <c r="BA417" i="1" s="1"/>
  <c r="AZ418" i="1"/>
  <c r="BA418" i="1" s="1"/>
  <c r="AZ419" i="1"/>
  <c r="BA419" i="1" s="1"/>
  <c r="AZ420" i="1"/>
  <c r="BA420" i="1" s="1"/>
  <c r="AZ421" i="1"/>
  <c r="BA421" i="1" s="1"/>
  <c r="AZ422" i="1"/>
  <c r="BA422" i="1" s="1"/>
  <c r="AZ423" i="1"/>
  <c r="BA423" i="1" s="1"/>
  <c r="AZ424" i="1"/>
  <c r="BA424" i="1" s="1"/>
  <c r="AZ425" i="1"/>
  <c r="BA425" i="1" s="1"/>
  <c r="AZ426" i="1"/>
  <c r="BA426" i="1" s="1"/>
  <c r="AZ427" i="1"/>
  <c r="BA427" i="1" s="1"/>
  <c r="AZ428" i="1"/>
  <c r="BA428" i="1" s="1"/>
  <c r="AZ429" i="1"/>
  <c r="BA429" i="1" s="1"/>
  <c r="AZ430" i="1"/>
  <c r="BA430" i="1" s="1"/>
  <c r="AZ431" i="1"/>
  <c r="BA431" i="1" s="1"/>
  <c r="AZ432" i="1"/>
  <c r="BA432" i="1" s="1"/>
  <c r="AZ433" i="1"/>
  <c r="BA433" i="1" s="1"/>
  <c r="AZ434" i="1"/>
  <c r="BA434" i="1" s="1"/>
  <c r="AZ435" i="1"/>
  <c r="BA435" i="1" s="1"/>
  <c r="AZ436" i="1"/>
  <c r="BA436" i="1" s="1"/>
  <c r="AZ437" i="1"/>
  <c r="BA437" i="1" s="1"/>
  <c r="AZ438" i="1"/>
  <c r="BA438" i="1" s="1"/>
  <c r="AZ439" i="1"/>
  <c r="BA439" i="1" s="1"/>
  <c r="AZ440" i="1"/>
  <c r="BA440" i="1" s="1"/>
  <c r="AZ441" i="1"/>
  <c r="BA441" i="1" s="1"/>
  <c r="AZ442" i="1"/>
  <c r="BA442" i="1" s="1"/>
  <c r="AZ443" i="1"/>
  <c r="BA443" i="1" s="1"/>
  <c r="AZ444" i="1"/>
  <c r="BA444" i="1" s="1"/>
  <c r="AZ445" i="1"/>
  <c r="BA445" i="1" s="1"/>
  <c r="AZ446" i="1"/>
  <c r="BA446" i="1" s="1"/>
  <c r="AZ447" i="1"/>
  <c r="BA447" i="1" s="1"/>
  <c r="AZ448" i="1"/>
  <c r="BA448" i="1" s="1"/>
  <c r="AZ449" i="1"/>
  <c r="BA449" i="1" s="1"/>
  <c r="AZ450" i="1"/>
  <c r="BA450" i="1" s="1"/>
  <c r="AZ451" i="1"/>
  <c r="BA451" i="1" s="1"/>
  <c r="AZ452" i="1"/>
  <c r="BA452" i="1" s="1"/>
  <c r="AZ453" i="1"/>
  <c r="BA453" i="1" s="1"/>
  <c r="AZ454" i="1"/>
  <c r="BA454" i="1" s="1"/>
  <c r="AZ455" i="1"/>
  <c r="BA455" i="1" s="1"/>
  <c r="AZ456" i="1"/>
  <c r="BA456" i="1" s="1"/>
  <c r="AZ457" i="1"/>
  <c r="BA457" i="1" s="1"/>
  <c r="AZ458" i="1"/>
  <c r="BA458" i="1" s="1"/>
  <c r="AZ459" i="1"/>
  <c r="BA459" i="1" s="1"/>
  <c r="AZ460" i="1"/>
  <c r="BA460" i="1" s="1"/>
  <c r="AZ461" i="1"/>
  <c r="BA461" i="1" s="1"/>
  <c r="AZ462" i="1"/>
  <c r="BA462" i="1" s="1"/>
  <c r="AZ463" i="1"/>
  <c r="BA463" i="1" s="1"/>
  <c r="AZ464" i="1"/>
  <c r="BA464" i="1" s="1"/>
  <c r="AZ465" i="1"/>
  <c r="BA465" i="1" s="1"/>
  <c r="AZ466" i="1"/>
  <c r="BA466" i="1" s="1"/>
  <c r="AZ467" i="1"/>
  <c r="BA467" i="1" s="1"/>
  <c r="AZ468" i="1"/>
  <c r="BA468" i="1" s="1"/>
  <c r="AZ2" i="1"/>
  <c r="BA2" i="1" s="1"/>
  <c r="F2" i="10" l="1"/>
  <c r="I2" i="10" s="1"/>
  <c r="C2" i="11" s="1"/>
  <c r="F2" i="9"/>
  <c r="I2" i="9" s="1"/>
  <c r="B2" i="11" s="1"/>
  <c r="E6" i="4"/>
  <c r="E7" i="4" s="1"/>
  <c r="F7" i="5"/>
  <c r="F2" i="6"/>
  <c r="I2" i="6" s="1"/>
  <c r="D2" i="11" l="1"/>
  <c r="N2" i="9"/>
  <c r="K2" i="9"/>
  <c r="N2" i="10"/>
  <c r="M2" i="10"/>
  <c r="L2" i="10"/>
  <c r="K2" i="10"/>
  <c r="L2" i="9"/>
  <c r="M2" i="9"/>
  <c r="F8" i="5"/>
  <c r="F9" i="5"/>
  <c r="F10" i="5"/>
  <c r="E8" i="4"/>
  <c r="E9" i="4" s="1"/>
  <c r="M2" i="6"/>
  <c r="N2" i="6"/>
  <c r="K2" i="6"/>
  <c r="L2" i="6"/>
  <c r="G2" i="11" l="1"/>
  <c r="G3" i="11"/>
  <c r="E10" i="4"/>
  <c r="F11" i="5"/>
  <c r="E12" i="4"/>
  <c r="E11" i="4"/>
  <c r="G5" i="11" l="1"/>
  <c r="F12" i="5"/>
  <c r="F13" i="5" s="1"/>
  <c r="F14" i="5" s="1"/>
  <c r="E13" i="4"/>
  <c r="E14" i="4"/>
  <c r="F15" i="5" l="1"/>
  <c r="F16" i="5"/>
  <c r="E15" i="4"/>
  <c r="F17" i="5" l="1"/>
  <c r="E16" i="4"/>
  <c r="E17" i="4" s="1"/>
  <c r="F18" i="5" l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E18" i="4"/>
  <c r="E19" i="4" l="1"/>
  <c r="E20" i="4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l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M2" i="4" l="1" a="1"/>
  <c r="M2" i="4" s="1"/>
  <c r="L5" i="4"/>
  <c r="Q2" i="4" a="1"/>
  <c r="Q2" i="4" s="1"/>
  <c r="K5" i="4"/>
  <c r="O2" i="4" a="1"/>
  <c r="O2" i="4" s="1"/>
  <c r="J5" i="4"/>
  <c r="P2" i="4" a="1"/>
  <c r="P2" i="4" s="1"/>
  <c r="N2" i="4" a="1"/>
  <c r="N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<sst xmlns="http://schemas.openxmlformats.org/spreadsheetml/2006/main" count="4940" uniqueCount="593">
  <si>
    <t>Player Name</t>
  </si>
  <si>
    <t>Salary</t>
  </si>
  <si>
    <t>Position</t>
  </si>
  <si>
    <t>Age</t>
  </si>
  <si>
    <t>Team</t>
  </si>
  <si>
    <t>GP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</si>
  <si>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</si>
  <si>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</si>
  <si>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</si>
  <si>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</si>
  <si>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</si>
  <si>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</si>
  <si>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</si>
  <si>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</si>
  <si>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</si>
  <si>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</si>
  <si>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</si>
  <si>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</si>
  <si>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</si>
  <si>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</si>
  <si>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</si>
  <si>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</si>
  <si>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</si>
  <si>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</si>
  <si>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</si>
  <si>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</si>
  <si>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</si>
  <si>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</si>
  <si>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</si>
  <si>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</si>
  <si>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Total Minutes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</si>
  <si>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</si>
  <si>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</si>
  <si>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</si>
  <si>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</si>
  <si>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</si>
  <si>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</si>
  <si>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</si>
  <si>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</si>
  <si>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</si>
  <si>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</si>
  <si>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</si>
  <si>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</si>
  <si>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</si>
  <si>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</si>
  <si>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</si>
  <si>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</si>
  <si>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</si>
  <si>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</si>
  <si>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</si>
  <si>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</si>
  <si>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Stephen Curry</t>
  </si>
  <si>
    <t>PG</t>
  </si>
  <si>
    <t>GSW</t>
  </si>
  <si>
    <t>John Wall</t>
  </si>
  <si>
    <t>LAC</t>
  </si>
  <si>
    <t>Russell Westbrook</t>
  </si>
  <si>
    <t>LeBron James</t>
  </si>
  <si>
    <t>LAL</t>
  </si>
  <si>
    <t>Kevin Durant</t>
  </si>
  <si>
    <t>PHO</t>
  </si>
  <si>
    <t>Bradley Beal</t>
  </si>
  <si>
    <t>SG</t>
  </si>
  <si>
    <t>WAS</t>
  </si>
  <si>
    <t>Kawhi Leonard</t>
  </si>
  <si>
    <t>SF</t>
  </si>
  <si>
    <t>Paul George</t>
  </si>
  <si>
    <t>Giannis Antetokounmpo</t>
  </si>
  <si>
    <t>MIL</t>
  </si>
  <si>
    <t>Damian Lillard</t>
  </si>
  <si>
    <t>POR</t>
  </si>
  <si>
    <t>Klay Thompson</t>
  </si>
  <si>
    <t>Kyrie Irving</t>
  </si>
  <si>
    <t>DAL</t>
  </si>
  <si>
    <t>Rudy Gobert</t>
  </si>
  <si>
    <t>C</t>
  </si>
  <si>
    <t>MIN</t>
  </si>
  <si>
    <t>Khris Middleton</t>
  </si>
  <si>
    <t>Anthony Davis</t>
  </si>
  <si>
    <t>Jimmy Butler</t>
  </si>
  <si>
    <t>MIA</t>
  </si>
  <si>
    <t>Tobias Harris</t>
  </si>
  <si>
    <t>PHI</t>
  </si>
  <si>
    <t>Kemba Walker</t>
  </si>
  <si>
    <t>Trae Young</t>
  </si>
  <si>
    <t>ATL</t>
  </si>
  <si>
    <t>Zach LaVine</t>
  </si>
  <si>
    <t>CHI</t>
  </si>
  <si>
    <t>Ben Simmons</t>
  </si>
  <si>
    <t>BKN</t>
  </si>
  <si>
    <t>Pascal Siakam</t>
  </si>
  <si>
    <t>TOR</t>
  </si>
  <si>
    <t>Myles Turner</t>
  </si>
  <si>
    <t>IND</t>
  </si>
  <si>
    <t>Jrue Holiday</t>
  </si>
  <si>
    <t>Karl-Anthony Towns</t>
  </si>
  <si>
    <t>Devin Booker</t>
  </si>
  <si>
    <t>Andrew Wiggins</t>
  </si>
  <si>
    <t>Joel Embiid</t>
  </si>
  <si>
    <t>CJ McCollum</t>
  </si>
  <si>
    <t>NOP</t>
  </si>
  <si>
    <t>James Harden</t>
  </si>
  <si>
    <t>Jamal Murray</t>
  </si>
  <si>
    <t>DEN</t>
  </si>
  <si>
    <t>Brandon Ingram</t>
  </si>
  <si>
    <t>D'Angelo Russell</t>
  </si>
  <si>
    <t>Donovan Mitchell</t>
  </si>
  <si>
    <t>CLE</t>
  </si>
  <si>
    <t>Shai Gilgeous-Alexander</t>
  </si>
  <si>
    <t>OKC</t>
  </si>
  <si>
    <t>Deandre Ayton</t>
  </si>
  <si>
    <t>Kevin Love</t>
  </si>
  <si>
    <t>Jayson Tatum</t>
  </si>
  <si>
    <t>BOS</t>
  </si>
  <si>
    <t>Bam Adebayo</t>
  </si>
  <si>
    <t>De'Aaron Fox</t>
  </si>
  <si>
    <t>SAC</t>
  </si>
  <si>
    <t>Gordon Hayward</t>
  </si>
  <si>
    <t>CHA</t>
  </si>
  <si>
    <t>Jaylen Brown</t>
  </si>
  <si>
    <t>Chris Paul</t>
  </si>
  <si>
    <t>Kyle Lowry</t>
  </si>
  <si>
    <t>Jalen Brunson</t>
  </si>
  <si>
    <t>NYK</t>
  </si>
  <si>
    <t>DeMar DeRozan</t>
  </si>
  <si>
    <t>Al Horford</t>
  </si>
  <si>
    <t>Draymond Green</t>
  </si>
  <si>
    <t>Julius Randle</t>
  </si>
  <si>
    <t>John Collins</t>
  </si>
  <si>
    <t>Mike Conley</t>
  </si>
  <si>
    <t>UTA</t>
  </si>
  <si>
    <t>Malcolm Brogdon</t>
  </si>
  <si>
    <t>Anfernee Simons</t>
  </si>
  <si>
    <t>Terry Rozier</t>
  </si>
  <si>
    <t>Fred VanVleet</t>
  </si>
  <si>
    <t>Buddy Hield</t>
  </si>
  <si>
    <t>Domantas Sabonis</t>
  </si>
  <si>
    <t>Jerami Grant</t>
  </si>
  <si>
    <t>Aaron Gordon</t>
  </si>
  <si>
    <t>Mikal Bridges</t>
  </si>
  <si>
    <t>Jarrett Allen</t>
  </si>
  <si>
    <t>Nicolas Batum</t>
  </si>
  <si>
    <t>Eric Gordon</t>
  </si>
  <si>
    <t>Spencer Dinwiddie</t>
  </si>
  <si>
    <t>Caris LeVert</t>
  </si>
  <si>
    <t>Joe Harris</t>
  </si>
  <si>
    <t>Harrison Barnes</t>
  </si>
  <si>
    <t>Clint Capela</t>
  </si>
  <si>
    <t>Evan Fournier</t>
  </si>
  <si>
    <t>Steven Adams</t>
  </si>
  <si>
    <t>MEM</t>
  </si>
  <si>
    <t>Jonathan Isaac</t>
  </si>
  <si>
    <t>ORL</t>
  </si>
  <si>
    <t>OG Anunoby</t>
  </si>
  <si>
    <t>Marcus Smart</t>
  </si>
  <si>
    <t>Derrick White</t>
  </si>
  <si>
    <t>Dejounte Murray</t>
  </si>
  <si>
    <t>Mitchell Robinson</t>
  </si>
  <si>
    <t>Duncan Robinson</t>
  </si>
  <si>
    <t>Norman Powell</t>
  </si>
  <si>
    <t>Collin Sexton</t>
  </si>
  <si>
    <t>Markelle Fultz</t>
  </si>
  <si>
    <t>Lauri Markkanen</t>
  </si>
  <si>
    <t>Marcus Morris</t>
  </si>
  <si>
    <t>Malik Beasley</t>
  </si>
  <si>
    <t>Luguentz Dort</t>
  </si>
  <si>
    <t>Will Barton</t>
  </si>
  <si>
    <t>Tyus Jones</t>
  </si>
  <si>
    <t>Derrick Rose</t>
  </si>
  <si>
    <t>Kevin Huerter</t>
  </si>
  <si>
    <t>Christian Wood</t>
  </si>
  <si>
    <t>Kentavious Caldwell-Pope</t>
  </si>
  <si>
    <t>Brook Lopez</t>
  </si>
  <si>
    <t>Patrick Beverley</t>
  </si>
  <si>
    <t>Doug McDermott</t>
  </si>
  <si>
    <t>SAS</t>
  </si>
  <si>
    <t>Luke Kennard</t>
  </si>
  <si>
    <t>Zion Williamson</t>
  </si>
  <si>
    <t>Jordan Clarkson</t>
  </si>
  <si>
    <t>Gary Harris</t>
  </si>
  <si>
    <t>Kyle Kuzma</t>
  </si>
  <si>
    <t>Josh Hart</t>
  </si>
  <si>
    <t>Dorian Finney-Smith</t>
  </si>
  <si>
    <t>Kelly Olynyk</t>
  </si>
  <si>
    <t>Chris Boucher</t>
  </si>
  <si>
    <t>Robert Covington</t>
  </si>
  <si>
    <t>Josh Richardson</t>
  </si>
  <si>
    <t>Ja Morant</t>
  </si>
  <si>
    <t>Danny Green</t>
  </si>
  <si>
    <t>Terrence Ross</t>
  </si>
  <si>
    <t>Reggie Jackson</t>
  </si>
  <si>
    <t>Dillon Brooks</t>
  </si>
  <si>
    <t>Richaun Holmes</t>
  </si>
  <si>
    <t>Dwight Powell</t>
  </si>
  <si>
    <t>Paolo Banchero</t>
  </si>
  <si>
    <t>RJ Barrett</t>
  </si>
  <si>
    <t>Bobby Portis</t>
  </si>
  <si>
    <t>DeAndre Jordan</t>
  </si>
  <si>
    <t>Anthony Edwards</t>
  </si>
  <si>
    <t>Robert Williams</t>
  </si>
  <si>
    <t>Cade Cunningham</t>
  </si>
  <si>
    <t>DET</t>
  </si>
  <si>
    <t>Mo Bamba</t>
  </si>
  <si>
    <t>Talen Horton-Tucker</t>
  </si>
  <si>
    <t>Jae Crowder</t>
  </si>
  <si>
    <t>Ivica Zubac</t>
  </si>
  <si>
    <t>Reggie Bullock</t>
  </si>
  <si>
    <t>Alec Burks</t>
  </si>
  <si>
    <t>De'Andre Hunter</t>
  </si>
  <si>
    <t>James Wiseman</t>
  </si>
  <si>
    <t>Landry Shamet</t>
  </si>
  <si>
    <t>Malik Monk</t>
  </si>
  <si>
    <t>Jalen Green</t>
  </si>
  <si>
    <t>HOU</t>
  </si>
  <si>
    <t>Jakob Poeltl</t>
  </si>
  <si>
    <t>Nerlens Noel</t>
  </si>
  <si>
    <t>Royce O'Neale</t>
  </si>
  <si>
    <t>Monte Morris</t>
  </si>
  <si>
    <t>Mason Plumlee</t>
  </si>
  <si>
    <t>Alex Caruso</t>
  </si>
  <si>
    <t>Maxi Kleber</t>
  </si>
  <si>
    <t>Grayson Allen</t>
  </si>
  <si>
    <t>Darius Garland</t>
  </si>
  <si>
    <t>Isaiah Hartenstein</t>
  </si>
  <si>
    <t>Kyle Anderson</t>
  </si>
  <si>
    <t>Victor Oladipo</t>
  </si>
  <si>
    <t>Daniel Theis</t>
  </si>
  <si>
    <t>LaMelo Ball</t>
  </si>
  <si>
    <t>Seth Curry</t>
  </si>
  <si>
    <t>Evan Mobley</t>
  </si>
  <si>
    <t>Gary Payton II</t>
  </si>
  <si>
    <t>Dewayne Dedmon</t>
  </si>
  <si>
    <t>De'Anthony Melton</t>
  </si>
  <si>
    <t>JaMychal Green</t>
  </si>
  <si>
    <t>Keegan Murray</t>
  </si>
  <si>
    <t>Kevon Looney</t>
  </si>
  <si>
    <t>Thaddeus Young</t>
  </si>
  <si>
    <t>Delon Wright</t>
  </si>
  <si>
    <t>Patrick Williams</t>
  </si>
  <si>
    <t>Scottie Barnes</t>
  </si>
  <si>
    <t>Cedi Osman</t>
  </si>
  <si>
    <t>Coby White</t>
  </si>
  <si>
    <t>Zach Collins</t>
  </si>
  <si>
    <t>Jaden Ivey</t>
  </si>
  <si>
    <t>Taurean Prince</t>
  </si>
  <si>
    <t>Jae'Sean Tate</t>
  </si>
  <si>
    <t>Isaac Okoro</t>
  </si>
  <si>
    <t>Cody Martin</t>
  </si>
  <si>
    <t>Jalen Suggs</t>
  </si>
  <si>
    <t>Jaxson Hayes</t>
  </si>
  <si>
    <t>Khem Birch</t>
  </si>
  <si>
    <t>Bennedict Mathurin</t>
  </si>
  <si>
    <t>Bruce Brown</t>
  </si>
  <si>
    <t>Caleb Martin</t>
  </si>
  <si>
    <t>Joe Ingles</t>
  </si>
  <si>
    <t>Onyeka Okongwu</t>
  </si>
  <si>
    <t>Josh Giddey</t>
  </si>
  <si>
    <t>Rui Hachimura</t>
  </si>
  <si>
    <t>Rudy Gay</t>
  </si>
  <si>
    <t>Jevon Carter</t>
  </si>
  <si>
    <t>Shaedon Sharpe</t>
  </si>
  <si>
    <t>Cameron Payne</t>
  </si>
  <si>
    <t>Justin Holiday</t>
  </si>
  <si>
    <t>Cam Reddish</t>
  </si>
  <si>
    <t>Cameron Johnson</t>
  </si>
  <si>
    <t>Ricky Rubio</t>
  </si>
  <si>
    <t>Killian Hayes</t>
  </si>
  <si>
    <t>Jonathan Kuminga</t>
  </si>
  <si>
    <t>Pat Connaughton</t>
  </si>
  <si>
    <t>Tyler Herro</t>
  </si>
  <si>
    <t>Romeo Langford</t>
  </si>
  <si>
    <t>Dyson Daniels</t>
  </si>
  <si>
    <t>JaVale McGee</t>
  </si>
  <si>
    <t>Goga Bitadze</t>
  </si>
  <si>
    <t>Obi Toppin</t>
  </si>
  <si>
    <t>Franz Wagner</t>
  </si>
  <si>
    <t>Kendrick Nunn</t>
  </si>
  <si>
    <t>Hamidou Diallo</t>
  </si>
  <si>
    <t>Cory Joseph</t>
  </si>
  <si>
    <t>Garrett Temple</t>
  </si>
  <si>
    <t>Torrey Craig</t>
  </si>
  <si>
    <t>Jeremy Sochan</t>
  </si>
  <si>
    <t>Nickeil Alexander-Walker</t>
  </si>
  <si>
    <t>Furkan Korkmaz</t>
  </si>
  <si>
    <t>Deni Avdija</t>
  </si>
  <si>
    <t>Davion Mitchell</t>
  </si>
  <si>
    <t>Johnny Davis</t>
  </si>
  <si>
    <t>Ty Jerome</t>
  </si>
  <si>
    <t>Jalen Smith</t>
  </si>
  <si>
    <t>Ziaire Williams</t>
  </si>
  <si>
    <t>Ousmane Dieng</t>
  </si>
  <si>
    <t>Jeff Green</t>
  </si>
  <si>
    <t>Donte DiVincenzo</t>
  </si>
  <si>
    <t>Devin Vassell</t>
  </si>
  <si>
    <t>Matisse Thybulle</t>
  </si>
  <si>
    <t>Jarred Vanderbilt</t>
  </si>
  <si>
    <t>James Bouknight</t>
  </si>
  <si>
    <t>Brandon Clarke</t>
  </si>
  <si>
    <t>Jalen Williams</t>
  </si>
  <si>
    <t>Grant Williams</t>
  </si>
  <si>
    <t>Darius Bazley</t>
  </si>
  <si>
    <t>Tyrese Haliburton</t>
  </si>
  <si>
    <t>Nassir Little</t>
  </si>
  <si>
    <t>Jalen Duren</t>
  </si>
  <si>
    <t>Gorgui Dieng</t>
  </si>
  <si>
    <t>Justise Winslow</t>
  </si>
  <si>
    <t>Dylan Windler</t>
  </si>
  <si>
    <t>Stanley Johnson</t>
  </si>
  <si>
    <t>George Hill</t>
  </si>
  <si>
    <t>Terence Davis</t>
  </si>
  <si>
    <t>Chris Duarte</t>
  </si>
  <si>
    <t>Alex Len</t>
  </si>
  <si>
    <t>Ochai Agbaji</t>
  </si>
  <si>
    <t>Jordan Poole</t>
  </si>
  <si>
    <t>Keldon Johnson</t>
  </si>
  <si>
    <t>James Johnson</t>
  </si>
  <si>
    <t>Aaron Nesmith</t>
  </si>
  <si>
    <t>Moses Moody</t>
  </si>
  <si>
    <t>Mark Williams</t>
  </si>
  <si>
    <t>Cole Anthony</t>
  </si>
  <si>
    <t>Corey Kispert</t>
  </si>
  <si>
    <t>AJ Griffin</t>
  </si>
  <si>
    <t>Mike Muscala</t>
  </si>
  <si>
    <t>Georges Niang</t>
  </si>
  <si>
    <t>Isaiah Stewart</t>
  </si>
  <si>
    <t>Chuma Okeke</t>
  </si>
  <si>
    <t>Amir Coffey</t>
  </si>
  <si>
    <t>Tari Eason</t>
  </si>
  <si>
    <t>Aleksej Pokusevski</t>
  </si>
  <si>
    <t>Simone Fontecchio</t>
  </si>
  <si>
    <t>Andre Drummond</t>
  </si>
  <si>
    <t>Dalen Terry</t>
  </si>
  <si>
    <t>Sterling Brown</t>
  </si>
  <si>
    <t>Josh Green</t>
  </si>
  <si>
    <t>Jake LaRavia</t>
  </si>
  <si>
    <t>Tre Mann</t>
  </si>
  <si>
    <t>Kevin Knox</t>
  </si>
  <si>
    <t>Saddiq Bey</t>
  </si>
  <si>
    <t>Malaki Branham</t>
  </si>
  <si>
    <t>Joe Wieskamp</t>
  </si>
  <si>
    <t>Kai Jones</t>
  </si>
  <si>
    <t>Blake Griffin</t>
  </si>
  <si>
    <t>Robin Lopez</t>
  </si>
  <si>
    <t>Markieff Morris</t>
  </si>
  <si>
    <t>Andre Iguodala</t>
  </si>
  <si>
    <t>Serge Ibaka</t>
  </si>
  <si>
    <t>Udonis Haslem</t>
  </si>
  <si>
    <t>Wesley Matthews</t>
  </si>
  <si>
    <t>Austin Rivers</t>
  </si>
  <si>
    <t>Bismack Biyombo</t>
  </si>
  <si>
    <t>Taj Gibson</t>
  </si>
  <si>
    <t>Precious Achiuwa</t>
  </si>
  <si>
    <t>Christian Braun</t>
  </si>
  <si>
    <t>Jordan Nwora</t>
  </si>
  <si>
    <t>Jalen Johnson</t>
  </si>
  <si>
    <t>Tyrese Maxey</t>
  </si>
  <si>
    <t>Bruno Fernando</t>
  </si>
  <si>
    <t>Walker Kessler</t>
  </si>
  <si>
    <t>Keon Johnson</t>
  </si>
  <si>
    <t>Charles Bassey</t>
  </si>
  <si>
    <t>Matthew Dellavedova</t>
  </si>
  <si>
    <t>Trey Lyles</t>
  </si>
  <si>
    <t>Zeke Nnaji</t>
  </si>
  <si>
    <t>David Roddy</t>
  </si>
  <si>
    <t>Isaiah Jackson</t>
  </si>
  <si>
    <t>MarJon Beauchamp</t>
  </si>
  <si>
    <t>Usman Garuba</t>
  </si>
  <si>
    <t>Raul Neto</t>
  </si>
  <si>
    <t>Frank Kaminsky</t>
  </si>
  <si>
    <t>Montrezl Harrell</t>
  </si>
  <si>
    <t>Blake Wesley</t>
  </si>
  <si>
    <t>Josh Christopher</t>
  </si>
  <si>
    <t>Isaiah Roby</t>
  </si>
  <si>
    <t>Lindy Waters III</t>
  </si>
  <si>
    <t>Immanuel Quickley</t>
  </si>
  <si>
    <t>John Konchar</t>
  </si>
  <si>
    <t>Rodney McGruder</t>
  </si>
  <si>
    <t>Bryn Forbes</t>
  </si>
  <si>
    <t>Damian Jones</t>
  </si>
  <si>
    <t>Quentin Grimes</t>
  </si>
  <si>
    <t>Saben Lee</t>
  </si>
  <si>
    <t>Andrew Nembhard</t>
  </si>
  <si>
    <t>Payton Pritchard</t>
  </si>
  <si>
    <t>Bones Hyland</t>
  </si>
  <si>
    <t>Bol Bol</t>
  </si>
  <si>
    <t>Peyton Watson</t>
  </si>
  <si>
    <t>Udoka Azubuike</t>
  </si>
  <si>
    <t>Jaden McDaniels</t>
  </si>
  <si>
    <t>Jordan McLaughlin</t>
  </si>
  <si>
    <t>Malachi Flynn</t>
  </si>
  <si>
    <t>Cam Thomas</t>
  </si>
  <si>
    <t>Luke Kornet</t>
  </si>
  <si>
    <t>Damion Lee</t>
  </si>
  <si>
    <t>Juan Toscano-Anderson</t>
  </si>
  <si>
    <t>Desmond Bane</t>
  </si>
  <si>
    <t>Jaden Springer</t>
  </si>
  <si>
    <t>Day'Ron Sharpe</t>
  </si>
  <si>
    <t>Tony Bradley</t>
  </si>
  <si>
    <t>Frank Ntilikina</t>
  </si>
  <si>
    <t>Garrison Mathews</t>
  </si>
  <si>
    <t>Jaylin Williams</t>
  </si>
  <si>
    <t>Jeremiah Robinson-Earl</t>
  </si>
  <si>
    <t>Kenrich Williams</t>
  </si>
  <si>
    <t>Caleb Houstan</t>
  </si>
  <si>
    <t>Shake Milton</t>
  </si>
  <si>
    <t>Aaron Holiday</t>
  </si>
  <si>
    <t>Yuta Watanabe</t>
  </si>
  <si>
    <t>Edmond Sumner</t>
  </si>
  <si>
    <t>Theo Pinson</t>
  </si>
  <si>
    <t>Thomas Bryant</t>
  </si>
  <si>
    <t>Josh Okogie</t>
  </si>
  <si>
    <t>Drew Eubanks</t>
  </si>
  <si>
    <t>Dean Wade</t>
  </si>
  <si>
    <t>Terance Mann</t>
  </si>
  <si>
    <t>Jaylen Nowell</t>
  </si>
  <si>
    <t>Naz Reid</t>
  </si>
  <si>
    <t>Jalen McDaniels</t>
  </si>
  <si>
    <t>Daniel Gafford</t>
  </si>
  <si>
    <t>Chimezie Metu</t>
  </si>
  <si>
    <t>Davon Reed</t>
  </si>
  <si>
    <t>KZ Okpala</t>
  </si>
  <si>
    <t>Wenyen Gabriel</t>
  </si>
  <si>
    <t>Thanasis Antetokounmpo</t>
  </si>
  <si>
    <t>Moritz Wagner</t>
  </si>
  <si>
    <t>Keita Bates-Diop</t>
  </si>
  <si>
    <t>Oshae Brissett</t>
  </si>
  <si>
    <t>Nathan Knight</t>
  </si>
  <si>
    <t>Justin Jackson</t>
  </si>
  <si>
    <t>Isaiah Joe</t>
  </si>
  <si>
    <t>Ryan Arcidiacono</t>
  </si>
  <si>
    <t>Anthony Gill</t>
  </si>
  <si>
    <t>Javonte Green</t>
  </si>
  <si>
    <t>Gabe Vincent</t>
  </si>
  <si>
    <t>Max Strus</t>
  </si>
  <si>
    <t>Nick Richards</t>
  </si>
  <si>
    <t>Lamar Stevens</t>
  </si>
  <si>
    <t>Naji Marshall</t>
  </si>
  <si>
    <t>Paul Reed</t>
  </si>
  <si>
    <t>Tre Jones</t>
  </si>
  <si>
    <t>Haywood Highsmith</t>
  </si>
  <si>
    <t>Omer Yurtseven</t>
  </si>
  <si>
    <t>Leandro Bolmaro</t>
  </si>
  <si>
    <t>Terry Taylor</t>
  </si>
  <si>
    <t>Jared Butler</t>
  </si>
  <si>
    <t>Jericho Sims</t>
  </si>
  <si>
    <t>Sam Hauser</t>
  </si>
  <si>
    <t>Kessler Edwards</t>
  </si>
  <si>
    <t>Isaiah Todd</t>
  </si>
  <si>
    <t>Vit Krejci</t>
  </si>
  <si>
    <t>JT Thor</t>
  </si>
  <si>
    <t>Marko Simonovic</t>
  </si>
  <si>
    <t>Ayo Dosunmu</t>
  </si>
  <si>
    <t>Isaiah Livers</t>
  </si>
  <si>
    <t>Daishen Nix</t>
  </si>
  <si>
    <t>Jason Preston</t>
  </si>
  <si>
    <t>Austin Reaves</t>
  </si>
  <si>
    <t>Jose Alvarado</t>
  </si>
  <si>
    <t>Miles McBride</t>
  </si>
  <si>
    <t>Aaron Wiggins</t>
  </si>
  <si>
    <t>Jock Landale</t>
  </si>
  <si>
    <t>Trendon Watford</t>
  </si>
  <si>
    <t>Dalano Banton</t>
  </si>
  <si>
    <t>Christian Koloko</t>
  </si>
  <si>
    <t>Bryce McGowens</t>
  </si>
  <si>
    <t>Jordan Goodwin</t>
  </si>
  <si>
    <t>Kennedy Chandler</t>
  </si>
  <si>
    <t>Noah Vonleh</t>
  </si>
  <si>
    <t>Sandro Mamukelashvili</t>
  </si>
  <si>
    <t>Sam Merrill</t>
  </si>
  <si>
    <t>Tyrese Martin</t>
  </si>
  <si>
    <t>Jaden Hardy</t>
  </si>
  <si>
    <t>Ryan Rollins</t>
  </si>
  <si>
    <t>Max Christie</t>
  </si>
  <si>
    <t>Josh Minott</t>
  </si>
  <si>
    <t>Jabari Walker</t>
  </si>
  <si>
    <t>Eugene Omoruyi</t>
  </si>
  <si>
    <t>Kris Dunn</t>
  </si>
  <si>
    <t>Admiral Schofield</t>
  </si>
  <si>
    <t>Justin Champagnie</t>
  </si>
  <si>
    <t>Trevelin Queen</t>
  </si>
  <si>
    <t>Moses Brown</t>
  </si>
  <si>
    <t>Matt Ryan</t>
  </si>
  <si>
    <t>PJ Dozier</t>
  </si>
  <si>
    <t>Cody Zeller</t>
  </si>
  <si>
    <t>Meyers Leonard</t>
  </si>
  <si>
    <t>Anthony Lamb</t>
  </si>
  <si>
    <t>Michael Carter-Williams</t>
  </si>
  <si>
    <t>Carlik Jones</t>
  </si>
  <si>
    <t>Trevor Keels</t>
  </si>
  <si>
    <t>Dereon Seabron</t>
  </si>
  <si>
    <t>Trent Forrest</t>
  </si>
  <si>
    <t>Mfiondu Kabengele</t>
  </si>
  <si>
    <t>JD Davison</t>
  </si>
  <si>
    <t>Malcolm Hill</t>
  </si>
  <si>
    <t>Mamadi Diakite</t>
  </si>
  <si>
    <t>Isaiah Mobley</t>
  </si>
  <si>
    <t>Jack White</t>
  </si>
  <si>
    <t>Buddy Boeheim</t>
  </si>
  <si>
    <t>Darius Days</t>
  </si>
  <si>
    <t>Trevor Hudgins</t>
  </si>
  <si>
    <t>Kendall Brown</t>
  </si>
  <si>
    <t>Cole Swider</t>
  </si>
  <si>
    <t>Jamal Cain</t>
  </si>
  <si>
    <t>Luka Garza</t>
  </si>
  <si>
    <t>Kevon Harris</t>
  </si>
  <si>
    <t>Keon Ellis</t>
  </si>
  <si>
    <t>Neemias Queta</t>
  </si>
  <si>
    <t>Dominick Barlow</t>
  </si>
  <si>
    <t>Julian Champagnie</t>
  </si>
  <si>
    <t>Jeff Dowtin</t>
  </si>
  <si>
    <t>Micah Potter</t>
  </si>
  <si>
    <t>Johnny Juzang</t>
  </si>
  <si>
    <t>John Butler</t>
  </si>
  <si>
    <t>Chima Moneke</t>
  </si>
  <si>
    <t>Facundo Campazzo</t>
  </si>
  <si>
    <t>Orlando Robinson</t>
  </si>
  <si>
    <t>Dru Smith</t>
  </si>
  <si>
    <t>Jared Rhoden</t>
  </si>
  <si>
    <t>Louis King</t>
  </si>
  <si>
    <t>Jarrett Culver</t>
  </si>
  <si>
    <t>Olivier Sarr</t>
  </si>
  <si>
    <t>Alondes Williams</t>
  </si>
  <si>
    <t>Donovan Williams</t>
  </si>
  <si>
    <t>Quenton Jackson</t>
  </si>
  <si>
    <t>Chris Silva</t>
  </si>
  <si>
    <t>Tyler Dorsey</t>
  </si>
  <si>
    <t>Braxton Key</t>
  </si>
  <si>
    <t>Jordan Hall</t>
  </si>
  <si>
    <t>Alize Johnson</t>
  </si>
  <si>
    <t>Devon Dotson</t>
  </si>
  <si>
    <t>Mac McClung</t>
  </si>
  <si>
    <t>Xavier Cooks</t>
  </si>
  <si>
    <t>Shaquille Harrison</t>
  </si>
  <si>
    <t>Lester Quinones</t>
  </si>
  <si>
    <t>Xavier Moon</t>
  </si>
  <si>
    <t>Jamaree Bouyea</t>
  </si>
  <si>
    <t>Jay Huff</t>
  </si>
  <si>
    <t>Skylar Mays</t>
  </si>
  <si>
    <t>Frank Jackson</t>
  </si>
  <si>
    <t>Deonte Burton</t>
  </si>
  <si>
    <t>Jarrell Brantley</t>
  </si>
  <si>
    <t>Xavier Sneed</t>
  </si>
  <si>
    <t>Lindell Wigginton</t>
  </si>
  <si>
    <t>Jordan Schakel</t>
  </si>
  <si>
    <t>Stanley Umude</t>
  </si>
  <si>
    <t>Jeenathan Williams</t>
  </si>
  <si>
    <t>Jay Scrubb</t>
  </si>
  <si>
    <t>Justin Minaya</t>
  </si>
  <si>
    <t>Kobi Simmons</t>
  </si>
  <si>
    <t>Gabe York</t>
  </si>
  <si>
    <t>RaiQuan Gray</t>
  </si>
  <si>
    <t>Jacob Gilyard</t>
  </si>
  <si>
    <t>Score</t>
  </si>
  <si>
    <t>Score_per_$M</t>
  </si>
  <si>
    <t>Decision Variable</t>
  </si>
  <si>
    <t>Total Score</t>
  </si>
  <si>
    <t>Total Players</t>
  </si>
  <si>
    <t>Total Salary</t>
  </si>
  <si>
    <t>PG_Count</t>
  </si>
  <si>
    <t>SG_Count</t>
  </si>
  <si>
    <t>SF_Count</t>
  </si>
  <si>
    <t>PF_Count</t>
  </si>
  <si>
    <t>C_Count</t>
  </si>
  <si>
    <t>Cap</t>
  </si>
  <si>
    <t>Roster Size</t>
  </si>
  <si>
    <t>Selected</t>
  </si>
  <si>
    <t>Running_Salary</t>
  </si>
  <si>
    <t>Total Heuristic Score</t>
  </si>
  <si>
    <t>Total Player</t>
  </si>
  <si>
    <t>Sim Score</t>
  </si>
  <si>
    <t>Random Factor</t>
  </si>
  <si>
    <t xml:space="preserve"> </t>
  </si>
  <si>
    <t>Team Score</t>
  </si>
  <si>
    <t>Iteration</t>
  </si>
  <si>
    <t>Sim Team Score</t>
  </si>
  <si>
    <t>Dummy</t>
  </si>
  <si>
    <t>Mean</t>
  </si>
  <si>
    <t>Std dev</t>
  </si>
  <si>
    <t>Best case</t>
  </si>
  <si>
    <t>Worst case</t>
  </si>
  <si>
    <t>Luka Doncic</t>
  </si>
  <si>
    <t>=</t>
  </si>
  <si>
    <t>BB193</t>
  </si>
  <si>
    <t>BB28</t>
  </si>
  <si>
    <t>Luka</t>
  </si>
  <si>
    <t>Kyrie</t>
  </si>
  <si>
    <t>BB26</t>
  </si>
  <si>
    <t>DAL_Score</t>
  </si>
  <si>
    <t>BOS_Score</t>
  </si>
  <si>
    <t>Results</t>
  </si>
  <si>
    <t>Count</t>
  </si>
  <si>
    <t>W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</si>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</sst>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44" fontId="0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2" borderId="0" xfId="0" applyFont="1" applyFill="1"/>
    <xf numFmtId="0" fontId="0" fillId="7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2" fontId="0" fillId="7" borderId="0" xfId="0" applyNumberFormat="1" applyFill="1"/>
    <xf numFmtId="44" fontId="0" fillId="0" borderId="0" xfId="0" applyNumberFormat="1"/>
    <xf numFmtId="164" fontId="0" fillId="7" borderId="0" xfId="1" applyNumberFormat="1" applyFont="1" applyFill="1"/>
    <xf numFmtId="165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C3E8-9CA4-4573-BFC7-FAEE5B5406E7}">
  <sheetPr filterMode="1"/>
  <dimension ref="A1:BA468"/>
  <sheetViews>
    <sheetView topLeftCell="AP1" workbookViewId="0">
      <pane ySplit="1" topLeftCell="A2" activePane="bottomLeft" state="frozen"/>
      <selection pane="bottomLeft" activeCell="BA2" sqref="BA2"/>
    </sheetView>
  </sheetViews>
  <sheetFormatPr defaultRowHeight="15" x14ac:dyDescent="0.25"/>
  <cols>
    <col min="1" max="1" width="24.28515625" bestFit="1" customWidth="1"/>
    <col min="2" max="2" width="15.28515625" bestFit="1" customWidth="1"/>
    <col min="3" max="3" width="10.7109375" bestFit="1" customWidth="1"/>
    <col min="4" max="4" width="6.5703125" bestFit="1" customWidth="1"/>
    <col min="5" max="5" width="8.140625" bestFit="1" customWidth="1"/>
    <col min="6" max="7" width="5.85546875" bestFit="1" customWidth="1"/>
    <col min="8" max="8" width="6" bestFit="1" customWidth="1"/>
    <col min="9" max="9" width="5.7109375" bestFit="1" customWidth="1"/>
    <col min="10" max="10" width="6.85546875" bestFit="1" customWidth="1"/>
    <col min="11" max="11" width="7.28515625" bestFit="1" customWidth="1"/>
    <col min="12" max="12" width="5.42578125" bestFit="1" customWidth="1"/>
    <col min="13" max="13" width="6.5703125" bestFit="1" customWidth="1"/>
    <col min="14" max="14" width="7" bestFit="1" customWidth="1"/>
    <col min="15" max="15" width="5.42578125" bestFit="1" customWidth="1"/>
    <col min="16" max="16" width="6.5703125" bestFit="1" customWidth="1"/>
    <col min="17" max="17" width="7" bestFit="1" customWidth="1"/>
    <col min="18" max="18" width="8.42578125" bestFit="1" customWidth="1"/>
    <col min="19" max="19" width="5.28515625" bestFit="1" customWidth="1"/>
    <col min="20" max="20" width="6.42578125" bestFit="1" customWidth="1"/>
    <col min="21" max="21" width="6.85546875" bestFit="1" customWidth="1"/>
    <col min="22" max="23" width="7.140625" bestFit="1" customWidth="1"/>
    <col min="24" max="24" width="6.7109375" bestFit="1" customWidth="1"/>
    <col min="25" max="25" width="6.5703125" bestFit="1" customWidth="1"/>
    <col min="26" max="26" width="6.42578125" bestFit="1" customWidth="1"/>
    <col min="27" max="27" width="6.5703125" bestFit="1" customWidth="1"/>
    <col min="28" max="28" width="6.85546875" bestFit="1" customWidth="1"/>
    <col min="29" max="29" width="5.42578125" bestFit="1" customWidth="1"/>
    <col min="30" max="30" width="6.5703125" bestFit="1" customWidth="1"/>
    <col min="31" max="31" width="15.5703125" bestFit="1" customWidth="1"/>
    <col min="32" max="32" width="6.85546875" bestFit="1" customWidth="1"/>
    <col min="33" max="33" width="7" bestFit="1" customWidth="1"/>
    <col min="34" max="34" width="7.28515625" bestFit="1" customWidth="1"/>
    <col min="35" max="35" width="6" bestFit="1" customWidth="1"/>
    <col min="36" max="37" width="8.7109375" bestFit="1" customWidth="1"/>
    <col min="38" max="38" width="8.28515625" bestFit="1" customWidth="1"/>
    <col min="39" max="39" width="8.140625" bestFit="1" customWidth="1"/>
    <col min="40" max="40" width="8" bestFit="1" customWidth="1"/>
    <col min="41" max="41" width="8.140625" bestFit="1" customWidth="1"/>
    <col min="42" max="42" width="8.42578125" bestFit="1" customWidth="1"/>
    <col min="43" max="43" width="8.7109375" bestFit="1" customWidth="1"/>
    <col min="44" max="45" width="7.7109375" bestFit="1" customWidth="1"/>
    <col min="46" max="46" width="6.28515625" bestFit="1" customWidth="1"/>
    <col min="47" max="47" width="9" bestFit="1" customWidth="1"/>
    <col min="48" max="49" width="8.5703125" bestFit="1" customWidth="1"/>
    <col min="50" max="50" width="7.140625" bestFit="1" customWidth="1"/>
    <col min="51" max="51" width="8.28515625" bestFit="1" customWidth="1"/>
    <col min="52" max="52" width="8.42578125" style="8" bestFit="1" customWidth="1"/>
    <col min="53" max="53" width="15.85546875" style="8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552</v>
      </c>
      <c r="BA1" s="7" t="s">
        <v>553</v>
      </c>
    </row>
    <row r="2" spans="1:53" x14ac:dyDescent="0.25">
      <c r="A2" t="s">
        <v>51</v>
      </c>
      <c r="B2" s="2">
        <v>48070014</v>
      </c>
      <c r="C2" t="s">
        <v>52</v>
      </c>
      <c r="D2">
        <v>34</v>
      </c>
      <c r="E2" t="s">
        <v>53</v>
      </c>
      <c r="F2">
        <v>56</v>
      </c>
      <c r="G2">
        <v>56</v>
      </c>
      <c r="H2">
        <v>34.700000000000003</v>
      </c>
      <c r="I2">
        <v>10</v>
      </c>
      <c r="J2">
        <v>20.2</v>
      </c>
      <c r="K2">
        <v>0.49299999999999999</v>
      </c>
      <c r="L2">
        <v>4.9000000000000004</v>
      </c>
      <c r="M2">
        <v>11.4</v>
      </c>
      <c r="N2">
        <v>0.42699999999999999</v>
      </c>
      <c r="O2">
        <v>5.0999999999999996</v>
      </c>
      <c r="P2">
        <v>8.8000000000000007</v>
      </c>
      <c r="Q2">
        <v>0.57899999999999996</v>
      </c>
      <c r="R2">
        <v>0.61399999999999999</v>
      </c>
      <c r="S2">
        <v>4.5999999999999996</v>
      </c>
      <c r="T2">
        <v>5</v>
      </c>
      <c r="U2">
        <v>0.91500000000000004</v>
      </c>
      <c r="V2">
        <v>0.7</v>
      </c>
      <c r="W2">
        <v>5.4</v>
      </c>
      <c r="X2">
        <v>6.1</v>
      </c>
      <c r="Y2">
        <v>6.3</v>
      </c>
      <c r="Z2">
        <v>0.9</v>
      </c>
      <c r="AA2">
        <v>0.4</v>
      </c>
      <c r="AB2">
        <v>3.2</v>
      </c>
      <c r="AC2">
        <v>2.1</v>
      </c>
      <c r="AD2">
        <v>29.4</v>
      </c>
      <c r="AE2">
        <v>1941</v>
      </c>
      <c r="AF2">
        <v>24.1</v>
      </c>
      <c r="AG2">
        <v>0.65600000000000003</v>
      </c>
      <c r="AH2">
        <v>0.56399999999999995</v>
      </c>
      <c r="AI2">
        <v>0.248</v>
      </c>
      <c r="AJ2">
        <v>2.2999999999999998</v>
      </c>
      <c r="AK2">
        <v>16.8</v>
      </c>
      <c r="AL2">
        <v>9.6999999999999993</v>
      </c>
      <c r="AM2">
        <v>30</v>
      </c>
      <c r="AN2">
        <v>1.3</v>
      </c>
      <c r="AO2">
        <v>0.9</v>
      </c>
      <c r="AP2">
        <v>12.5</v>
      </c>
      <c r="AQ2">
        <v>31</v>
      </c>
      <c r="AR2">
        <v>5.8</v>
      </c>
      <c r="AS2">
        <v>2</v>
      </c>
      <c r="AT2">
        <v>7.8</v>
      </c>
      <c r="AU2">
        <v>0.192</v>
      </c>
      <c r="AV2">
        <v>7.5</v>
      </c>
      <c r="AW2">
        <v>0.1</v>
      </c>
      <c r="AX2">
        <v>7.5</v>
      </c>
      <c r="AY2">
        <v>4.7</v>
      </c>
      <c r="AZ2" s="8">
        <f>0.5*AX2 + 0.5*AT2</f>
        <v>7.65</v>
      </c>
      <c r="BA2" s="8">
        <f>IF(B2&gt;0, AZ2*1000000/B2, 0)</f>
        <v>0.15914287023090945</v>
      </c>
    </row>
    <row r="3" spans="1:53" hidden="1" x14ac:dyDescent="0.25">
      <c r="A3" t="s">
        <v>54</v>
      </c>
      <c r="B3" s="2">
        <v>47345760</v>
      </c>
      <c r="C3" t="s">
        <v>52</v>
      </c>
      <c r="D3">
        <v>32</v>
      </c>
      <c r="E3" t="s">
        <v>55</v>
      </c>
      <c r="F3">
        <v>34</v>
      </c>
      <c r="G3">
        <v>3</v>
      </c>
      <c r="H3">
        <v>22.2</v>
      </c>
      <c r="I3">
        <v>4.0999999999999996</v>
      </c>
      <c r="J3">
        <v>9.9</v>
      </c>
      <c r="K3">
        <v>0.40799999999999997</v>
      </c>
      <c r="L3">
        <v>1</v>
      </c>
      <c r="M3">
        <v>3.2</v>
      </c>
      <c r="N3">
        <v>0.30299999999999999</v>
      </c>
      <c r="O3">
        <v>3.1</v>
      </c>
      <c r="P3">
        <v>6.7</v>
      </c>
      <c r="Q3">
        <v>0.45900000000000002</v>
      </c>
      <c r="R3">
        <v>0.45700000000000002</v>
      </c>
      <c r="S3">
        <v>2.2999999999999998</v>
      </c>
      <c r="T3">
        <v>3.3</v>
      </c>
      <c r="U3">
        <v>0.68100000000000005</v>
      </c>
      <c r="V3">
        <v>0.4</v>
      </c>
      <c r="W3">
        <v>2.2999999999999998</v>
      </c>
      <c r="X3">
        <v>2.7</v>
      </c>
      <c r="Y3">
        <v>5.2</v>
      </c>
      <c r="Z3">
        <v>0.8</v>
      </c>
      <c r="AA3">
        <v>0.4</v>
      </c>
      <c r="AB3">
        <v>2.4</v>
      </c>
      <c r="AC3">
        <v>1.7</v>
      </c>
      <c r="AD3">
        <v>11.4</v>
      </c>
      <c r="AE3">
        <v>755</v>
      </c>
      <c r="AF3">
        <v>13.6</v>
      </c>
      <c r="AG3">
        <v>0.498</v>
      </c>
      <c r="AH3">
        <v>0.32200000000000001</v>
      </c>
      <c r="AI3">
        <v>0.33400000000000002</v>
      </c>
      <c r="AJ3">
        <v>2.1</v>
      </c>
      <c r="AK3">
        <v>11.4</v>
      </c>
      <c r="AL3">
        <v>6.8</v>
      </c>
      <c r="AM3">
        <v>35.299999999999997</v>
      </c>
      <c r="AN3">
        <v>1.8</v>
      </c>
      <c r="AO3">
        <v>1.4</v>
      </c>
      <c r="AP3">
        <v>17.100000000000001</v>
      </c>
      <c r="AQ3">
        <v>27</v>
      </c>
      <c r="AR3">
        <v>-0.4</v>
      </c>
      <c r="AS3">
        <v>0.7</v>
      </c>
      <c r="AT3">
        <v>0.3</v>
      </c>
      <c r="AU3">
        <v>0.02</v>
      </c>
      <c r="AV3">
        <v>-0.8</v>
      </c>
      <c r="AW3">
        <v>-0.4</v>
      </c>
      <c r="AX3">
        <v>-1.2</v>
      </c>
      <c r="AY3">
        <v>0.1</v>
      </c>
      <c r="AZ3">
        <f t="shared" ref="AZ3:AZ66" si="0">0.5*AX3 + 0.5*AT3</f>
        <v>-0.44999999999999996</v>
      </c>
      <c r="BA3">
        <f t="shared" ref="BA3:BA66" si="1">IF(B3&gt;0, AZ3*1000000/B3, 0)</f>
        <v>-9.5045469752729692E-3</v>
      </c>
    </row>
    <row r="4" spans="1:53" x14ac:dyDescent="0.25">
      <c r="A4" t="s">
        <v>56</v>
      </c>
      <c r="B4" s="2">
        <v>47080179</v>
      </c>
      <c r="C4" t="s">
        <v>52</v>
      </c>
      <c r="D4">
        <v>34</v>
      </c>
      <c r="E4" t="s">
        <v>55</v>
      </c>
      <c r="F4">
        <v>73</v>
      </c>
      <c r="G4">
        <v>24</v>
      </c>
      <c r="H4">
        <v>29.1</v>
      </c>
      <c r="I4">
        <v>5.9</v>
      </c>
      <c r="J4">
        <v>13.6</v>
      </c>
      <c r="K4">
        <v>0.436</v>
      </c>
      <c r="L4">
        <v>1.2</v>
      </c>
      <c r="M4">
        <v>3.9</v>
      </c>
      <c r="N4">
        <v>0.311</v>
      </c>
      <c r="O4">
        <v>4.7</v>
      </c>
      <c r="P4">
        <v>9.6999999999999993</v>
      </c>
      <c r="Q4">
        <v>0.48699999999999999</v>
      </c>
      <c r="R4">
        <v>0.48099999999999998</v>
      </c>
      <c r="S4">
        <v>2.8</v>
      </c>
      <c r="T4">
        <v>4.3</v>
      </c>
      <c r="U4">
        <v>0.65600000000000003</v>
      </c>
      <c r="V4">
        <v>1.2</v>
      </c>
      <c r="W4">
        <v>4.5999999999999996</v>
      </c>
      <c r="X4">
        <v>5.8</v>
      </c>
      <c r="Y4">
        <v>7.5</v>
      </c>
      <c r="Z4">
        <v>1</v>
      </c>
      <c r="AA4">
        <v>0.5</v>
      </c>
      <c r="AB4">
        <v>3.5</v>
      </c>
      <c r="AC4">
        <v>2.2000000000000002</v>
      </c>
      <c r="AD4">
        <v>15.9</v>
      </c>
      <c r="AE4">
        <v>2126</v>
      </c>
      <c r="AF4">
        <v>16.100000000000001</v>
      </c>
      <c r="AG4">
        <v>0.51300000000000001</v>
      </c>
      <c r="AH4">
        <v>0.28899999999999998</v>
      </c>
      <c r="AI4">
        <v>0.317</v>
      </c>
      <c r="AJ4">
        <v>4.7</v>
      </c>
      <c r="AK4">
        <v>16.5</v>
      </c>
      <c r="AL4">
        <v>10.8</v>
      </c>
      <c r="AM4">
        <v>38.6</v>
      </c>
      <c r="AN4">
        <v>1.7</v>
      </c>
      <c r="AO4">
        <v>1.3</v>
      </c>
      <c r="AP4">
        <v>18.399999999999999</v>
      </c>
      <c r="AQ4">
        <v>27.7</v>
      </c>
      <c r="AR4">
        <v>-0.6</v>
      </c>
      <c r="AS4">
        <v>2.6</v>
      </c>
      <c r="AT4">
        <v>1.9</v>
      </c>
      <c r="AU4">
        <v>4.3999999999999997E-2</v>
      </c>
      <c r="AV4">
        <v>0.3</v>
      </c>
      <c r="AW4">
        <v>-0.1</v>
      </c>
      <c r="AX4">
        <v>0.2</v>
      </c>
      <c r="AY4">
        <v>1.2</v>
      </c>
      <c r="AZ4" s="8">
        <f t="shared" si="0"/>
        <v>1.05</v>
      </c>
      <c r="BA4" s="8">
        <f t="shared" si="1"/>
        <v>2.2302379096731981E-2</v>
      </c>
    </row>
    <row r="5" spans="1:53" x14ac:dyDescent="0.25">
      <c r="A5" t="s">
        <v>57</v>
      </c>
      <c r="B5" s="2">
        <v>44474988</v>
      </c>
      <c r="C5" t="s">
        <v>28</v>
      </c>
      <c r="D5">
        <v>38</v>
      </c>
      <c r="E5" t="s">
        <v>58</v>
      </c>
      <c r="F5">
        <v>55</v>
      </c>
      <c r="G5">
        <v>54</v>
      </c>
      <c r="H5">
        <v>35.5</v>
      </c>
      <c r="I5">
        <v>11.1</v>
      </c>
      <c r="J5">
        <v>22.2</v>
      </c>
      <c r="K5">
        <v>0.5</v>
      </c>
      <c r="L5">
        <v>2.2000000000000002</v>
      </c>
      <c r="M5">
        <v>6.9</v>
      </c>
      <c r="N5">
        <v>0.32100000000000001</v>
      </c>
      <c r="O5">
        <v>8.9</v>
      </c>
      <c r="P5">
        <v>15.3</v>
      </c>
      <c r="Q5">
        <v>0.57999999999999996</v>
      </c>
      <c r="R5">
        <v>0.54900000000000004</v>
      </c>
      <c r="S5">
        <v>4.5999999999999996</v>
      </c>
      <c r="T5">
        <v>5.9</v>
      </c>
      <c r="U5">
        <v>0.76800000000000002</v>
      </c>
      <c r="V5">
        <v>1.2</v>
      </c>
      <c r="W5">
        <v>7.1</v>
      </c>
      <c r="X5">
        <v>8.3000000000000007</v>
      </c>
      <c r="Y5">
        <v>6.8</v>
      </c>
      <c r="Z5">
        <v>0.9</v>
      </c>
      <c r="AA5">
        <v>0.6</v>
      </c>
      <c r="AB5">
        <v>3.2</v>
      </c>
      <c r="AC5">
        <v>1.6</v>
      </c>
      <c r="AD5">
        <v>28.9</v>
      </c>
      <c r="AE5">
        <v>1954</v>
      </c>
      <c r="AF5">
        <v>23.9</v>
      </c>
      <c r="AG5">
        <v>0.58299999999999996</v>
      </c>
      <c r="AH5">
        <v>0.309</v>
      </c>
      <c r="AI5">
        <v>0.26800000000000002</v>
      </c>
      <c r="AJ5">
        <v>3.7</v>
      </c>
      <c r="AK5">
        <v>20.8</v>
      </c>
      <c r="AL5">
        <v>12.5</v>
      </c>
      <c r="AM5">
        <v>33.5</v>
      </c>
      <c r="AN5">
        <v>1.2</v>
      </c>
      <c r="AO5">
        <v>1.4</v>
      </c>
      <c r="AP5">
        <v>11.6</v>
      </c>
      <c r="AQ5">
        <v>33.299999999999997</v>
      </c>
      <c r="AR5">
        <v>3.2</v>
      </c>
      <c r="AS5">
        <v>2.4</v>
      </c>
      <c r="AT5">
        <v>5.6</v>
      </c>
      <c r="AU5">
        <v>0.13800000000000001</v>
      </c>
      <c r="AV5">
        <v>5.5</v>
      </c>
      <c r="AW5">
        <v>0.6</v>
      </c>
      <c r="AX5">
        <v>6.1</v>
      </c>
      <c r="AY5">
        <v>4</v>
      </c>
      <c r="AZ5" s="8">
        <f t="shared" si="0"/>
        <v>5.85</v>
      </c>
      <c r="BA5" s="8">
        <f t="shared" si="1"/>
        <v>0.13153460547308074</v>
      </c>
    </row>
    <row r="6" spans="1:53" x14ac:dyDescent="0.25">
      <c r="A6" t="s">
        <v>59</v>
      </c>
      <c r="B6" s="2">
        <v>44119845</v>
      </c>
      <c r="C6" t="s">
        <v>28</v>
      </c>
      <c r="D6">
        <v>34</v>
      </c>
      <c r="E6" t="s">
        <v>60</v>
      </c>
      <c r="F6">
        <v>47</v>
      </c>
      <c r="G6">
        <v>47</v>
      </c>
      <c r="H6">
        <v>35.6</v>
      </c>
      <c r="I6">
        <v>10.3</v>
      </c>
      <c r="J6">
        <v>18.3</v>
      </c>
      <c r="K6">
        <v>0.56000000000000005</v>
      </c>
      <c r="L6">
        <v>2</v>
      </c>
      <c r="M6">
        <v>4.9000000000000004</v>
      </c>
      <c r="N6">
        <v>0.40400000000000003</v>
      </c>
      <c r="O6">
        <v>8.3000000000000007</v>
      </c>
      <c r="P6">
        <v>13.4</v>
      </c>
      <c r="Q6">
        <v>0.61699999999999999</v>
      </c>
      <c r="R6">
        <v>0.61399999999999999</v>
      </c>
      <c r="S6">
        <v>6.5</v>
      </c>
      <c r="T6">
        <v>7.1</v>
      </c>
      <c r="U6">
        <v>0.91900000000000004</v>
      </c>
      <c r="V6">
        <v>0.4</v>
      </c>
      <c r="W6">
        <v>6.3</v>
      </c>
      <c r="X6">
        <v>6.7</v>
      </c>
      <c r="Y6">
        <v>5</v>
      </c>
      <c r="Z6">
        <v>0.7</v>
      </c>
      <c r="AA6">
        <v>1.4</v>
      </c>
      <c r="AB6">
        <v>3.3</v>
      </c>
      <c r="AC6">
        <v>2.1</v>
      </c>
      <c r="AD6">
        <v>29.1</v>
      </c>
      <c r="AE6">
        <v>1672</v>
      </c>
      <c r="AF6">
        <v>25.9</v>
      </c>
      <c r="AG6">
        <v>0.67700000000000005</v>
      </c>
      <c r="AH6">
        <v>0.26700000000000002</v>
      </c>
      <c r="AI6">
        <v>0.38700000000000001</v>
      </c>
      <c r="AJ6">
        <v>1.2</v>
      </c>
      <c r="AK6">
        <v>19.5</v>
      </c>
      <c r="AL6">
        <v>10.5</v>
      </c>
      <c r="AM6">
        <v>24.5</v>
      </c>
      <c r="AN6">
        <v>1</v>
      </c>
      <c r="AO6">
        <v>3.4</v>
      </c>
      <c r="AP6">
        <v>13.4</v>
      </c>
      <c r="AQ6">
        <v>30.7</v>
      </c>
      <c r="AR6">
        <v>4.7</v>
      </c>
      <c r="AS6">
        <v>2.1</v>
      </c>
      <c r="AT6">
        <v>6.8</v>
      </c>
      <c r="AU6">
        <v>0.19400000000000001</v>
      </c>
      <c r="AV6">
        <v>6</v>
      </c>
      <c r="AW6">
        <v>1.2</v>
      </c>
      <c r="AX6">
        <v>7.1</v>
      </c>
      <c r="AY6">
        <v>3.9</v>
      </c>
      <c r="AZ6" s="8">
        <f t="shared" si="0"/>
        <v>6.9499999999999993</v>
      </c>
      <c r="BA6" s="8">
        <f t="shared" si="1"/>
        <v>0.15752548541365</v>
      </c>
    </row>
    <row r="7" spans="1:53" x14ac:dyDescent="0.25">
      <c r="A7" t="s">
        <v>61</v>
      </c>
      <c r="B7" s="2">
        <v>43279250</v>
      </c>
      <c r="C7" t="s">
        <v>62</v>
      </c>
      <c r="D7">
        <v>29</v>
      </c>
      <c r="E7" t="s">
        <v>63</v>
      </c>
      <c r="F7">
        <v>50</v>
      </c>
      <c r="G7">
        <v>50</v>
      </c>
      <c r="H7">
        <v>33.5</v>
      </c>
      <c r="I7">
        <v>8.9</v>
      </c>
      <c r="J7">
        <v>17.600000000000001</v>
      </c>
      <c r="K7">
        <v>0.50600000000000001</v>
      </c>
      <c r="L7">
        <v>1.6</v>
      </c>
      <c r="M7">
        <v>4.4000000000000004</v>
      </c>
      <c r="N7">
        <v>0.36499999999999999</v>
      </c>
      <c r="O7">
        <v>7.3</v>
      </c>
      <c r="P7">
        <v>13.2</v>
      </c>
      <c r="Q7">
        <v>0.55200000000000005</v>
      </c>
      <c r="R7">
        <v>0.55100000000000005</v>
      </c>
      <c r="S7">
        <v>3.8</v>
      </c>
      <c r="T7">
        <v>4.5999999999999996</v>
      </c>
      <c r="U7">
        <v>0.84199999999999997</v>
      </c>
      <c r="V7">
        <v>0.8</v>
      </c>
      <c r="W7">
        <v>3.1</v>
      </c>
      <c r="X7">
        <v>3.9</v>
      </c>
      <c r="Y7">
        <v>5.4</v>
      </c>
      <c r="Z7">
        <v>0.9</v>
      </c>
      <c r="AA7">
        <v>0.7</v>
      </c>
      <c r="AB7">
        <v>2.9</v>
      </c>
      <c r="AC7">
        <v>2.1</v>
      </c>
      <c r="AD7">
        <v>23.2</v>
      </c>
      <c r="AE7">
        <v>1673</v>
      </c>
      <c r="AF7">
        <v>19.7</v>
      </c>
      <c r="AG7">
        <v>0.59299999999999997</v>
      </c>
      <c r="AH7">
        <v>0.249</v>
      </c>
      <c r="AI7">
        <v>0.26</v>
      </c>
      <c r="AJ7">
        <v>2.8</v>
      </c>
      <c r="AK7">
        <v>9.9</v>
      </c>
      <c r="AL7">
        <v>6.5</v>
      </c>
      <c r="AM7">
        <v>26.6</v>
      </c>
      <c r="AN7">
        <v>1.3</v>
      </c>
      <c r="AO7">
        <v>1.7</v>
      </c>
      <c r="AP7">
        <v>12.9</v>
      </c>
      <c r="AQ7">
        <v>29.2</v>
      </c>
      <c r="AR7">
        <v>2.2000000000000002</v>
      </c>
      <c r="AS7">
        <v>1.2</v>
      </c>
      <c r="AT7">
        <v>3.4</v>
      </c>
      <c r="AU7">
        <v>9.9000000000000005E-2</v>
      </c>
      <c r="AV7">
        <v>2.9</v>
      </c>
      <c r="AW7">
        <v>-1.2</v>
      </c>
      <c r="AX7">
        <v>1.8</v>
      </c>
      <c r="AY7">
        <v>1.6</v>
      </c>
      <c r="AZ7" s="8">
        <f t="shared" si="0"/>
        <v>2.6</v>
      </c>
      <c r="BA7" s="8">
        <f t="shared" si="1"/>
        <v>6.0074978193938207E-2</v>
      </c>
    </row>
    <row r="8" spans="1:53" x14ac:dyDescent="0.25">
      <c r="A8" t="s">
        <v>64</v>
      </c>
      <c r="B8" s="2">
        <v>42492492</v>
      </c>
      <c r="C8" t="s">
        <v>65</v>
      </c>
      <c r="D8">
        <v>31</v>
      </c>
      <c r="E8" t="s">
        <v>55</v>
      </c>
      <c r="F8">
        <v>52</v>
      </c>
      <c r="G8">
        <v>50</v>
      </c>
      <c r="H8">
        <v>33.6</v>
      </c>
      <c r="I8">
        <v>8.6</v>
      </c>
      <c r="J8">
        <v>16.8</v>
      </c>
      <c r="K8">
        <v>0.51200000000000001</v>
      </c>
      <c r="L8">
        <v>2</v>
      </c>
      <c r="M8">
        <v>4.8</v>
      </c>
      <c r="N8">
        <v>0.41599999999999998</v>
      </c>
      <c r="O8">
        <v>6.6</v>
      </c>
      <c r="P8">
        <v>11.9</v>
      </c>
      <c r="Q8">
        <v>0.55100000000000005</v>
      </c>
      <c r="R8">
        <v>0.57199999999999995</v>
      </c>
      <c r="S8">
        <v>4.7</v>
      </c>
      <c r="T8">
        <v>5.4</v>
      </c>
      <c r="U8">
        <v>0.871</v>
      </c>
      <c r="V8">
        <v>1.1000000000000001</v>
      </c>
      <c r="W8">
        <v>5.4</v>
      </c>
      <c r="X8">
        <v>6.5</v>
      </c>
      <c r="Y8">
        <v>3.9</v>
      </c>
      <c r="Z8">
        <v>1.4</v>
      </c>
      <c r="AA8">
        <v>0.5</v>
      </c>
      <c r="AB8">
        <v>1.7</v>
      </c>
      <c r="AC8">
        <v>1.6</v>
      </c>
      <c r="AD8">
        <v>23.8</v>
      </c>
      <c r="AE8">
        <v>1748</v>
      </c>
      <c r="AF8">
        <v>23.9</v>
      </c>
      <c r="AG8">
        <v>0.623</v>
      </c>
      <c r="AH8">
        <v>0.28699999999999998</v>
      </c>
      <c r="AI8">
        <v>0.32</v>
      </c>
      <c r="AJ8">
        <v>3.7</v>
      </c>
      <c r="AK8">
        <v>17.8</v>
      </c>
      <c r="AL8">
        <v>10.8</v>
      </c>
      <c r="AM8">
        <v>19.600000000000001</v>
      </c>
      <c r="AN8">
        <v>2</v>
      </c>
      <c r="AO8">
        <v>1.4</v>
      </c>
      <c r="AP8">
        <v>8.1</v>
      </c>
      <c r="AQ8">
        <v>27</v>
      </c>
      <c r="AR8">
        <v>4.9000000000000004</v>
      </c>
      <c r="AS8">
        <v>2.2000000000000002</v>
      </c>
      <c r="AT8">
        <v>7.1</v>
      </c>
      <c r="AU8">
        <v>0.19400000000000001</v>
      </c>
      <c r="AV8">
        <v>5.0999999999999996</v>
      </c>
      <c r="AW8">
        <v>0.9</v>
      </c>
      <c r="AX8">
        <v>6.1</v>
      </c>
      <c r="AY8">
        <v>3.5</v>
      </c>
      <c r="AZ8" s="8">
        <f t="shared" si="0"/>
        <v>6.6</v>
      </c>
      <c r="BA8" s="8">
        <f t="shared" si="1"/>
        <v>0.15532155657051133</v>
      </c>
    </row>
    <row r="9" spans="1:53" x14ac:dyDescent="0.25">
      <c r="A9" t="s">
        <v>66</v>
      </c>
      <c r="B9" s="2">
        <v>42492492</v>
      </c>
      <c r="C9" t="s">
        <v>65</v>
      </c>
      <c r="D9">
        <v>32</v>
      </c>
      <c r="E9" t="s">
        <v>55</v>
      </c>
      <c r="F9">
        <v>56</v>
      </c>
      <c r="G9">
        <v>56</v>
      </c>
      <c r="H9">
        <v>34.6</v>
      </c>
      <c r="I9">
        <v>8.1999999999999993</v>
      </c>
      <c r="J9">
        <v>17.899999999999999</v>
      </c>
      <c r="K9">
        <v>0.45700000000000002</v>
      </c>
      <c r="L9">
        <v>2.8</v>
      </c>
      <c r="M9">
        <v>7.6</v>
      </c>
      <c r="N9">
        <v>0.371</v>
      </c>
      <c r="O9">
        <v>5.4</v>
      </c>
      <c r="P9">
        <v>10.3</v>
      </c>
      <c r="Q9">
        <v>0.52100000000000002</v>
      </c>
      <c r="R9">
        <v>0.53600000000000003</v>
      </c>
      <c r="S9">
        <v>4.5999999999999996</v>
      </c>
      <c r="T9">
        <v>5.3</v>
      </c>
      <c r="U9">
        <v>0.871</v>
      </c>
      <c r="V9">
        <v>0.8</v>
      </c>
      <c r="W9">
        <v>5.3</v>
      </c>
      <c r="X9">
        <v>6.1</v>
      </c>
      <c r="Y9">
        <v>5.0999999999999996</v>
      </c>
      <c r="Z9">
        <v>1.5</v>
      </c>
      <c r="AA9">
        <v>0.4</v>
      </c>
      <c r="AB9">
        <v>3.1</v>
      </c>
      <c r="AC9">
        <v>2.8</v>
      </c>
      <c r="AD9">
        <v>23.8</v>
      </c>
      <c r="AE9">
        <v>1939</v>
      </c>
      <c r="AF9">
        <v>19.600000000000001</v>
      </c>
      <c r="AG9">
        <v>0.58799999999999997</v>
      </c>
      <c r="AH9">
        <v>0.42399999999999999</v>
      </c>
      <c r="AI9">
        <v>0.29299999999999998</v>
      </c>
      <c r="AJ9">
        <v>2.6</v>
      </c>
      <c r="AK9">
        <v>17</v>
      </c>
      <c r="AL9">
        <v>9.9</v>
      </c>
      <c r="AM9">
        <v>24.2</v>
      </c>
      <c r="AN9">
        <v>2.1</v>
      </c>
      <c r="AO9">
        <v>0.9</v>
      </c>
      <c r="AP9">
        <v>13.4</v>
      </c>
      <c r="AQ9">
        <v>29.5</v>
      </c>
      <c r="AR9">
        <v>2.2999999999999998</v>
      </c>
      <c r="AS9">
        <v>2.2999999999999998</v>
      </c>
      <c r="AT9">
        <v>4.5999999999999996</v>
      </c>
      <c r="AU9">
        <v>0.114</v>
      </c>
      <c r="AV9">
        <v>2.4</v>
      </c>
      <c r="AW9">
        <v>0.3</v>
      </c>
      <c r="AX9">
        <v>2.8</v>
      </c>
      <c r="AY9">
        <v>2.2999999999999998</v>
      </c>
      <c r="AZ9" s="8">
        <f t="shared" si="0"/>
        <v>3.6999999999999997</v>
      </c>
      <c r="BA9" s="8">
        <f t="shared" si="1"/>
        <v>8.7074205956195735E-2</v>
      </c>
    </row>
    <row r="10" spans="1:53" x14ac:dyDescent="0.25">
      <c r="A10" t="s">
        <v>67</v>
      </c>
      <c r="B10" s="2">
        <v>42492492</v>
      </c>
      <c r="C10" t="s">
        <v>28</v>
      </c>
      <c r="D10">
        <v>28</v>
      </c>
      <c r="E10" t="s">
        <v>68</v>
      </c>
      <c r="F10">
        <v>63</v>
      </c>
      <c r="G10">
        <v>63</v>
      </c>
      <c r="H10">
        <v>32.1</v>
      </c>
      <c r="I10">
        <v>11.2</v>
      </c>
      <c r="J10">
        <v>20.3</v>
      </c>
      <c r="K10">
        <v>0.55300000000000005</v>
      </c>
      <c r="L10">
        <v>0.7</v>
      </c>
      <c r="M10">
        <v>2.7</v>
      </c>
      <c r="N10">
        <v>0.27500000000000002</v>
      </c>
      <c r="O10">
        <v>10.5</v>
      </c>
      <c r="P10">
        <v>17.600000000000001</v>
      </c>
      <c r="Q10">
        <v>0.59599999999999997</v>
      </c>
      <c r="R10">
        <v>0.57199999999999995</v>
      </c>
      <c r="S10">
        <v>7.9</v>
      </c>
      <c r="T10">
        <v>12.3</v>
      </c>
      <c r="U10">
        <v>0.64500000000000002</v>
      </c>
      <c r="V10">
        <v>2.2000000000000002</v>
      </c>
      <c r="W10">
        <v>9.6</v>
      </c>
      <c r="X10">
        <v>11.8</v>
      </c>
      <c r="Y10">
        <v>5.7</v>
      </c>
      <c r="Z10">
        <v>0.8</v>
      </c>
      <c r="AA10">
        <v>0.8</v>
      </c>
      <c r="AB10">
        <v>3.9</v>
      </c>
      <c r="AC10">
        <v>3.1</v>
      </c>
      <c r="AD10">
        <v>31.1</v>
      </c>
      <c r="AE10">
        <v>2024</v>
      </c>
      <c r="AF10">
        <v>29</v>
      </c>
      <c r="AG10">
        <v>0.60499999999999998</v>
      </c>
      <c r="AH10">
        <v>0.13400000000000001</v>
      </c>
      <c r="AI10">
        <v>0.60399999999999998</v>
      </c>
      <c r="AJ10">
        <v>7.3</v>
      </c>
      <c r="AK10">
        <v>30</v>
      </c>
      <c r="AL10">
        <v>19.100000000000001</v>
      </c>
      <c r="AM10">
        <v>33.200000000000003</v>
      </c>
      <c r="AN10">
        <v>1.2</v>
      </c>
      <c r="AO10">
        <v>2.1</v>
      </c>
      <c r="AP10">
        <v>13.2</v>
      </c>
      <c r="AQ10">
        <v>38.799999999999997</v>
      </c>
      <c r="AR10">
        <v>4.9000000000000004</v>
      </c>
      <c r="AS10">
        <v>3.7</v>
      </c>
      <c r="AT10">
        <v>8.6</v>
      </c>
      <c r="AU10">
        <v>0.20399999999999999</v>
      </c>
      <c r="AV10">
        <v>5.8</v>
      </c>
      <c r="AW10">
        <v>2.7</v>
      </c>
      <c r="AX10">
        <v>8.5</v>
      </c>
      <c r="AY10">
        <v>5.4</v>
      </c>
      <c r="AZ10" s="8">
        <f t="shared" si="0"/>
        <v>8.5500000000000007</v>
      </c>
      <c r="BA10" s="8">
        <f t="shared" si="1"/>
        <v>0.20121201646634421</v>
      </c>
    </row>
    <row r="11" spans="1:53" x14ac:dyDescent="0.25">
      <c r="A11" t="s">
        <v>69</v>
      </c>
      <c r="B11" s="2">
        <v>42492492</v>
      </c>
      <c r="C11" t="s">
        <v>52</v>
      </c>
      <c r="D11">
        <v>32</v>
      </c>
      <c r="E11" t="s">
        <v>70</v>
      </c>
      <c r="F11">
        <v>58</v>
      </c>
      <c r="G11">
        <v>58</v>
      </c>
      <c r="H11">
        <v>36.299999999999997</v>
      </c>
      <c r="I11">
        <v>9.6</v>
      </c>
      <c r="J11">
        <v>20.7</v>
      </c>
      <c r="K11">
        <v>0.46300000000000002</v>
      </c>
      <c r="L11">
        <v>4.2</v>
      </c>
      <c r="M11">
        <v>11.3</v>
      </c>
      <c r="N11">
        <v>0.371</v>
      </c>
      <c r="O11">
        <v>5.4</v>
      </c>
      <c r="P11">
        <v>9.4</v>
      </c>
      <c r="Q11">
        <v>0.57399999999999995</v>
      </c>
      <c r="R11">
        <v>0.56399999999999995</v>
      </c>
      <c r="S11">
        <v>8.8000000000000007</v>
      </c>
      <c r="T11">
        <v>9.6</v>
      </c>
      <c r="U11">
        <v>0.91400000000000003</v>
      </c>
      <c r="V11">
        <v>0.8</v>
      </c>
      <c r="W11">
        <v>4</v>
      </c>
      <c r="X11">
        <v>4.8</v>
      </c>
      <c r="Y11">
        <v>7.3</v>
      </c>
      <c r="Z11">
        <v>0.9</v>
      </c>
      <c r="AA11">
        <v>0.3</v>
      </c>
      <c r="AB11">
        <v>3.3</v>
      </c>
      <c r="AC11">
        <v>1.9</v>
      </c>
      <c r="AD11">
        <v>32.200000000000003</v>
      </c>
      <c r="AE11">
        <v>2107</v>
      </c>
      <c r="AF11">
        <v>26.7</v>
      </c>
      <c r="AG11">
        <v>0.64500000000000002</v>
      </c>
      <c r="AH11">
        <v>0.54700000000000004</v>
      </c>
      <c r="AI11">
        <v>0.46400000000000002</v>
      </c>
      <c r="AJ11">
        <v>2.4</v>
      </c>
      <c r="AK11">
        <v>12.8</v>
      </c>
      <c r="AL11">
        <v>7.6</v>
      </c>
      <c r="AM11">
        <v>35</v>
      </c>
      <c r="AN11">
        <v>1.2</v>
      </c>
      <c r="AO11">
        <v>0.8</v>
      </c>
      <c r="AP11">
        <v>11.7</v>
      </c>
      <c r="AQ11">
        <v>33.799999999999997</v>
      </c>
      <c r="AR11">
        <v>8.1999999999999993</v>
      </c>
      <c r="AS11">
        <v>0.8</v>
      </c>
      <c r="AT11">
        <v>9</v>
      </c>
      <c r="AU11">
        <v>0.20499999999999999</v>
      </c>
      <c r="AV11">
        <v>8.3000000000000007</v>
      </c>
      <c r="AW11">
        <v>-1.2</v>
      </c>
      <c r="AX11">
        <v>7.1</v>
      </c>
      <c r="AY11">
        <v>4.9000000000000004</v>
      </c>
      <c r="AZ11" s="8">
        <f t="shared" si="0"/>
        <v>8.0500000000000007</v>
      </c>
      <c r="BA11" s="8">
        <f t="shared" si="1"/>
        <v>0.18944523187766915</v>
      </c>
    </row>
    <row r="12" spans="1:53" x14ac:dyDescent="0.25">
      <c r="A12" t="s">
        <v>71</v>
      </c>
      <c r="B12" s="2">
        <v>40600080</v>
      </c>
      <c r="C12" t="s">
        <v>65</v>
      </c>
      <c r="D12">
        <v>32</v>
      </c>
      <c r="E12" t="s">
        <v>53</v>
      </c>
      <c r="F12">
        <v>69</v>
      </c>
      <c r="G12">
        <v>69</v>
      </c>
      <c r="H12">
        <v>33</v>
      </c>
      <c r="I12">
        <v>7.9</v>
      </c>
      <c r="J12">
        <v>18.100000000000001</v>
      </c>
      <c r="K12">
        <v>0.436</v>
      </c>
      <c r="L12">
        <v>4.4000000000000004</v>
      </c>
      <c r="M12">
        <v>10.6</v>
      </c>
      <c r="N12">
        <v>0.41199999999999998</v>
      </c>
      <c r="O12">
        <v>3.6</v>
      </c>
      <c r="P12">
        <v>7.6</v>
      </c>
      <c r="Q12">
        <v>0.47</v>
      </c>
      <c r="R12">
        <v>0.55600000000000005</v>
      </c>
      <c r="S12">
        <v>1.7</v>
      </c>
      <c r="T12">
        <v>1.9</v>
      </c>
      <c r="U12">
        <v>0.879</v>
      </c>
      <c r="V12">
        <v>0.6</v>
      </c>
      <c r="W12">
        <v>3.6</v>
      </c>
      <c r="X12">
        <v>4.0999999999999996</v>
      </c>
      <c r="Y12">
        <v>2.4</v>
      </c>
      <c r="Z12">
        <v>0.7</v>
      </c>
      <c r="AA12">
        <v>0.4</v>
      </c>
      <c r="AB12">
        <v>1.8</v>
      </c>
      <c r="AC12">
        <v>1.9</v>
      </c>
      <c r="AD12">
        <v>21.9</v>
      </c>
      <c r="AE12">
        <v>2279</v>
      </c>
      <c r="AF12">
        <v>14.7</v>
      </c>
      <c r="AG12">
        <v>0.57599999999999996</v>
      </c>
      <c r="AH12">
        <v>0.58399999999999996</v>
      </c>
      <c r="AI12">
        <v>0.105</v>
      </c>
      <c r="AJ12">
        <v>1.9</v>
      </c>
      <c r="AK12">
        <v>11.7</v>
      </c>
      <c r="AL12">
        <v>6.9</v>
      </c>
      <c r="AM12">
        <v>11</v>
      </c>
      <c r="AN12">
        <v>1</v>
      </c>
      <c r="AO12">
        <v>1.1000000000000001</v>
      </c>
      <c r="AP12">
        <v>8.6</v>
      </c>
      <c r="AQ12">
        <v>26.4</v>
      </c>
      <c r="AR12">
        <v>1.2</v>
      </c>
      <c r="AS12">
        <v>1.9</v>
      </c>
      <c r="AT12">
        <v>3.1</v>
      </c>
      <c r="AU12">
        <v>6.6000000000000003E-2</v>
      </c>
      <c r="AV12">
        <v>1.5</v>
      </c>
      <c r="AW12">
        <v>-1.7</v>
      </c>
      <c r="AX12">
        <v>-0.3</v>
      </c>
      <c r="AY12">
        <v>1</v>
      </c>
      <c r="AZ12" s="8">
        <f t="shared" si="0"/>
        <v>1.4000000000000001</v>
      </c>
      <c r="BA12" s="8">
        <f t="shared" si="1"/>
        <v>3.4482690674501139E-2</v>
      </c>
    </row>
    <row r="13" spans="1:53" x14ac:dyDescent="0.25">
      <c r="A13" t="s">
        <v>72</v>
      </c>
      <c r="B13" s="2">
        <v>38917057</v>
      </c>
      <c r="C13" t="s">
        <v>62</v>
      </c>
      <c r="D13">
        <v>30</v>
      </c>
      <c r="E13" t="s">
        <v>73</v>
      </c>
      <c r="F13">
        <v>60</v>
      </c>
      <c r="G13">
        <v>60</v>
      </c>
      <c r="H13">
        <v>37.4</v>
      </c>
      <c r="I13">
        <v>9.9</v>
      </c>
      <c r="J13">
        <v>20.100000000000001</v>
      </c>
      <c r="K13">
        <v>0.49399999999999999</v>
      </c>
      <c r="L13">
        <v>3.1</v>
      </c>
      <c r="M13">
        <v>8.3000000000000007</v>
      </c>
      <c r="N13">
        <v>0.379</v>
      </c>
      <c r="O13">
        <v>6.8</v>
      </c>
      <c r="P13">
        <v>11.8</v>
      </c>
      <c r="Q13">
        <v>0.57399999999999995</v>
      </c>
      <c r="R13">
        <v>0.57199999999999995</v>
      </c>
      <c r="S13">
        <v>4.0999999999999996</v>
      </c>
      <c r="T13">
        <v>4.5999999999999996</v>
      </c>
      <c r="U13">
        <v>0.90500000000000003</v>
      </c>
      <c r="V13">
        <v>1</v>
      </c>
      <c r="W13">
        <v>4.0999999999999996</v>
      </c>
      <c r="X13">
        <v>5.0999999999999996</v>
      </c>
      <c r="Y13">
        <v>5.5</v>
      </c>
      <c r="Z13">
        <v>1.1000000000000001</v>
      </c>
      <c r="AA13">
        <v>0.8</v>
      </c>
      <c r="AB13">
        <v>2.1</v>
      </c>
      <c r="AC13">
        <v>2.8</v>
      </c>
      <c r="AD13">
        <v>27.1</v>
      </c>
      <c r="AE13">
        <v>2241</v>
      </c>
      <c r="AF13">
        <v>22.4</v>
      </c>
      <c r="AG13">
        <v>0.61299999999999999</v>
      </c>
      <c r="AH13">
        <v>0.41199999999999998</v>
      </c>
      <c r="AI13">
        <v>0.22700000000000001</v>
      </c>
      <c r="AJ13">
        <v>3</v>
      </c>
      <c r="AK13">
        <v>12.3</v>
      </c>
      <c r="AL13">
        <v>7.7</v>
      </c>
      <c r="AM13">
        <v>25.4</v>
      </c>
      <c r="AN13">
        <v>1.4</v>
      </c>
      <c r="AO13">
        <v>1.7</v>
      </c>
      <c r="AP13">
        <v>8.8000000000000007</v>
      </c>
      <c r="AQ13">
        <v>28.9</v>
      </c>
      <c r="AR13">
        <v>5.4</v>
      </c>
      <c r="AS13">
        <v>2</v>
      </c>
      <c r="AT13">
        <v>7.4</v>
      </c>
      <c r="AU13">
        <v>0.159</v>
      </c>
      <c r="AV13">
        <v>4.8</v>
      </c>
      <c r="AW13">
        <v>-0.7</v>
      </c>
      <c r="AX13">
        <v>4.0999999999999996</v>
      </c>
      <c r="AY13">
        <v>3.5</v>
      </c>
      <c r="AZ13" s="8">
        <f t="shared" si="0"/>
        <v>5.75</v>
      </c>
      <c r="BA13" s="8">
        <f t="shared" si="1"/>
        <v>0.1477501240651368</v>
      </c>
    </row>
    <row r="14" spans="1:53" x14ac:dyDescent="0.25">
      <c r="A14" t="s">
        <v>74</v>
      </c>
      <c r="B14" s="2">
        <v>38172414</v>
      </c>
      <c r="C14" t="s">
        <v>75</v>
      </c>
      <c r="D14">
        <v>30</v>
      </c>
      <c r="E14" t="s">
        <v>76</v>
      </c>
      <c r="F14">
        <v>70</v>
      </c>
      <c r="G14">
        <v>70</v>
      </c>
      <c r="H14">
        <v>30.7</v>
      </c>
      <c r="I14">
        <v>5.0999999999999996</v>
      </c>
      <c r="J14">
        <v>7.8</v>
      </c>
      <c r="K14">
        <v>0.65900000000000003</v>
      </c>
      <c r="L14">
        <v>0</v>
      </c>
      <c r="M14">
        <v>0</v>
      </c>
      <c r="N14">
        <v>0</v>
      </c>
      <c r="O14">
        <v>5.0999999999999996</v>
      </c>
      <c r="P14">
        <v>7.8</v>
      </c>
      <c r="Q14">
        <v>0.66300000000000003</v>
      </c>
      <c r="R14">
        <v>0.65900000000000003</v>
      </c>
      <c r="S14">
        <v>3.1</v>
      </c>
      <c r="T14">
        <v>4.9000000000000004</v>
      </c>
      <c r="U14">
        <v>0.64400000000000002</v>
      </c>
      <c r="V14">
        <v>3.3</v>
      </c>
      <c r="W14">
        <v>8.3000000000000007</v>
      </c>
      <c r="X14">
        <v>11.6</v>
      </c>
      <c r="Y14">
        <v>1.2</v>
      </c>
      <c r="Z14">
        <v>0.8</v>
      </c>
      <c r="AA14">
        <v>1.4</v>
      </c>
      <c r="AB14">
        <v>1.7</v>
      </c>
      <c r="AC14">
        <v>3</v>
      </c>
      <c r="AD14">
        <v>13.4</v>
      </c>
      <c r="AE14">
        <v>2148</v>
      </c>
      <c r="AF14">
        <v>18.899999999999999</v>
      </c>
      <c r="AG14">
        <v>0.67500000000000004</v>
      </c>
      <c r="AH14">
        <v>5.0000000000000001E-3</v>
      </c>
      <c r="AI14">
        <v>0.623</v>
      </c>
      <c r="AJ14">
        <v>12.2</v>
      </c>
      <c r="AK14">
        <v>29.8</v>
      </c>
      <c r="AL14">
        <v>21.2</v>
      </c>
      <c r="AM14">
        <v>5.6</v>
      </c>
      <c r="AN14">
        <v>1.2</v>
      </c>
      <c r="AO14">
        <v>3.9</v>
      </c>
      <c r="AP14">
        <v>14.9</v>
      </c>
      <c r="AQ14">
        <v>16.3</v>
      </c>
      <c r="AR14">
        <v>4.3</v>
      </c>
      <c r="AS14">
        <v>3.5</v>
      </c>
      <c r="AT14">
        <v>7.8</v>
      </c>
      <c r="AU14">
        <v>0.17399999999999999</v>
      </c>
      <c r="AV14">
        <v>0</v>
      </c>
      <c r="AW14">
        <v>0.7</v>
      </c>
      <c r="AX14">
        <v>0.7</v>
      </c>
      <c r="AY14">
        <v>1.4</v>
      </c>
      <c r="AZ14" s="8">
        <f t="shared" si="0"/>
        <v>4.25</v>
      </c>
      <c r="BA14" s="8">
        <f t="shared" si="1"/>
        <v>0.11133694609934808</v>
      </c>
    </row>
    <row r="15" spans="1:53" hidden="1" x14ac:dyDescent="0.25">
      <c r="A15" t="s">
        <v>77</v>
      </c>
      <c r="B15" s="2">
        <v>37984276</v>
      </c>
      <c r="C15" t="s">
        <v>65</v>
      </c>
      <c r="D15">
        <v>31</v>
      </c>
      <c r="E15" t="s">
        <v>68</v>
      </c>
      <c r="F15">
        <v>33</v>
      </c>
      <c r="G15">
        <v>19</v>
      </c>
      <c r="H15">
        <v>24.3</v>
      </c>
      <c r="I15">
        <v>5.4</v>
      </c>
      <c r="J15">
        <v>12.3</v>
      </c>
      <c r="K15">
        <v>0.436</v>
      </c>
      <c r="L15">
        <v>1.5</v>
      </c>
      <c r="M15">
        <v>4.9000000000000004</v>
      </c>
      <c r="N15">
        <v>0.315</v>
      </c>
      <c r="O15">
        <v>3.8</v>
      </c>
      <c r="P15">
        <v>7.4</v>
      </c>
      <c r="Q15">
        <v>0.51600000000000001</v>
      </c>
      <c r="R15">
        <v>0.499</v>
      </c>
      <c r="S15">
        <v>2.8</v>
      </c>
      <c r="T15">
        <v>3.1</v>
      </c>
      <c r="U15">
        <v>0.90200000000000002</v>
      </c>
      <c r="V15">
        <v>0.8</v>
      </c>
      <c r="W15">
        <v>3.4</v>
      </c>
      <c r="X15">
        <v>4.2</v>
      </c>
      <c r="Y15">
        <v>4.9000000000000004</v>
      </c>
      <c r="Z15">
        <v>0.7</v>
      </c>
      <c r="AA15">
        <v>0.2</v>
      </c>
      <c r="AB15">
        <v>2.2000000000000002</v>
      </c>
      <c r="AC15">
        <v>2.1</v>
      </c>
      <c r="AD15">
        <v>15.1</v>
      </c>
      <c r="AE15">
        <v>801</v>
      </c>
      <c r="AF15">
        <v>17.399999999999999</v>
      </c>
      <c r="AG15">
        <v>0.55100000000000005</v>
      </c>
      <c r="AH15">
        <v>0.39900000000000002</v>
      </c>
      <c r="AI15">
        <v>0.251</v>
      </c>
      <c r="AJ15">
        <v>3.8</v>
      </c>
      <c r="AK15">
        <v>14</v>
      </c>
      <c r="AL15">
        <v>9.1</v>
      </c>
      <c r="AM15">
        <v>30.7</v>
      </c>
      <c r="AN15">
        <v>1.4</v>
      </c>
      <c r="AO15">
        <v>0.5</v>
      </c>
      <c r="AP15">
        <v>13.6</v>
      </c>
      <c r="AQ15">
        <v>27.4</v>
      </c>
      <c r="AR15">
        <v>1</v>
      </c>
      <c r="AS15">
        <v>1</v>
      </c>
      <c r="AT15">
        <v>1.9</v>
      </c>
      <c r="AU15">
        <v>0.11700000000000001</v>
      </c>
      <c r="AV15">
        <v>1</v>
      </c>
      <c r="AW15">
        <v>-0.3</v>
      </c>
      <c r="AX15">
        <v>0.8</v>
      </c>
      <c r="AY15">
        <v>0.6</v>
      </c>
      <c r="AZ15">
        <f t="shared" si="0"/>
        <v>1.35</v>
      </c>
      <c r="BA15">
        <f t="shared" si="1"/>
        <v>3.5541022290381419E-2</v>
      </c>
    </row>
    <row r="16" spans="1:53" x14ac:dyDescent="0.25">
      <c r="A16" t="s">
        <v>78</v>
      </c>
      <c r="B16" s="2">
        <v>37980720</v>
      </c>
      <c r="C16" t="s">
        <v>75</v>
      </c>
      <c r="D16">
        <v>29</v>
      </c>
      <c r="E16" t="s">
        <v>58</v>
      </c>
      <c r="F16">
        <v>56</v>
      </c>
      <c r="G16">
        <v>54</v>
      </c>
      <c r="H16">
        <v>34</v>
      </c>
      <c r="I16">
        <v>9.6999999999999993</v>
      </c>
      <c r="J16">
        <v>17.2</v>
      </c>
      <c r="K16">
        <v>0.56299999999999994</v>
      </c>
      <c r="L16">
        <v>0.3</v>
      </c>
      <c r="M16">
        <v>1.3</v>
      </c>
      <c r="N16">
        <v>0.25700000000000001</v>
      </c>
      <c r="O16">
        <v>9.3000000000000007</v>
      </c>
      <c r="P16">
        <v>15.9</v>
      </c>
      <c r="Q16">
        <v>0.58899999999999997</v>
      </c>
      <c r="R16">
        <v>0.57299999999999995</v>
      </c>
      <c r="S16">
        <v>6.2</v>
      </c>
      <c r="T16">
        <v>7.9</v>
      </c>
      <c r="U16">
        <v>0.78400000000000003</v>
      </c>
      <c r="V16">
        <v>3.5</v>
      </c>
      <c r="W16">
        <v>9.1</v>
      </c>
      <c r="X16">
        <v>12.5</v>
      </c>
      <c r="Y16">
        <v>2.6</v>
      </c>
      <c r="Z16">
        <v>1.1000000000000001</v>
      </c>
      <c r="AA16">
        <v>2</v>
      </c>
      <c r="AB16">
        <v>2.2000000000000002</v>
      </c>
      <c r="AC16">
        <v>2.6</v>
      </c>
      <c r="AD16">
        <v>25.9</v>
      </c>
      <c r="AE16">
        <v>1904</v>
      </c>
      <c r="AF16">
        <v>27.8</v>
      </c>
      <c r="AG16">
        <v>0.627</v>
      </c>
      <c r="AH16">
        <v>7.6999999999999999E-2</v>
      </c>
      <c r="AI16">
        <v>0.46200000000000002</v>
      </c>
      <c r="AJ16">
        <v>11.3</v>
      </c>
      <c r="AK16">
        <v>27.6</v>
      </c>
      <c r="AL16">
        <v>19.7</v>
      </c>
      <c r="AM16">
        <v>13</v>
      </c>
      <c r="AN16">
        <v>1.5</v>
      </c>
      <c r="AO16">
        <v>5.0999999999999996</v>
      </c>
      <c r="AP16">
        <v>9.5</v>
      </c>
      <c r="AQ16">
        <v>28.4</v>
      </c>
      <c r="AR16">
        <v>5.5</v>
      </c>
      <c r="AS16">
        <v>3.4</v>
      </c>
      <c r="AT16">
        <v>9</v>
      </c>
      <c r="AU16">
        <v>0.22600000000000001</v>
      </c>
      <c r="AV16">
        <v>4.5999999999999996</v>
      </c>
      <c r="AW16">
        <v>1.7</v>
      </c>
      <c r="AX16">
        <v>6.3</v>
      </c>
      <c r="AY16">
        <v>4</v>
      </c>
      <c r="AZ16" s="8">
        <f t="shared" si="0"/>
        <v>7.65</v>
      </c>
      <c r="BA16" s="8">
        <f t="shared" si="1"/>
        <v>0.20141798259748631</v>
      </c>
    </row>
    <row r="17" spans="1:53" x14ac:dyDescent="0.25">
      <c r="A17" t="s">
        <v>79</v>
      </c>
      <c r="B17" s="2">
        <v>37653300</v>
      </c>
      <c r="C17" t="s">
        <v>28</v>
      </c>
      <c r="D17">
        <v>33</v>
      </c>
      <c r="E17" t="s">
        <v>80</v>
      </c>
      <c r="F17">
        <v>64</v>
      </c>
      <c r="G17">
        <v>64</v>
      </c>
      <c r="H17">
        <v>33.4</v>
      </c>
      <c r="I17">
        <v>7.5</v>
      </c>
      <c r="J17">
        <v>13.9</v>
      </c>
      <c r="K17">
        <v>0.53900000000000003</v>
      </c>
      <c r="L17">
        <v>0.6</v>
      </c>
      <c r="M17">
        <v>1.6</v>
      </c>
      <c r="N17">
        <v>0.35</v>
      </c>
      <c r="O17">
        <v>6.9</v>
      </c>
      <c r="P17">
        <v>12.3</v>
      </c>
      <c r="Q17">
        <v>0.56399999999999995</v>
      </c>
      <c r="R17">
        <v>0.56000000000000005</v>
      </c>
      <c r="S17">
        <v>7.4</v>
      </c>
      <c r="T17">
        <v>8.6999999999999993</v>
      </c>
      <c r="U17">
        <v>0.85</v>
      </c>
      <c r="V17">
        <v>2.2000000000000002</v>
      </c>
      <c r="W17">
        <v>3.7</v>
      </c>
      <c r="X17">
        <v>5.9</v>
      </c>
      <c r="Y17">
        <v>5.3</v>
      </c>
      <c r="Z17">
        <v>1.8</v>
      </c>
      <c r="AA17">
        <v>0.3</v>
      </c>
      <c r="AB17">
        <v>1.6</v>
      </c>
      <c r="AC17">
        <v>1.3</v>
      </c>
      <c r="AD17">
        <v>22.9</v>
      </c>
      <c r="AE17">
        <v>2138</v>
      </c>
      <c r="AF17">
        <v>27.6</v>
      </c>
      <c r="AG17">
        <v>0.64700000000000002</v>
      </c>
      <c r="AH17">
        <v>0.11600000000000001</v>
      </c>
      <c r="AI17">
        <v>0.625</v>
      </c>
      <c r="AJ17">
        <v>7.5</v>
      </c>
      <c r="AK17">
        <v>13.3</v>
      </c>
      <c r="AL17">
        <v>10.3</v>
      </c>
      <c r="AM17">
        <v>27.1</v>
      </c>
      <c r="AN17">
        <v>2.7</v>
      </c>
      <c r="AO17">
        <v>1</v>
      </c>
      <c r="AP17">
        <v>8.1999999999999993</v>
      </c>
      <c r="AQ17">
        <v>25.6</v>
      </c>
      <c r="AR17">
        <v>9.4</v>
      </c>
      <c r="AS17">
        <v>2.9</v>
      </c>
      <c r="AT17">
        <v>12.3</v>
      </c>
      <c r="AU17">
        <v>0.27700000000000002</v>
      </c>
      <c r="AV17">
        <v>6.7</v>
      </c>
      <c r="AW17">
        <v>2</v>
      </c>
      <c r="AX17">
        <v>8.6999999999999993</v>
      </c>
      <c r="AY17">
        <v>5.8</v>
      </c>
      <c r="AZ17" s="8">
        <f t="shared" si="0"/>
        <v>10.5</v>
      </c>
      <c r="BA17" s="8">
        <f t="shared" si="1"/>
        <v>0.27886002023727002</v>
      </c>
    </row>
    <row r="18" spans="1:53" x14ac:dyDescent="0.25">
      <c r="A18" t="s">
        <v>81</v>
      </c>
      <c r="B18" s="2">
        <v>37633050</v>
      </c>
      <c r="C18" t="s">
        <v>65</v>
      </c>
      <c r="D18">
        <v>30</v>
      </c>
      <c r="E18" t="s">
        <v>82</v>
      </c>
      <c r="F18">
        <v>74</v>
      </c>
      <c r="G18">
        <v>74</v>
      </c>
      <c r="H18">
        <v>32.9</v>
      </c>
      <c r="I18">
        <v>5.7</v>
      </c>
      <c r="J18">
        <v>11.4</v>
      </c>
      <c r="K18">
        <v>0.501</v>
      </c>
      <c r="L18">
        <v>1.7</v>
      </c>
      <c r="M18">
        <v>4.4000000000000004</v>
      </c>
      <c r="N18">
        <v>0.38900000000000001</v>
      </c>
      <c r="O18">
        <v>4</v>
      </c>
      <c r="P18">
        <v>7</v>
      </c>
      <c r="Q18">
        <v>0.56999999999999995</v>
      </c>
      <c r="R18">
        <v>0.57499999999999996</v>
      </c>
      <c r="S18">
        <v>1.5</v>
      </c>
      <c r="T18">
        <v>1.7</v>
      </c>
      <c r="U18">
        <v>0.876</v>
      </c>
      <c r="V18">
        <v>0.9</v>
      </c>
      <c r="W18">
        <v>4.8</v>
      </c>
      <c r="X18">
        <v>5.7</v>
      </c>
      <c r="Y18">
        <v>2.5</v>
      </c>
      <c r="Z18">
        <v>0.9</v>
      </c>
      <c r="AA18">
        <v>0.5</v>
      </c>
      <c r="AB18">
        <v>1.2</v>
      </c>
      <c r="AC18">
        <v>2</v>
      </c>
      <c r="AD18">
        <v>14.7</v>
      </c>
      <c r="AE18">
        <v>2436</v>
      </c>
      <c r="AF18">
        <v>14.8</v>
      </c>
      <c r="AG18">
        <v>0.60199999999999998</v>
      </c>
      <c r="AH18">
        <v>0.38300000000000001</v>
      </c>
      <c r="AI18">
        <v>0.153</v>
      </c>
      <c r="AJ18">
        <v>3.3</v>
      </c>
      <c r="AK18">
        <v>17</v>
      </c>
      <c r="AL18">
        <v>10.3</v>
      </c>
      <c r="AM18">
        <v>11.4</v>
      </c>
      <c r="AN18">
        <v>1.4</v>
      </c>
      <c r="AO18">
        <v>1.5</v>
      </c>
      <c r="AP18">
        <v>9</v>
      </c>
      <c r="AQ18">
        <v>18.2</v>
      </c>
      <c r="AR18">
        <v>3.1</v>
      </c>
      <c r="AS18">
        <v>2.8</v>
      </c>
      <c r="AT18">
        <v>5.9</v>
      </c>
      <c r="AU18">
        <v>0.11600000000000001</v>
      </c>
      <c r="AV18">
        <v>0.6</v>
      </c>
      <c r="AW18">
        <v>0.1</v>
      </c>
      <c r="AX18">
        <v>0.7</v>
      </c>
      <c r="AY18">
        <v>1.7</v>
      </c>
      <c r="AZ18" s="8">
        <f t="shared" si="0"/>
        <v>3.3000000000000003</v>
      </c>
      <c r="BA18" s="8">
        <f t="shared" si="1"/>
        <v>8.7688879854277035E-2</v>
      </c>
    </row>
    <row r="19" spans="1:53" hidden="1" x14ac:dyDescent="0.25">
      <c r="A19" t="s">
        <v>83</v>
      </c>
      <c r="B19" s="2">
        <v>37281261</v>
      </c>
      <c r="C19" t="s">
        <v>52</v>
      </c>
      <c r="D19">
        <v>32</v>
      </c>
      <c r="E19" t="s">
        <v>73</v>
      </c>
      <c r="F19">
        <v>9</v>
      </c>
      <c r="G19">
        <v>1</v>
      </c>
      <c r="H19">
        <v>16</v>
      </c>
      <c r="I19">
        <v>2.7</v>
      </c>
      <c r="J19">
        <v>6.3</v>
      </c>
      <c r="K19">
        <v>0.42099999999999999</v>
      </c>
      <c r="L19">
        <v>0.8</v>
      </c>
      <c r="M19">
        <v>3.1</v>
      </c>
      <c r="N19">
        <v>0.25</v>
      </c>
      <c r="O19">
        <v>1.9</v>
      </c>
      <c r="P19">
        <v>3.2</v>
      </c>
      <c r="Q19">
        <v>0.58599999999999997</v>
      </c>
      <c r="R19">
        <v>0.48199999999999998</v>
      </c>
      <c r="S19">
        <v>1.9</v>
      </c>
      <c r="T19">
        <v>2.2999999999999998</v>
      </c>
      <c r="U19">
        <v>0.81</v>
      </c>
      <c r="V19">
        <v>0.3</v>
      </c>
      <c r="W19">
        <v>1.4</v>
      </c>
      <c r="X19">
        <v>1.8</v>
      </c>
      <c r="Y19">
        <v>2.1</v>
      </c>
      <c r="Z19">
        <v>0.2</v>
      </c>
      <c r="AA19">
        <v>0.2</v>
      </c>
      <c r="AB19">
        <v>0.4</v>
      </c>
      <c r="AC19">
        <v>1.2</v>
      </c>
      <c r="AD19">
        <v>8</v>
      </c>
      <c r="AE19">
        <v>144</v>
      </c>
      <c r="AF19">
        <v>15</v>
      </c>
      <c r="AG19">
        <v>0.54300000000000004</v>
      </c>
      <c r="AH19">
        <v>0.49099999999999999</v>
      </c>
      <c r="AI19">
        <v>0.36799999999999999</v>
      </c>
      <c r="AJ19">
        <v>2.4</v>
      </c>
      <c r="AK19">
        <v>10.6</v>
      </c>
      <c r="AL19">
        <v>6.5</v>
      </c>
      <c r="AM19">
        <v>20.100000000000001</v>
      </c>
      <c r="AN19">
        <v>0.7</v>
      </c>
      <c r="AO19">
        <v>1.2</v>
      </c>
      <c r="AP19">
        <v>5.7</v>
      </c>
      <c r="AQ19">
        <v>22.1</v>
      </c>
      <c r="AR19">
        <v>0.2</v>
      </c>
      <c r="AS19">
        <v>0.1</v>
      </c>
      <c r="AT19">
        <v>0.3</v>
      </c>
      <c r="AU19">
        <v>9.8000000000000004E-2</v>
      </c>
      <c r="AV19">
        <v>0.3</v>
      </c>
      <c r="AW19">
        <v>-0.6</v>
      </c>
      <c r="AX19">
        <v>-0.3</v>
      </c>
      <c r="AY19">
        <v>0.1</v>
      </c>
      <c r="AZ19">
        <f t="shared" si="0"/>
        <v>0</v>
      </c>
      <c r="BA19">
        <f t="shared" si="1"/>
        <v>0</v>
      </c>
    </row>
    <row r="20" spans="1:53" x14ac:dyDescent="0.25">
      <c r="A20" t="s">
        <v>84</v>
      </c>
      <c r="B20" s="2">
        <v>37096500</v>
      </c>
      <c r="C20" t="s">
        <v>52</v>
      </c>
      <c r="D20">
        <v>24</v>
      </c>
      <c r="E20" t="s">
        <v>85</v>
      </c>
      <c r="F20">
        <v>73</v>
      </c>
      <c r="G20">
        <v>73</v>
      </c>
      <c r="H20">
        <v>34.799999999999997</v>
      </c>
      <c r="I20">
        <v>8.1999999999999993</v>
      </c>
      <c r="J20">
        <v>19</v>
      </c>
      <c r="K20">
        <v>0.42899999999999999</v>
      </c>
      <c r="L20">
        <v>2.1</v>
      </c>
      <c r="M20">
        <v>6.3</v>
      </c>
      <c r="N20">
        <v>0.33500000000000002</v>
      </c>
      <c r="O20">
        <v>6.1</v>
      </c>
      <c r="P20">
        <v>12.7</v>
      </c>
      <c r="Q20">
        <v>0.47599999999999998</v>
      </c>
      <c r="R20">
        <v>0.48499999999999999</v>
      </c>
      <c r="S20">
        <v>7.8</v>
      </c>
      <c r="T20">
        <v>8.8000000000000007</v>
      </c>
      <c r="U20">
        <v>0.88600000000000001</v>
      </c>
      <c r="V20">
        <v>0.8</v>
      </c>
      <c r="W20">
        <v>2.2000000000000002</v>
      </c>
      <c r="X20">
        <v>3</v>
      </c>
      <c r="Y20">
        <v>10.199999999999999</v>
      </c>
      <c r="Z20">
        <v>1.1000000000000001</v>
      </c>
      <c r="AA20">
        <v>0.1</v>
      </c>
      <c r="AB20">
        <v>4.0999999999999996</v>
      </c>
      <c r="AC20">
        <v>1.4</v>
      </c>
      <c r="AD20">
        <v>26.2</v>
      </c>
      <c r="AE20">
        <v>2541</v>
      </c>
      <c r="AF20">
        <v>22</v>
      </c>
      <c r="AG20">
        <v>0.57299999999999995</v>
      </c>
      <c r="AH20">
        <v>0.33100000000000002</v>
      </c>
      <c r="AI20">
        <v>0.46</v>
      </c>
      <c r="AJ20">
        <v>2.4</v>
      </c>
      <c r="AK20">
        <v>7</v>
      </c>
      <c r="AL20">
        <v>4.7</v>
      </c>
      <c r="AM20">
        <v>42.5</v>
      </c>
      <c r="AN20">
        <v>1.5</v>
      </c>
      <c r="AO20">
        <v>0.3</v>
      </c>
      <c r="AP20">
        <v>15.2</v>
      </c>
      <c r="AQ20">
        <v>32.6</v>
      </c>
      <c r="AR20">
        <v>5.3</v>
      </c>
      <c r="AS20">
        <v>1.4</v>
      </c>
      <c r="AT20">
        <v>6.7</v>
      </c>
      <c r="AU20">
        <v>0.126</v>
      </c>
      <c r="AV20">
        <v>5.3</v>
      </c>
      <c r="AW20">
        <v>-2</v>
      </c>
      <c r="AX20">
        <v>3.3</v>
      </c>
      <c r="AY20">
        <v>3.4</v>
      </c>
      <c r="AZ20" s="8">
        <f t="shared" si="0"/>
        <v>5</v>
      </c>
      <c r="BA20" s="8">
        <f t="shared" si="1"/>
        <v>0.13478360492229724</v>
      </c>
    </row>
    <row r="21" spans="1:53" x14ac:dyDescent="0.25">
      <c r="A21" t="s">
        <v>86</v>
      </c>
      <c r="B21" s="2">
        <v>37096500</v>
      </c>
      <c r="C21" t="s">
        <v>62</v>
      </c>
      <c r="D21">
        <v>27</v>
      </c>
      <c r="E21" t="s">
        <v>87</v>
      </c>
      <c r="F21">
        <v>77</v>
      </c>
      <c r="G21">
        <v>77</v>
      </c>
      <c r="H21">
        <v>35.9</v>
      </c>
      <c r="I21">
        <v>8.6999999999999993</v>
      </c>
      <c r="J21">
        <v>18</v>
      </c>
      <c r="K21">
        <v>0.48499999999999999</v>
      </c>
      <c r="L21">
        <v>2.6</v>
      </c>
      <c r="M21">
        <v>7.1</v>
      </c>
      <c r="N21">
        <v>0.375</v>
      </c>
      <c r="O21">
        <v>6.1</v>
      </c>
      <c r="P21">
        <v>11</v>
      </c>
      <c r="Q21">
        <v>0.55600000000000005</v>
      </c>
      <c r="R21">
        <v>0.55800000000000005</v>
      </c>
      <c r="S21">
        <v>4.7</v>
      </c>
      <c r="T21">
        <v>5.6</v>
      </c>
      <c r="U21">
        <v>0.84799999999999998</v>
      </c>
      <c r="V21">
        <v>0.5</v>
      </c>
      <c r="W21">
        <v>3.9</v>
      </c>
      <c r="X21">
        <v>4.5</v>
      </c>
      <c r="Y21">
        <v>4.2</v>
      </c>
      <c r="Z21">
        <v>0.9</v>
      </c>
      <c r="AA21">
        <v>0.2</v>
      </c>
      <c r="AB21">
        <v>2.5</v>
      </c>
      <c r="AC21">
        <v>2.1</v>
      </c>
      <c r="AD21">
        <v>24.8</v>
      </c>
      <c r="AE21">
        <v>2768</v>
      </c>
      <c r="AF21">
        <v>19</v>
      </c>
      <c r="AG21">
        <v>0.60699999999999998</v>
      </c>
      <c r="AH21">
        <v>0.39200000000000002</v>
      </c>
      <c r="AI21">
        <v>0.308</v>
      </c>
      <c r="AJ21">
        <v>1.7</v>
      </c>
      <c r="AK21">
        <v>12.2</v>
      </c>
      <c r="AL21">
        <v>7.1</v>
      </c>
      <c r="AM21">
        <v>18.7</v>
      </c>
      <c r="AN21">
        <v>1.2</v>
      </c>
      <c r="AO21">
        <v>0.6</v>
      </c>
      <c r="AP21">
        <v>11</v>
      </c>
      <c r="AQ21">
        <v>28.3</v>
      </c>
      <c r="AR21">
        <v>4.2</v>
      </c>
      <c r="AS21">
        <v>2.9</v>
      </c>
      <c r="AT21">
        <v>7.1</v>
      </c>
      <c r="AU21">
        <v>0.123</v>
      </c>
      <c r="AV21">
        <v>2.7</v>
      </c>
      <c r="AW21">
        <v>-0.7</v>
      </c>
      <c r="AX21">
        <v>1.9</v>
      </c>
      <c r="AY21">
        <v>2.7</v>
      </c>
      <c r="AZ21" s="8">
        <f t="shared" si="0"/>
        <v>4.5</v>
      </c>
      <c r="BA21" s="8">
        <f t="shared" si="1"/>
        <v>0.12130524443006753</v>
      </c>
    </row>
    <row r="22" spans="1:53" x14ac:dyDescent="0.25">
      <c r="A22" t="s">
        <v>88</v>
      </c>
      <c r="B22" s="2">
        <v>35448672</v>
      </c>
      <c r="C22" t="s">
        <v>52</v>
      </c>
      <c r="D22">
        <v>26</v>
      </c>
      <c r="E22" t="s">
        <v>89</v>
      </c>
      <c r="F22">
        <v>42</v>
      </c>
      <c r="G22">
        <v>33</v>
      </c>
      <c r="H22">
        <v>26.3</v>
      </c>
      <c r="I22">
        <v>3.2</v>
      </c>
      <c r="J22">
        <v>5.6</v>
      </c>
      <c r="K22">
        <v>0.56599999999999995</v>
      </c>
      <c r="L22">
        <v>0</v>
      </c>
      <c r="M22">
        <v>0</v>
      </c>
      <c r="N22">
        <v>0</v>
      </c>
      <c r="O22">
        <v>3.2</v>
      </c>
      <c r="P22">
        <v>5.5</v>
      </c>
      <c r="Q22">
        <v>0.57099999999999995</v>
      </c>
      <c r="R22">
        <v>0.56599999999999995</v>
      </c>
      <c r="S22">
        <v>0.6</v>
      </c>
      <c r="T22">
        <v>1.4</v>
      </c>
      <c r="U22">
        <v>0.439</v>
      </c>
      <c r="V22">
        <v>1</v>
      </c>
      <c r="W22">
        <v>5.3</v>
      </c>
      <c r="X22">
        <v>6.3</v>
      </c>
      <c r="Y22">
        <v>6.1</v>
      </c>
      <c r="Z22">
        <v>1.3</v>
      </c>
      <c r="AA22">
        <v>0.6</v>
      </c>
      <c r="AB22">
        <v>2.2999999999999998</v>
      </c>
      <c r="AC22">
        <v>3.3</v>
      </c>
      <c r="AD22">
        <v>6.9</v>
      </c>
      <c r="AE22">
        <v>1105</v>
      </c>
      <c r="AF22">
        <v>13.4</v>
      </c>
      <c r="AG22">
        <v>0.55900000000000005</v>
      </c>
      <c r="AH22">
        <v>8.9999999999999993E-3</v>
      </c>
      <c r="AI22">
        <v>0.24299999999999999</v>
      </c>
      <c r="AJ22">
        <v>4.2</v>
      </c>
      <c r="AK22">
        <v>22.2</v>
      </c>
      <c r="AL22">
        <v>13.4</v>
      </c>
      <c r="AM22">
        <v>31.3</v>
      </c>
      <c r="AN22">
        <v>2.4</v>
      </c>
      <c r="AO22">
        <v>1.9</v>
      </c>
      <c r="AP22">
        <v>27.2</v>
      </c>
      <c r="AQ22">
        <v>14.3</v>
      </c>
      <c r="AR22">
        <v>0.5</v>
      </c>
      <c r="AS22">
        <v>1.7</v>
      </c>
      <c r="AT22">
        <v>2.2000000000000002</v>
      </c>
      <c r="AU22">
        <v>9.7000000000000003E-2</v>
      </c>
      <c r="AV22">
        <v>-2.2000000000000002</v>
      </c>
      <c r="AW22">
        <v>2.6</v>
      </c>
      <c r="AX22">
        <v>0.4</v>
      </c>
      <c r="AY22">
        <v>0.7</v>
      </c>
      <c r="AZ22" s="8">
        <f t="shared" si="0"/>
        <v>1.3</v>
      </c>
      <c r="BA22" s="8">
        <f t="shared" si="1"/>
        <v>3.6672741929514314E-2</v>
      </c>
    </row>
    <row r="23" spans="1:53" x14ac:dyDescent="0.25">
      <c r="A23" t="s">
        <v>90</v>
      </c>
      <c r="B23" s="2">
        <v>35448672</v>
      </c>
      <c r="C23" t="s">
        <v>28</v>
      </c>
      <c r="D23">
        <v>28</v>
      </c>
      <c r="E23" t="s">
        <v>91</v>
      </c>
      <c r="F23">
        <v>71</v>
      </c>
      <c r="G23">
        <v>71</v>
      </c>
      <c r="H23">
        <v>37.4</v>
      </c>
      <c r="I23">
        <v>8.9</v>
      </c>
      <c r="J23">
        <v>18.5</v>
      </c>
      <c r="K23">
        <v>0.48</v>
      </c>
      <c r="L23">
        <v>1.3</v>
      </c>
      <c r="M23">
        <v>4</v>
      </c>
      <c r="N23">
        <v>0.32400000000000001</v>
      </c>
      <c r="O23">
        <v>7.6</v>
      </c>
      <c r="P23">
        <v>14.5</v>
      </c>
      <c r="Q23">
        <v>0.52300000000000002</v>
      </c>
      <c r="R23">
        <v>0.51500000000000001</v>
      </c>
      <c r="S23">
        <v>5.2</v>
      </c>
      <c r="T23">
        <v>6.7</v>
      </c>
      <c r="U23">
        <v>0.77400000000000002</v>
      </c>
      <c r="V23">
        <v>1.8</v>
      </c>
      <c r="W23">
        <v>6</v>
      </c>
      <c r="X23">
        <v>7.8</v>
      </c>
      <c r="Y23">
        <v>5.8</v>
      </c>
      <c r="Z23">
        <v>0.9</v>
      </c>
      <c r="AA23">
        <v>0.5</v>
      </c>
      <c r="AB23">
        <v>2.4</v>
      </c>
      <c r="AC23">
        <v>3.2</v>
      </c>
      <c r="AD23">
        <v>24.2</v>
      </c>
      <c r="AE23">
        <v>2652</v>
      </c>
      <c r="AF23">
        <v>20.3</v>
      </c>
      <c r="AG23">
        <v>0.56499999999999995</v>
      </c>
      <c r="AH23">
        <v>0.219</v>
      </c>
      <c r="AI23">
        <v>0.36099999999999999</v>
      </c>
      <c r="AJ23">
        <v>5.2</v>
      </c>
      <c r="AK23">
        <v>19.600000000000001</v>
      </c>
      <c r="AL23">
        <v>11.9</v>
      </c>
      <c r="AM23">
        <v>24.9</v>
      </c>
      <c r="AN23">
        <v>1.2</v>
      </c>
      <c r="AO23">
        <v>1.3</v>
      </c>
      <c r="AP23">
        <v>10</v>
      </c>
      <c r="AQ23">
        <v>27.2</v>
      </c>
      <c r="AR23">
        <v>5.2</v>
      </c>
      <c r="AS23">
        <v>2.6</v>
      </c>
      <c r="AT23">
        <v>7.8</v>
      </c>
      <c r="AU23">
        <v>0.14099999999999999</v>
      </c>
      <c r="AV23">
        <v>3.3</v>
      </c>
      <c r="AW23">
        <v>-0.1</v>
      </c>
      <c r="AX23">
        <v>3.1</v>
      </c>
      <c r="AY23">
        <v>3.4</v>
      </c>
      <c r="AZ23" s="8">
        <f t="shared" si="0"/>
        <v>5.45</v>
      </c>
      <c r="BA23" s="8">
        <f t="shared" si="1"/>
        <v>0.15374341808911771</v>
      </c>
    </row>
    <row r="24" spans="1:53" x14ac:dyDescent="0.25">
      <c r="A24" t="s">
        <v>92</v>
      </c>
      <c r="B24" s="2">
        <v>35096500</v>
      </c>
      <c r="C24" t="s">
        <v>75</v>
      </c>
      <c r="D24">
        <v>26</v>
      </c>
      <c r="E24" t="s">
        <v>93</v>
      </c>
      <c r="F24">
        <v>62</v>
      </c>
      <c r="G24">
        <v>62</v>
      </c>
      <c r="H24">
        <v>29.4</v>
      </c>
      <c r="I24">
        <v>6.5</v>
      </c>
      <c r="J24">
        <v>11.8</v>
      </c>
      <c r="K24">
        <v>0.54800000000000004</v>
      </c>
      <c r="L24">
        <v>1.5</v>
      </c>
      <c r="M24">
        <v>4</v>
      </c>
      <c r="N24">
        <v>0.373</v>
      </c>
      <c r="O24">
        <v>5</v>
      </c>
      <c r="P24">
        <v>7.8</v>
      </c>
      <c r="Q24">
        <v>0.63800000000000001</v>
      </c>
      <c r="R24">
        <v>0.61199999999999999</v>
      </c>
      <c r="S24">
        <v>3.5</v>
      </c>
      <c r="T24">
        <v>4.5</v>
      </c>
      <c r="U24">
        <v>0.78300000000000003</v>
      </c>
      <c r="V24">
        <v>1.4</v>
      </c>
      <c r="W24">
        <v>6.1</v>
      </c>
      <c r="X24">
        <v>7.5</v>
      </c>
      <c r="Y24">
        <v>1.4</v>
      </c>
      <c r="Z24">
        <v>0.6</v>
      </c>
      <c r="AA24">
        <v>2.2999999999999998</v>
      </c>
      <c r="AB24">
        <v>1.7</v>
      </c>
      <c r="AC24">
        <v>3.5</v>
      </c>
      <c r="AD24">
        <v>18</v>
      </c>
      <c r="AE24">
        <v>1825</v>
      </c>
      <c r="AF24">
        <v>20</v>
      </c>
      <c r="AG24">
        <v>0.65100000000000002</v>
      </c>
      <c r="AH24">
        <v>0.34</v>
      </c>
      <c r="AI24">
        <v>0.377</v>
      </c>
      <c r="AJ24">
        <v>5.4</v>
      </c>
      <c r="AK24">
        <v>22.9</v>
      </c>
      <c r="AL24">
        <v>14.2</v>
      </c>
      <c r="AM24">
        <v>7.5</v>
      </c>
      <c r="AN24">
        <v>0.9</v>
      </c>
      <c r="AO24">
        <v>6.6</v>
      </c>
      <c r="AP24">
        <v>10.8</v>
      </c>
      <c r="AQ24">
        <v>22</v>
      </c>
      <c r="AR24">
        <v>3.4</v>
      </c>
      <c r="AS24">
        <v>2</v>
      </c>
      <c r="AT24">
        <v>5.4</v>
      </c>
      <c r="AU24">
        <v>0.14199999999999999</v>
      </c>
      <c r="AV24">
        <v>1.4</v>
      </c>
      <c r="AW24">
        <v>0.7</v>
      </c>
      <c r="AX24">
        <v>2.1</v>
      </c>
      <c r="AY24">
        <v>1.9</v>
      </c>
      <c r="AZ24" s="8">
        <f t="shared" si="0"/>
        <v>3.75</v>
      </c>
      <c r="BA24" s="8">
        <f t="shared" si="1"/>
        <v>0.10684826122262904</v>
      </c>
    </row>
    <row r="25" spans="1:53" x14ac:dyDescent="0.25">
      <c r="A25" t="s">
        <v>94</v>
      </c>
      <c r="B25" s="2">
        <v>34319520</v>
      </c>
      <c r="C25" t="s">
        <v>52</v>
      </c>
      <c r="D25">
        <v>32</v>
      </c>
      <c r="E25" t="s">
        <v>68</v>
      </c>
      <c r="F25">
        <v>67</v>
      </c>
      <c r="G25">
        <v>65</v>
      </c>
      <c r="H25">
        <v>32.6</v>
      </c>
      <c r="I25">
        <v>7.3</v>
      </c>
      <c r="J25">
        <v>15.3</v>
      </c>
      <c r="K25">
        <v>0.47899999999999998</v>
      </c>
      <c r="L25">
        <v>2.4</v>
      </c>
      <c r="M25">
        <v>6.1</v>
      </c>
      <c r="N25">
        <v>0.38400000000000001</v>
      </c>
      <c r="O25">
        <v>5</v>
      </c>
      <c r="P25">
        <v>9.1</v>
      </c>
      <c r="Q25">
        <v>0.54200000000000004</v>
      </c>
      <c r="R25">
        <v>0.55600000000000005</v>
      </c>
      <c r="S25">
        <v>2.2999999999999998</v>
      </c>
      <c r="T25">
        <v>2.6</v>
      </c>
      <c r="U25">
        <v>0.85899999999999999</v>
      </c>
      <c r="V25">
        <v>1.2</v>
      </c>
      <c r="W25">
        <v>3.9</v>
      </c>
      <c r="X25">
        <v>5.0999999999999996</v>
      </c>
      <c r="Y25">
        <v>7.4</v>
      </c>
      <c r="Z25">
        <v>1.2</v>
      </c>
      <c r="AA25">
        <v>0.4</v>
      </c>
      <c r="AB25">
        <v>2.9</v>
      </c>
      <c r="AC25">
        <v>1.7</v>
      </c>
      <c r="AD25">
        <v>19.3</v>
      </c>
      <c r="AE25">
        <v>2183</v>
      </c>
      <c r="AF25">
        <v>19.2</v>
      </c>
      <c r="AG25">
        <v>0.58599999999999997</v>
      </c>
      <c r="AH25">
        <v>0.40200000000000002</v>
      </c>
      <c r="AI25">
        <v>0.17299999999999999</v>
      </c>
      <c r="AJ25">
        <v>3.9</v>
      </c>
      <c r="AK25">
        <v>12</v>
      </c>
      <c r="AL25">
        <v>8.1</v>
      </c>
      <c r="AM25">
        <v>34.4</v>
      </c>
      <c r="AN25">
        <v>1.7</v>
      </c>
      <c r="AO25">
        <v>0.9</v>
      </c>
      <c r="AP25">
        <v>15.2</v>
      </c>
      <c r="AQ25">
        <v>25</v>
      </c>
      <c r="AR25">
        <v>3.9</v>
      </c>
      <c r="AS25">
        <v>2.8</v>
      </c>
      <c r="AT25">
        <v>6.7</v>
      </c>
      <c r="AU25">
        <v>0.14799999999999999</v>
      </c>
      <c r="AV25">
        <v>3</v>
      </c>
      <c r="AW25">
        <v>0.1</v>
      </c>
      <c r="AX25">
        <v>3.1</v>
      </c>
      <c r="AY25">
        <v>2.8</v>
      </c>
      <c r="AZ25" s="8">
        <f t="shared" si="0"/>
        <v>4.9000000000000004</v>
      </c>
      <c r="BA25" s="8">
        <f t="shared" si="1"/>
        <v>0.14277588963948215</v>
      </c>
    </row>
    <row r="26" spans="1:53" hidden="1" x14ac:dyDescent="0.25">
      <c r="A26" t="s">
        <v>95</v>
      </c>
      <c r="B26" s="2">
        <v>33833400</v>
      </c>
      <c r="C26" t="s">
        <v>28</v>
      </c>
      <c r="D26">
        <v>27</v>
      </c>
      <c r="E26" t="s">
        <v>76</v>
      </c>
      <c r="F26">
        <v>29</v>
      </c>
      <c r="G26">
        <v>29</v>
      </c>
      <c r="H26">
        <v>33</v>
      </c>
      <c r="I26">
        <v>7.3</v>
      </c>
      <c r="J26">
        <v>14.8</v>
      </c>
      <c r="K26">
        <v>0.495</v>
      </c>
      <c r="L26">
        <v>2.1</v>
      </c>
      <c r="M26">
        <v>5.7</v>
      </c>
      <c r="N26">
        <v>0.36599999999999999</v>
      </c>
      <c r="O26">
        <v>5.2</v>
      </c>
      <c r="P26">
        <v>9.1</v>
      </c>
      <c r="Q26">
        <v>0.57599999999999996</v>
      </c>
      <c r="R26">
        <v>0.56499999999999995</v>
      </c>
      <c r="S26">
        <v>4.0999999999999996</v>
      </c>
      <c r="T26">
        <v>4.7</v>
      </c>
      <c r="U26">
        <v>0.874</v>
      </c>
      <c r="V26">
        <v>1.7</v>
      </c>
      <c r="W26">
        <v>6.5</v>
      </c>
      <c r="X26">
        <v>8.1</v>
      </c>
      <c r="Y26">
        <v>4.8</v>
      </c>
      <c r="Z26">
        <v>0.7</v>
      </c>
      <c r="AA26">
        <v>0.6</v>
      </c>
      <c r="AB26">
        <v>3</v>
      </c>
      <c r="AC26">
        <v>3.8</v>
      </c>
      <c r="AD26">
        <v>20.8</v>
      </c>
      <c r="AE26">
        <v>957</v>
      </c>
      <c r="AF26">
        <v>18.8</v>
      </c>
      <c r="AG26">
        <v>0.61799999999999999</v>
      </c>
      <c r="AH26">
        <v>0.38300000000000001</v>
      </c>
      <c r="AI26">
        <v>0.315</v>
      </c>
      <c r="AJ26">
        <v>5.7</v>
      </c>
      <c r="AK26">
        <v>21.6</v>
      </c>
      <c r="AL26">
        <v>13.8</v>
      </c>
      <c r="AM26">
        <v>22</v>
      </c>
      <c r="AN26">
        <v>1</v>
      </c>
      <c r="AO26">
        <v>1.5</v>
      </c>
      <c r="AP26">
        <v>15</v>
      </c>
      <c r="AQ26">
        <v>25.6</v>
      </c>
      <c r="AR26">
        <v>1.5</v>
      </c>
      <c r="AS26">
        <v>1.1000000000000001</v>
      </c>
      <c r="AT26">
        <v>2.7</v>
      </c>
      <c r="AU26">
        <v>0.13300000000000001</v>
      </c>
      <c r="AV26">
        <v>2.1</v>
      </c>
      <c r="AW26">
        <v>0.9</v>
      </c>
      <c r="AX26">
        <v>3</v>
      </c>
      <c r="AY26">
        <v>1.2</v>
      </c>
      <c r="AZ26">
        <f t="shared" si="0"/>
        <v>2.85</v>
      </c>
      <c r="BA26">
        <f t="shared" si="1"/>
        <v>8.4236287219138478E-2</v>
      </c>
    </row>
    <row r="27" spans="1:53" x14ac:dyDescent="0.25">
      <c r="A27" t="s">
        <v>96</v>
      </c>
      <c r="B27" s="2">
        <v>33833400</v>
      </c>
      <c r="C27" t="s">
        <v>62</v>
      </c>
      <c r="D27">
        <v>26</v>
      </c>
      <c r="E27" t="s">
        <v>60</v>
      </c>
      <c r="F27">
        <v>53</v>
      </c>
      <c r="G27">
        <v>53</v>
      </c>
      <c r="H27">
        <v>34.6</v>
      </c>
      <c r="I27">
        <v>9.9</v>
      </c>
      <c r="J27">
        <v>20.100000000000001</v>
      </c>
      <c r="K27">
        <v>0.49399999999999999</v>
      </c>
      <c r="L27">
        <v>2.1</v>
      </c>
      <c r="M27">
        <v>6</v>
      </c>
      <c r="N27">
        <v>0.35099999999999998</v>
      </c>
      <c r="O27">
        <v>7.8</v>
      </c>
      <c r="P27">
        <v>14.2</v>
      </c>
      <c r="Q27">
        <v>0.55400000000000005</v>
      </c>
      <c r="R27">
        <v>0.54600000000000004</v>
      </c>
      <c r="S27">
        <v>5.8</v>
      </c>
      <c r="T27">
        <v>6.8</v>
      </c>
      <c r="U27">
        <v>0.85499999999999998</v>
      </c>
      <c r="V27">
        <v>0.9</v>
      </c>
      <c r="W27">
        <v>3.7</v>
      </c>
      <c r="X27">
        <v>4.5</v>
      </c>
      <c r="Y27">
        <v>5.5</v>
      </c>
      <c r="Z27">
        <v>1</v>
      </c>
      <c r="AA27">
        <v>0.3</v>
      </c>
      <c r="AB27">
        <v>2.7</v>
      </c>
      <c r="AC27">
        <v>3</v>
      </c>
      <c r="AD27">
        <v>27.8</v>
      </c>
      <c r="AE27">
        <v>1835</v>
      </c>
      <c r="AF27">
        <v>22</v>
      </c>
      <c r="AG27">
        <v>0.60099999999999998</v>
      </c>
      <c r="AH27">
        <v>0.29599999999999999</v>
      </c>
      <c r="AI27">
        <v>0.33600000000000002</v>
      </c>
      <c r="AJ27">
        <v>2.7</v>
      </c>
      <c r="AK27">
        <v>12</v>
      </c>
      <c r="AL27">
        <v>7.2</v>
      </c>
      <c r="AM27">
        <v>27.3</v>
      </c>
      <c r="AN27">
        <v>1.4</v>
      </c>
      <c r="AO27">
        <v>0.9</v>
      </c>
      <c r="AP27">
        <v>10.6</v>
      </c>
      <c r="AQ27">
        <v>31.8</v>
      </c>
      <c r="AR27">
        <v>4.2</v>
      </c>
      <c r="AS27">
        <v>1.9</v>
      </c>
      <c r="AT27">
        <v>6</v>
      </c>
      <c r="AU27">
        <v>0.157</v>
      </c>
      <c r="AV27">
        <v>4.5</v>
      </c>
      <c r="AW27">
        <v>-0.3</v>
      </c>
      <c r="AX27">
        <v>4.2</v>
      </c>
      <c r="AY27">
        <v>2.9</v>
      </c>
      <c r="AZ27" s="8">
        <f t="shared" si="0"/>
        <v>5.0999999999999996</v>
      </c>
      <c r="BA27" s="8">
        <f t="shared" si="1"/>
        <v>0.15073861923424781</v>
      </c>
    </row>
    <row r="28" spans="1:53" x14ac:dyDescent="0.25">
      <c r="A28" t="s">
        <v>97</v>
      </c>
      <c r="B28" s="2">
        <v>33616770</v>
      </c>
      <c r="C28" t="s">
        <v>65</v>
      </c>
      <c r="D28">
        <v>27</v>
      </c>
      <c r="E28" t="s">
        <v>53</v>
      </c>
      <c r="F28">
        <v>37</v>
      </c>
      <c r="G28">
        <v>37</v>
      </c>
      <c r="H28">
        <v>32.200000000000003</v>
      </c>
      <c r="I28">
        <v>6.8</v>
      </c>
      <c r="J28">
        <v>14.3</v>
      </c>
      <c r="K28">
        <v>0.47299999999999998</v>
      </c>
      <c r="L28">
        <v>2.4</v>
      </c>
      <c r="M28">
        <v>6.1</v>
      </c>
      <c r="N28">
        <v>0.39600000000000002</v>
      </c>
      <c r="O28">
        <v>4.4000000000000004</v>
      </c>
      <c r="P28">
        <v>8.1999999999999993</v>
      </c>
      <c r="Q28">
        <v>0.53</v>
      </c>
      <c r="R28">
        <v>0.55700000000000005</v>
      </c>
      <c r="S28">
        <v>1.2</v>
      </c>
      <c r="T28">
        <v>1.9</v>
      </c>
      <c r="U28">
        <v>0.61099999999999999</v>
      </c>
      <c r="V28">
        <v>1.6</v>
      </c>
      <c r="W28">
        <v>3.4</v>
      </c>
      <c r="X28">
        <v>5</v>
      </c>
      <c r="Y28">
        <v>2.2999999999999998</v>
      </c>
      <c r="Z28">
        <v>1.2</v>
      </c>
      <c r="AA28">
        <v>0.8</v>
      </c>
      <c r="AB28">
        <v>1.3</v>
      </c>
      <c r="AC28">
        <v>2.9</v>
      </c>
      <c r="AD28">
        <v>17.100000000000001</v>
      </c>
      <c r="AE28">
        <v>1190</v>
      </c>
      <c r="AF28">
        <v>14.7</v>
      </c>
      <c r="AG28">
        <v>0.56399999999999995</v>
      </c>
      <c r="AH28">
        <v>0.42499999999999999</v>
      </c>
      <c r="AI28">
        <v>0.13600000000000001</v>
      </c>
      <c r="AJ28">
        <v>5.7</v>
      </c>
      <c r="AK28">
        <v>11.3</v>
      </c>
      <c r="AL28">
        <v>8.6</v>
      </c>
      <c r="AM28">
        <v>10.5</v>
      </c>
      <c r="AN28">
        <v>1.8</v>
      </c>
      <c r="AO28">
        <v>2.1</v>
      </c>
      <c r="AP28">
        <v>7.9</v>
      </c>
      <c r="AQ28">
        <v>21.5</v>
      </c>
      <c r="AR28">
        <v>1</v>
      </c>
      <c r="AS28">
        <v>1.3</v>
      </c>
      <c r="AT28">
        <v>2.2999999999999998</v>
      </c>
      <c r="AU28">
        <v>9.0999999999999998E-2</v>
      </c>
      <c r="AV28">
        <v>-0.1</v>
      </c>
      <c r="AW28">
        <v>-0.4</v>
      </c>
      <c r="AX28">
        <v>-0.5</v>
      </c>
      <c r="AY28">
        <v>0.5</v>
      </c>
      <c r="AZ28" s="8">
        <f t="shared" si="0"/>
        <v>0.89999999999999991</v>
      </c>
      <c r="BA28" s="8">
        <f t="shared" si="1"/>
        <v>2.6772352013593213E-2</v>
      </c>
    </row>
    <row r="29" spans="1:53" x14ac:dyDescent="0.25">
      <c r="A29" t="s">
        <v>98</v>
      </c>
      <c r="B29" s="2">
        <v>33616770</v>
      </c>
      <c r="C29" t="s">
        <v>75</v>
      </c>
      <c r="D29">
        <v>28</v>
      </c>
      <c r="E29" t="s">
        <v>82</v>
      </c>
      <c r="F29">
        <v>66</v>
      </c>
      <c r="G29">
        <v>66</v>
      </c>
      <c r="H29">
        <v>34.6</v>
      </c>
      <c r="I29">
        <v>11</v>
      </c>
      <c r="J29">
        <v>20.100000000000001</v>
      </c>
      <c r="K29">
        <v>0.54800000000000004</v>
      </c>
      <c r="L29">
        <v>1</v>
      </c>
      <c r="M29">
        <v>3</v>
      </c>
      <c r="N29">
        <v>0.33</v>
      </c>
      <c r="O29">
        <v>10</v>
      </c>
      <c r="P29">
        <v>17.100000000000001</v>
      </c>
      <c r="Q29">
        <v>0.58699999999999997</v>
      </c>
      <c r="R29">
        <v>0.57299999999999995</v>
      </c>
      <c r="S29">
        <v>10</v>
      </c>
      <c r="T29">
        <v>11.7</v>
      </c>
      <c r="U29">
        <v>0.85699999999999998</v>
      </c>
      <c r="V29">
        <v>1.7</v>
      </c>
      <c r="W29">
        <v>8.4</v>
      </c>
      <c r="X29">
        <v>10.199999999999999</v>
      </c>
      <c r="Y29">
        <v>4.2</v>
      </c>
      <c r="Z29">
        <v>1</v>
      </c>
      <c r="AA29">
        <v>1.7</v>
      </c>
      <c r="AB29">
        <v>3.4</v>
      </c>
      <c r="AC29">
        <v>3.1</v>
      </c>
      <c r="AD29">
        <v>33.1</v>
      </c>
      <c r="AE29">
        <v>2284</v>
      </c>
      <c r="AF29">
        <v>31.4</v>
      </c>
      <c r="AG29">
        <v>0.65500000000000003</v>
      </c>
      <c r="AH29">
        <v>0.151</v>
      </c>
      <c r="AI29">
        <v>0.58099999999999996</v>
      </c>
      <c r="AJ29">
        <v>5.9</v>
      </c>
      <c r="AK29">
        <v>28.3</v>
      </c>
      <c r="AL29">
        <v>17.3</v>
      </c>
      <c r="AM29">
        <v>22.9</v>
      </c>
      <c r="AN29">
        <v>1.4</v>
      </c>
      <c r="AO29">
        <v>4.5999999999999996</v>
      </c>
      <c r="AP29">
        <v>11.9</v>
      </c>
      <c r="AQ29">
        <v>37</v>
      </c>
      <c r="AR29">
        <v>8.4</v>
      </c>
      <c r="AS29">
        <v>3.9</v>
      </c>
      <c r="AT29">
        <v>12.3</v>
      </c>
      <c r="AU29">
        <v>0.25900000000000001</v>
      </c>
      <c r="AV29">
        <v>6.8</v>
      </c>
      <c r="AW29">
        <v>2.2999999999999998</v>
      </c>
      <c r="AX29">
        <v>9.1999999999999993</v>
      </c>
      <c r="AY29">
        <v>6.4</v>
      </c>
      <c r="AZ29" s="8">
        <f t="shared" si="0"/>
        <v>10.75</v>
      </c>
      <c r="BA29" s="8">
        <f t="shared" si="1"/>
        <v>0.31978087127347454</v>
      </c>
    </row>
    <row r="30" spans="1:53" x14ac:dyDescent="0.25">
      <c r="A30" t="s">
        <v>99</v>
      </c>
      <c r="B30" s="2">
        <v>33333333</v>
      </c>
      <c r="C30" t="s">
        <v>62</v>
      </c>
      <c r="D30">
        <v>31</v>
      </c>
      <c r="E30" t="s">
        <v>100</v>
      </c>
      <c r="F30">
        <v>75</v>
      </c>
      <c r="G30">
        <v>75</v>
      </c>
      <c r="H30">
        <v>35.299999999999997</v>
      </c>
      <c r="I30">
        <v>7.8</v>
      </c>
      <c r="J30">
        <v>17.899999999999999</v>
      </c>
      <c r="K30">
        <v>0.437</v>
      </c>
      <c r="L30">
        <v>2.8</v>
      </c>
      <c r="M30">
        <v>7.2</v>
      </c>
      <c r="N30">
        <v>0.38900000000000001</v>
      </c>
      <c r="O30">
        <v>5</v>
      </c>
      <c r="P30">
        <v>10.7</v>
      </c>
      <c r="Q30">
        <v>0.46899999999999997</v>
      </c>
      <c r="R30">
        <v>0.51500000000000001</v>
      </c>
      <c r="S30">
        <v>2.4</v>
      </c>
      <c r="T30">
        <v>3.2</v>
      </c>
      <c r="U30">
        <v>0.76900000000000002</v>
      </c>
      <c r="V30">
        <v>0.7</v>
      </c>
      <c r="W30">
        <v>3.6</v>
      </c>
      <c r="X30">
        <v>4.4000000000000004</v>
      </c>
      <c r="Y30">
        <v>5.7</v>
      </c>
      <c r="Z30">
        <v>0.9</v>
      </c>
      <c r="AA30">
        <v>0.5</v>
      </c>
      <c r="AB30">
        <v>2.4</v>
      </c>
      <c r="AC30">
        <v>2</v>
      </c>
      <c r="AD30">
        <v>20.9</v>
      </c>
      <c r="AE30">
        <v>2649</v>
      </c>
      <c r="AF30">
        <v>15.6</v>
      </c>
      <c r="AG30">
        <v>0.54100000000000004</v>
      </c>
      <c r="AH30">
        <v>0.40400000000000003</v>
      </c>
      <c r="AI30">
        <v>0.17699999999999999</v>
      </c>
      <c r="AJ30">
        <v>2.4</v>
      </c>
      <c r="AK30">
        <v>11.7</v>
      </c>
      <c r="AL30">
        <v>7</v>
      </c>
      <c r="AM30">
        <v>25.1</v>
      </c>
      <c r="AN30">
        <v>1.3</v>
      </c>
      <c r="AO30">
        <v>1.4</v>
      </c>
      <c r="AP30">
        <v>11.2</v>
      </c>
      <c r="AQ30">
        <v>26.4</v>
      </c>
      <c r="AR30">
        <v>1.5</v>
      </c>
      <c r="AS30">
        <v>2.8</v>
      </c>
      <c r="AT30">
        <v>4.3</v>
      </c>
      <c r="AU30">
        <v>7.8E-2</v>
      </c>
      <c r="AV30">
        <v>1.5</v>
      </c>
      <c r="AW30">
        <v>-0.7</v>
      </c>
      <c r="AX30">
        <v>0.8</v>
      </c>
      <c r="AY30">
        <v>1.9</v>
      </c>
      <c r="AZ30" s="8">
        <f t="shared" si="0"/>
        <v>2.5499999999999998</v>
      </c>
      <c r="BA30" s="8">
        <f t="shared" si="1"/>
        <v>7.6500000765000006E-2</v>
      </c>
    </row>
    <row r="31" spans="1:53" x14ac:dyDescent="0.25">
      <c r="A31" t="s">
        <v>101</v>
      </c>
      <c r="B31" s="2">
        <v>33000000</v>
      </c>
      <c r="C31" t="s">
        <v>52</v>
      </c>
      <c r="D31">
        <v>33</v>
      </c>
      <c r="E31" t="s">
        <v>82</v>
      </c>
      <c r="F31">
        <v>58</v>
      </c>
      <c r="G31">
        <v>58</v>
      </c>
      <c r="H31">
        <v>36.799999999999997</v>
      </c>
      <c r="I31">
        <v>6.4</v>
      </c>
      <c r="J31">
        <v>14.5</v>
      </c>
      <c r="K31">
        <v>0.441</v>
      </c>
      <c r="L31">
        <v>2.8</v>
      </c>
      <c r="M31">
        <v>7.2</v>
      </c>
      <c r="N31">
        <v>0.38500000000000001</v>
      </c>
      <c r="O31">
        <v>3.6</v>
      </c>
      <c r="P31">
        <v>7.3</v>
      </c>
      <c r="Q31">
        <v>0.495</v>
      </c>
      <c r="R31">
        <v>0.53600000000000003</v>
      </c>
      <c r="S31">
        <v>5.4</v>
      </c>
      <c r="T31">
        <v>6.2</v>
      </c>
      <c r="U31">
        <v>0.86699999999999999</v>
      </c>
      <c r="V31">
        <v>0.7</v>
      </c>
      <c r="W31">
        <v>5.4</v>
      </c>
      <c r="X31">
        <v>6.1</v>
      </c>
      <c r="Y31">
        <v>10.7</v>
      </c>
      <c r="Z31">
        <v>1.2</v>
      </c>
      <c r="AA31">
        <v>0.5</v>
      </c>
      <c r="AB31">
        <v>3.4</v>
      </c>
      <c r="AC31">
        <v>1.9</v>
      </c>
      <c r="AD31">
        <v>21</v>
      </c>
      <c r="AE31">
        <v>2135</v>
      </c>
      <c r="AF31">
        <v>21.6</v>
      </c>
      <c r="AG31">
        <v>0.60699999999999998</v>
      </c>
      <c r="AH31">
        <v>0.496</v>
      </c>
      <c r="AI31">
        <v>0.42899999999999999</v>
      </c>
      <c r="AJ31">
        <v>2.2999999999999998</v>
      </c>
      <c r="AK31">
        <v>17.100000000000001</v>
      </c>
      <c r="AL31">
        <v>9.8000000000000007</v>
      </c>
      <c r="AM31">
        <v>43.3</v>
      </c>
      <c r="AN31">
        <v>1.6</v>
      </c>
      <c r="AO31">
        <v>1.4</v>
      </c>
      <c r="AP31">
        <v>16.3</v>
      </c>
      <c r="AQ31">
        <v>25</v>
      </c>
      <c r="AR31">
        <v>5.8</v>
      </c>
      <c r="AS31">
        <v>2.6</v>
      </c>
      <c r="AT31">
        <v>8.4</v>
      </c>
      <c r="AU31">
        <v>0.188</v>
      </c>
      <c r="AV31">
        <v>5.0999999999999996</v>
      </c>
      <c r="AW31">
        <v>0.3</v>
      </c>
      <c r="AX31">
        <v>5.4</v>
      </c>
      <c r="AY31">
        <v>4</v>
      </c>
      <c r="AZ31" s="8">
        <f t="shared" si="0"/>
        <v>6.9</v>
      </c>
      <c r="BA31" s="8">
        <f t="shared" si="1"/>
        <v>0.20909090909090908</v>
      </c>
    </row>
    <row r="32" spans="1:53" x14ac:dyDescent="0.25">
      <c r="A32" t="s">
        <v>102</v>
      </c>
      <c r="B32" s="2">
        <v>31650600</v>
      </c>
      <c r="C32" t="s">
        <v>52</v>
      </c>
      <c r="D32">
        <v>25</v>
      </c>
      <c r="E32" t="s">
        <v>103</v>
      </c>
      <c r="F32">
        <v>65</v>
      </c>
      <c r="G32">
        <v>65</v>
      </c>
      <c r="H32">
        <v>32.799999999999997</v>
      </c>
      <c r="I32">
        <v>7.3</v>
      </c>
      <c r="J32">
        <v>16</v>
      </c>
      <c r="K32">
        <v>0.45400000000000001</v>
      </c>
      <c r="L32">
        <v>2.6</v>
      </c>
      <c r="M32">
        <v>6.6</v>
      </c>
      <c r="N32">
        <v>0.39800000000000002</v>
      </c>
      <c r="O32">
        <v>4.5999999999999996</v>
      </c>
      <c r="P32">
        <v>9.4</v>
      </c>
      <c r="Q32">
        <v>0.49399999999999999</v>
      </c>
      <c r="R32">
        <v>0.53700000000000003</v>
      </c>
      <c r="S32">
        <v>2.8</v>
      </c>
      <c r="T32">
        <v>3.3</v>
      </c>
      <c r="U32">
        <v>0.83299999999999996</v>
      </c>
      <c r="V32">
        <v>0.7</v>
      </c>
      <c r="W32">
        <v>3.2</v>
      </c>
      <c r="X32">
        <v>4</v>
      </c>
      <c r="Y32">
        <v>6.2</v>
      </c>
      <c r="Z32">
        <v>1</v>
      </c>
      <c r="AA32">
        <v>0.2</v>
      </c>
      <c r="AB32">
        <v>2.2000000000000002</v>
      </c>
      <c r="AC32">
        <v>1.6</v>
      </c>
      <c r="AD32">
        <v>20</v>
      </c>
      <c r="AE32">
        <v>2133</v>
      </c>
      <c r="AF32">
        <v>18</v>
      </c>
      <c r="AG32">
        <v>0.57099999999999995</v>
      </c>
      <c r="AH32">
        <v>0.41499999999999998</v>
      </c>
      <c r="AI32">
        <v>0.20699999999999999</v>
      </c>
      <c r="AJ32">
        <v>2.7</v>
      </c>
      <c r="AK32">
        <v>11</v>
      </c>
      <c r="AL32">
        <v>6.9</v>
      </c>
      <c r="AM32">
        <v>27.5</v>
      </c>
      <c r="AN32">
        <v>1.5</v>
      </c>
      <c r="AO32">
        <v>0.7</v>
      </c>
      <c r="AP32">
        <v>11.3</v>
      </c>
      <c r="AQ32">
        <v>26.1</v>
      </c>
      <c r="AR32">
        <v>3.3</v>
      </c>
      <c r="AS32">
        <v>1.9</v>
      </c>
      <c r="AT32">
        <v>5.0999999999999996</v>
      </c>
      <c r="AU32">
        <v>0.11600000000000001</v>
      </c>
      <c r="AV32">
        <v>2.6</v>
      </c>
      <c r="AW32">
        <v>-1.3</v>
      </c>
      <c r="AX32">
        <v>1.3</v>
      </c>
      <c r="AY32">
        <v>1.8</v>
      </c>
      <c r="AZ32" s="8">
        <f t="shared" si="0"/>
        <v>3.1999999999999997</v>
      </c>
      <c r="BA32" s="8">
        <f t="shared" si="1"/>
        <v>0.10110392851952252</v>
      </c>
    </row>
    <row r="33" spans="1:53" x14ac:dyDescent="0.25">
      <c r="A33" t="s">
        <v>104</v>
      </c>
      <c r="B33" s="2">
        <v>31650600</v>
      </c>
      <c r="C33" t="s">
        <v>65</v>
      </c>
      <c r="D33">
        <v>25</v>
      </c>
      <c r="E33" t="s">
        <v>100</v>
      </c>
      <c r="F33">
        <v>45</v>
      </c>
      <c r="G33">
        <v>45</v>
      </c>
      <c r="H33">
        <v>34.200000000000003</v>
      </c>
      <c r="I33">
        <v>9</v>
      </c>
      <c r="J33">
        <v>18.600000000000001</v>
      </c>
      <c r="K33">
        <v>0.48399999999999999</v>
      </c>
      <c r="L33">
        <v>1.4</v>
      </c>
      <c r="M33">
        <v>3.6</v>
      </c>
      <c r="N33">
        <v>0.39</v>
      </c>
      <c r="O33">
        <v>7.6</v>
      </c>
      <c r="P33">
        <v>14.9</v>
      </c>
      <c r="Q33">
        <v>0.50700000000000001</v>
      </c>
      <c r="R33">
        <v>0.52200000000000002</v>
      </c>
      <c r="S33">
        <v>5.3</v>
      </c>
      <c r="T33">
        <v>6</v>
      </c>
      <c r="U33">
        <v>0.88200000000000001</v>
      </c>
      <c r="V33">
        <v>0.5</v>
      </c>
      <c r="W33">
        <v>5</v>
      </c>
      <c r="X33">
        <v>5.5</v>
      </c>
      <c r="Y33">
        <v>5.8</v>
      </c>
      <c r="Z33">
        <v>0.7</v>
      </c>
      <c r="AA33">
        <v>0.4</v>
      </c>
      <c r="AB33">
        <v>3.3</v>
      </c>
      <c r="AC33">
        <v>2.6</v>
      </c>
      <c r="AD33">
        <v>24.7</v>
      </c>
      <c r="AE33">
        <v>1538</v>
      </c>
      <c r="AF33">
        <v>19.2</v>
      </c>
      <c r="AG33">
        <v>0.58199999999999996</v>
      </c>
      <c r="AH33">
        <v>0.19600000000000001</v>
      </c>
      <c r="AI33">
        <v>0.32600000000000001</v>
      </c>
      <c r="AJ33">
        <v>1.7</v>
      </c>
      <c r="AK33">
        <v>16.399999999999999</v>
      </c>
      <c r="AL33">
        <v>9.1</v>
      </c>
      <c r="AM33">
        <v>28.1</v>
      </c>
      <c r="AN33">
        <v>1</v>
      </c>
      <c r="AO33">
        <v>1.2</v>
      </c>
      <c r="AP33">
        <v>13.4</v>
      </c>
      <c r="AQ33">
        <v>30.8</v>
      </c>
      <c r="AR33">
        <v>1.8</v>
      </c>
      <c r="AS33">
        <v>1.7</v>
      </c>
      <c r="AT33">
        <v>3.5</v>
      </c>
      <c r="AU33">
        <v>0.108</v>
      </c>
      <c r="AV33">
        <v>2.2000000000000002</v>
      </c>
      <c r="AW33">
        <v>-0.4</v>
      </c>
      <c r="AX33">
        <v>1.7</v>
      </c>
      <c r="AY33">
        <v>1.4</v>
      </c>
      <c r="AZ33" s="8">
        <f t="shared" si="0"/>
        <v>2.6</v>
      </c>
      <c r="BA33" s="8">
        <f t="shared" si="1"/>
        <v>8.2146941922112054E-2</v>
      </c>
    </row>
    <row r="34" spans="1:53" x14ac:dyDescent="0.25">
      <c r="A34" t="s">
        <v>105</v>
      </c>
      <c r="B34" s="2">
        <v>31377750</v>
      </c>
      <c r="C34" t="s">
        <v>52</v>
      </c>
      <c r="D34">
        <v>26</v>
      </c>
      <c r="E34" t="s">
        <v>76</v>
      </c>
      <c r="F34">
        <v>71</v>
      </c>
      <c r="G34">
        <v>71</v>
      </c>
      <c r="H34">
        <v>32.5</v>
      </c>
      <c r="I34">
        <v>6.3</v>
      </c>
      <c r="J34">
        <v>13.4</v>
      </c>
      <c r="K34">
        <v>0.46899999999999997</v>
      </c>
      <c r="L34">
        <v>2.7</v>
      </c>
      <c r="M34">
        <v>6.9</v>
      </c>
      <c r="N34">
        <v>0.39600000000000002</v>
      </c>
      <c r="O34">
        <v>3.5</v>
      </c>
      <c r="P34">
        <v>6.5</v>
      </c>
      <c r="Q34">
        <v>0.54800000000000004</v>
      </c>
      <c r="R34">
        <v>0.57199999999999995</v>
      </c>
      <c r="S34">
        <v>2.5</v>
      </c>
      <c r="T34">
        <v>3</v>
      </c>
      <c r="U34">
        <v>0.82899999999999996</v>
      </c>
      <c r="V34">
        <v>0.5</v>
      </c>
      <c r="W34">
        <v>2.5</v>
      </c>
      <c r="X34">
        <v>3</v>
      </c>
      <c r="Y34">
        <v>6.2</v>
      </c>
      <c r="Z34">
        <v>1</v>
      </c>
      <c r="AA34">
        <v>0.4</v>
      </c>
      <c r="AB34">
        <v>2.6</v>
      </c>
      <c r="AC34">
        <v>2</v>
      </c>
      <c r="AD34">
        <v>17.8</v>
      </c>
      <c r="AE34">
        <v>2304</v>
      </c>
      <c r="AF34">
        <v>16.3</v>
      </c>
      <c r="AG34">
        <v>0.60499999999999998</v>
      </c>
      <c r="AH34">
        <v>0.51700000000000002</v>
      </c>
      <c r="AI34">
        <v>0.22800000000000001</v>
      </c>
      <c r="AJ34">
        <v>1.7</v>
      </c>
      <c r="AK34">
        <v>8.5</v>
      </c>
      <c r="AL34">
        <v>5.2</v>
      </c>
      <c r="AM34">
        <v>27.4</v>
      </c>
      <c r="AN34">
        <v>1.4</v>
      </c>
      <c r="AO34">
        <v>1.1000000000000001</v>
      </c>
      <c r="AP34">
        <v>15.1</v>
      </c>
      <c r="AQ34">
        <v>22.7</v>
      </c>
      <c r="AR34">
        <v>3.1</v>
      </c>
      <c r="AS34">
        <v>1.9</v>
      </c>
      <c r="AT34">
        <v>5.0999999999999996</v>
      </c>
      <c r="AU34">
        <v>0.106</v>
      </c>
      <c r="AV34">
        <v>2.1</v>
      </c>
      <c r="AW34">
        <v>-0.7</v>
      </c>
      <c r="AX34">
        <v>1.5</v>
      </c>
      <c r="AY34">
        <v>2</v>
      </c>
      <c r="AZ34" s="8">
        <f t="shared" si="0"/>
        <v>3.3</v>
      </c>
      <c r="BA34" s="8">
        <f t="shared" si="1"/>
        <v>0.10517006477519898</v>
      </c>
    </row>
    <row r="35" spans="1:53" x14ac:dyDescent="0.25">
      <c r="A35" t="s">
        <v>106</v>
      </c>
      <c r="B35" s="2">
        <v>30913750</v>
      </c>
      <c r="C35" t="s">
        <v>62</v>
      </c>
      <c r="D35">
        <v>26</v>
      </c>
      <c r="E35" t="s">
        <v>107</v>
      </c>
      <c r="F35">
        <v>68</v>
      </c>
      <c r="G35">
        <v>68</v>
      </c>
      <c r="H35">
        <v>35.799999999999997</v>
      </c>
      <c r="I35">
        <v>10</v>
      </c>
      <c r="J35">
        <v>20.6</v>
      </c>
      <c r="K35">
        <v>0.48399999999999999</v>
      </c>
      <c r="L35">
        <v>3.6</v>
      </c>
      <c r="M35">
        <v>9.3000000000000007</v>
      </c>
      <c r="N35">
        <v>0.38600000000000001</v>
      </c>
      <c r="O35">
        <v>6.4</v>
      </c>
      <c r="P35">
        <v>11.3</v>
      </c>
      <c r="Q35">
        <v>0.56599999999999995</v>
      </c>
      <c r="R35">
        <v>0.57199999999999995</v>
      </c>
      <c r="S35">
        <v>4.7</v>
      </c>
      <c r="T35">
        <v>5.4</v>
      </c>
      <c r="U35">
        <v>0.86699999999999999</v>
      </c>
      <c r="V35">
        <v>0.9</v>
      </c>
      <c r="W35">
        <v>3.3</v>
      </c>
      <c r="X35">
        <v>4.3</v>
      </c>
      <c r="Y35">
        <v>4.4000000000000004</v>
      </c>
      <c r="Z35">
        <v>1.5</v>
      </c>
      <c r="AA35">
        <v>0.4</v>
      </c>
      <c r="AB35">
        <v>2.6</v>
      </c>
      <c r="AC35">
        <v>2.5</v>
      </c>
      <c r="AD35">
        <v>28.3</v>
      </c>
      <c r="AE35">
        <v>2432</v>
      </c>
      <c r="AF35">
        <v>22.9</v>
      </c>
      <c r="AG35">
        <v>0.61399999999999999</v>
      </c>
      <c r="AH35">
        <v>0.45300000000000001</v>
      </c>
      <c r="AI35">
        <v>0.26200000000000001</v>
      </c>
      <c r="AJ35">
        <v>3.1</v>
      </c>
      <c r="AK35">
        <v>10.9</v>
      </c>
      <c r="AL35">
        <v>7</v>
      </c>
      <c r="AM35">
        <v>21.4</v>
      </c>
      <c r="AN35">
        <v>2</v>
      </c>
      <c r="AO35">
        <v>1</v>
      </c>
      <c r="AP35">
        <v>10.3</v>
      </c>
      <c r="AQ35">
        <v>32.1</v>
      </c>
      <c r="AR35">
        <v>5.4</v>
      </c>
      <c r="AS35">
        <v>3.5</v>
      </c>
      <c r="AT35">
        <v>8.9</v>
      </c>
      <c r="AU35">
        <v>0.17599999999999999</v>
      </c>
      <c r="AV35">
        <v>5.6</v>
      </c>
      <c r="AW35">
        <v>0.6</v>
      </c>
      <c r="AX35">
        <v>6.3</v>
      </c>
      <c r="AY35">
        <v>5</v>
      </c>
      <c r="AZ35" s="8">
        <f t="shared" si="0"/>
        <v>7.6</v>
      </c>
      <c r="BA35" s="8">
        <f t="shared" si="1"/>
        <v>0.24584529537827018</v>
      </c>
    </row>
    <row r="36" spans="1:53" x14ac:dyDescent="0.25">
      <c r="A36" t="s">
        <v>108</v>
      </c>
      <c r="B36" s="2">
        <v>30913750</v>
      </c>
      <c r="C36" t="s">
        <v>52</v>
      </c>
      <c r="D36">
        <v>24</v>
      </c>
      <c r="E36" t="s">
        <v>109</v>
      </c>
      <c r="F36">
        <v>68</v>
      </c>
      <c r="G36">
        <v>68</v>
      </c>
      <c r="H36">
        <v>35.5</v>
      </c>
      <c r="I36">
        <v>10.4</v>
      </c>
      <c r="J36">
        <v>20.3</v>
      </c>
      <c r="K36">
        <v>0.51</v>
      </c>
      <c r="L36">
        <v>0.9</v>
      </c>
      <c r="M36">
        <v>2.5</v>
      </c>
      <c r="N36">
        <v>0.34499999999999997</v>
      </c>
      <c r="O36">
        <v>9.5</v>
      </c>
      <c r="P36">
        <v>17.8</v>
      </c>
      <c r="Q36">
        <v>0.53300000000000003</v>
      </c>
      <c r="R36">
        <v>0.53100000000000003</v>
      </c>
      <c r="S36">
        <v>9.8000000000000007</v>
      </c>
      <c r="T36">
        <v>10.9</v>
      </c>
      <c r="U36">
        <v>0.90500000000000003</v>
      </c>
      <c r="V36">
        <v>0.9</v>
      </c>
      <c r="W36">
        <v>4</v>
      </c>
      <c r="X36">
        <v>4.8</v>
      </c>
      <c r="Y36">
        <v>5.5</v>
      </c>
      <c r="Z36">
        <v>1.6</v>
      </c>
      <c r="AA36">
        <v>1</v>
      </c>
      <c r="AB36">
        <v>2.8</v>
      </c>
      <c r="AC36">
        <v>2.8</v>
      </c>
      <c r="AD36">
        <v>31.4</v>
      </c>
      <c r="AE36">
        <v>2416</v>
      </c>
      <c r="AF36">
        <v>27.2</v>
      </c>
      <c r="AG36">
        <v>0.626</v>
      </c>
      <c r="AH36">
        <v>0.122</v>
      </c>
      <c r="AI36">
        <v>0.53500000000000003</v>
      </c>
      <c r="AJ36">
        <v>2.6</v>
      </c>
      <c r="AK36">
        <v>12.2</v>
      </c>
      <c r="AL36">
        <v>7.3</v>
      </c>
      <c r="AM36">
        <v>25.7</v>
      </c>
      <c r="AN36">
        <v>2.2000000000000002</v>
      </c>
      <c r="AO36">
        <v>2.5</v>
      </c>
      <c r="AP36">
        <v>10.1</v>
      </c>
      <c r="AQ36">
        <v>32.799999999999997</v>
      </c>
      <c r="AR36">
        <v>8.4</v>
      </c>
      <c r="AS36">
        <v>3</v>
      </c>
      <c r="AT36">
        <v>11.4</v>
      </c>
      <c r="AU36">
        <v>0.22600000000000001</v>
      </c>
      <c r="AV36">
        <v>5.7</v>
      </c>
      <c r="AW36">
        <v>1.5</v>
      </c>
      <c r="AX36">
        <v>7.3</v>
      </c>
      <c r="AY36">
        <v>5.6</v>
      </c>
      <c r="AZ36" s="8">
        <f t="shared" si="0"/>
        <v>9.35</v>
      </c>
      <c r="BA36" s="8">
        <f t="shared" si="1"/>
        <v>0.30245440944563501</v>
      </c>
    </row>
    <row r="37" spans="1:53" x14ac:dyDescent="0.25">
      <c r="A37" t="s">
        <v>110</v>
      </c>
      <c r="B37" s="2">
        <v>30913750</v>
      </c>
      <c r="C37" t="s">
        <v>75</v>
      </c>
      <c r="D37">
        <v>24</v>
      </c>
      <c r="E37" t="s">
        <v>60</v>
      </c>
      <c r="F37">
        <v>67</v>
      </c>
      <c r="G37">
        <v>67</v>
      </c>
      <c r="H37">
        <v>30.4</v>
      </c>
      <c r="I37">
        <v>7.8</v>
      </c>
      <c r="J37">
        <v>13.2</v>
      </c>
      <c r="K37">
        <v>0.58899999999999997</v>
      </c>
      <c r="L37">
        <v>0.1</v>
      </c>
      <c r="M37">
        <v>0.4</v>
      </c>
      <c r="N37">
        <v>0.29199999999999998</v>
      </c>
      <c r="O37">
        <v>7.7</v>
      </c>
      <c r="P37">
        <v>12.9</v>
      </c>
      <c r="Q37">
        <v>0.59699999999999998</v>
      </c>
      <c r="R37">
        <v>0.59199999999999997</v>
      </c>
      <c r="S37">
        <v>2.2999999999999998</v>
      </c>
      <c r="T37">
        <v>3</v>
      </c>
      <c r="U37">
        <v>0.76</v>
      </c>
      <c r="V37">
        <v>2.6</v>
      </c>
      <c r="W37">
        <v>7.4</v>
      </c>
      <c r="X37">
        <v>10</v>
      </c>
      <c r="Y37">
        <v>1.7</v>
      </c>
      <c r="Z37">
        <v>0.6</v>
      </c>
      <c r="AA37">
        <v>0.8</v>
      </c>
      <c r="AB37">
        <v>1.8</v>
      </c>
      <c r="AC37">
        <v>2.8</v>
      </c>
      <c r="AD37">
        <v>18</v>
      </c>
      <c r="AE37">
        <v>2035</v>
      </c>
      <c r="AF37">
        <v>19.899999999999999</v>
      </c>
      <c r="AG37">
        <v>0.61699999999999999</v>
      </c>
      <c r="AH37">
        <v>2.7E-2</v>
      </c>
      <c r="AI37">
        <v>0.22500000000000001</v>
      </c>
      <c r="AJ37">
        <v>9.1999999999999993</v>
      </c>
      <c r="AK37">
        <v>27.5</v>
      </c>
      <c r="AL37">
        <v>18.100000000000001</v>
      </c>
      <c r="AM37">
        <v>9.1999999999999993</v>
      </c>
      <c r="AN37">
        <v>0.9</v>
      </c>
      <c r="AO37">
        <v>2.2999999999999998</v>
      </c>
      <c r="AP37">
        <v>11</v>
      </c>
      <c r="AQ37">
        <v>22.9</v>
      </c>
      <c r="AR37">
        <v>3.3</v>
      </c>
      <c r="AS37">
        <v>3</v>
      </c>
      <c r="AT37">
        <v>6.2</v>
      </c>
      <c r="AU37">
        <v>0.14699999999999999</v>
      </c>
      <c r="AV37">
        <v>0.9</v>
      </c>
      <c r="AW37">
        <v>0</v>
      </c>
      <c r="AX37">
        <v>0.9</v>
      </c>
      <c r="AY37">
        <v>1.5</v>
      </c>
      <c r="AZ37" s="8">
        <f t="shared" si="0"/>
        <v>3.5500000000000003</v>
      </c>
      <c r="BA37" s="8">
        <f t="shared" si="1"/>
        <v>0.11483563139379728</v>
      </c>
    </row>
    <row r="38" spans="1:53" x14ac:dyDescent="0.25">
      <c r="A38" t="s">
        <v>111</v>
      </c>
      <c r="B38" s="2">
        <v>30556968</v>
      </c>
      <c r="C38" t="s">
        <v>28</v>
      </c>
      <c r="D38">
        <v>34</v>
      </c>
      <c r="E38" t="s">
        <v>80</v>
      </c>
      <c r="F38">
        <v>62</v>
      </c>
      <c r="G38">
        <v>20</v>
      </c>
      <c r="H38">
        <v>20</v>
      </c>
      <c r="I38">
        <v>2.7</v>
      </c>
      <c r="J38">
        <v>6.8</v>
      </c>
      <c r="K38">
        <v>0.38900000000000001</v>
      </c>
      <c r="L38">
        <v>1.6</v>
      </c>
      <c r="M38">
        <v>4.8</v>
      </c>
      <c r="N38">
        <v>0.33400000000000002</v>
      </c>
      <c r="O38">
        <v>1.1000000000000001</v>
      </c>
      <c r="P38">
        <v>2.1</v>
      </c>
      <c r="Q38">
        <v>0.51600000000000001</v>
      </c>
      <c r="R38">
        <v>0.50600000000000001</v>
      </c>
      <c r="S38">
        <v>1.3</v>
      </c>
      <c r="T38">
        <v>1.5</v>
      </c>
      <c r="U38">
        <v>0.879</v>
      </c>
      <c r="V38">
        <v>1</v>
      </c>
      <c r="W38">
        <v>5.5</v>
      </c>
      <c r="X38">
        <v>6.4</v>
      </c>
      <c r="Y38">
        <v>1.9</v>
      </c>
      <c r="Z38">
        <v>0.3</v>
      </c>
      <c r="AA38">
        <v>0.2</v>
      </c>
      <c r="AB38">
        <v>1.1000000000000001</v>
      </c>
      <c r="AC38">
        <v>1.6</v>
      </c>
      <c r="AD38">
        <v>8.1999999999999993</v>
      </c>
      <c r="AE38">
        <v>1240</v>
      </c>
      <c r="AF38">
        <v>13.1</v>
      </c>
      <c r="AG38">
        <v>0.54800000000000004</v>
      </c>
      <c r="AH38">
        <v>0.69799999999999995</v>
      </c>
      <c r="AI38">
        <v>0.215</v>
      </c>
      <c r="AJ38">
        <v>5.5</v>
      </c>
      <c r="AK38">
        <v>32.6</v>
      </c>
      <c r="AL38">
        <v>18.899999999999999</v>
      </c>
      <c r="AM38">
        <v>13.2</v>
      </c>
      <c r="AN38">
        <v>0.6</v>
      </c>
      <c r="AO38">
        <v>0.9</v>
      </c>
      <c r="AP38">
        <v>13.1</v>
      </c>
      <c r="AQ38">
        <v>19.2</v>
      </c>
      <c r="AR38">
        <v>0.6</v>
      </c>
      <c r="AS38">
        <v>2</v>
      </c>
      <c r="AT38">
        <v>2.6</v>
      </c>
      <c r="AU38">
        <v>9.9000000000000005E-2</v>
      </c>
      <c r="AV38">
        <v>0.2</v>
      </c>
      <c r="AW38">
        <v>0.4</v>
      </c>
      <c r="AX38">
        <v>0.6</v>
      </c>
      <c r="AY38">
        <v>0.8</v>
      </c>
      <c r="AZ38" s="8">
        <f t="shared" si="0"/>
        <v>1.6</v>
      </c>
      <c r="BA38" s="8">
        <f t="shared" si="1"/>
        <v>5.236121594262886E-2</v>
      </c>
    </row>
    <row r="39" spans="1:53" x14ac:dyDescent="0.25">
      <c r="A39" t="s">
        <v>112</v>
      </c>
      <c r="B39" s="2">
        <v>30351780</v>
      </c>
      <c r="C39" t="s">
        <v>65</v>
      </c>
      <c r="D39">
        <v>24</v>
      </c>
      <c r="E39" t="s">
        <v>113</v>
      </c>
      <c r="F39">
        <v>74</v>
      </c>
      <c r="G39">
        <v>74</v>
      </c>
      <c r="H39">
        <v>36.9</v>
      </c>
      <c r="I39">
        <v>9.8000000000000007</v>
      </c>
      <c r="J39">
        <v>21.1</v>
      </c>
      <c r="K39">
        <v>0.46600000000000003</v>
      </c>
      <c r="L39">
        <v>3.2</v>
      </c>
      <c r="M39">
        <v>9.3000000000000007</v>
      </c>
      <c r="N39">
        <v>0.35</v>
      </c>
      <c r="O39">
        <v>6.6</v>
      </c>
      <c r="P39">
        <v>11.8</v>
      </c>
      <c r="Q39">
        <v>0.55800000000000005</v>
      </c>
      <c r="R39">
        <v>0.54300000000000004</v>
      </c>
      <c r="S39">
        <v>7.2</v>
      </c>
      <c r="T39">
        <v>8.4</v>
      </c>
      <c r="U39">
        <v>0.85399999999999998</v>
      </c>
      <c r="V39">
        <v>1.1000000000000001</v>
      </c>
      <c r="W39">
        <v>7.7</v>
      </c>
      <c r="X39">
        <v>8.8000000000000007</v>
      </c>
      <c r="Y39">
        <v>4.5999999999999996</v>
      </c>
      <c r="Z39">
        <v>1.1000000000000001</v>
      </c>
      <c r="AA39">
        <v>0.7</v>
      </c>
      <c r="AB39">
        <v>2.9</v>
      </c>
      <c r="AC39">
        <v>2.2000000000000002</v>
      </c>
      <c r="AD39">
        <v>30.1</v>
      </c>
      <c r="AE39">
        <v>2732</v>
      </c>
      <c r="AF39">
        <v>23.7</v>
      </c>
      <c r="AG39">
        <v>0.60699999999999998</v>
      </c>
      <c r="AH39">
        <v>0.44</v>
      </c>
      <c r="AI39">
        <v>0.39900000000000002</v>
      </c>
      <c r="AJ39">
        <v>3.2</v>
      </c>
      <c r="AK39">
        <v>22.5</v>
      </c>
      <c r="AL39">
        <v>13</v>
      </c>
      <c r="AM39">
        <v>20.9</v>
      </c>
      <c r="AN39">
        <v>1.4</v>
      </c>
      <c r="AO39">
        <v>1.6</v>
      </c>
      <c r="AP39">
        <v>10.4</v>
      </c>
      <c r="AQ39">
        <v>32.700000000000003</v>
      </c>
      <c r="AR39">
        <v>6.2</v>
      </c>
      <c r="AS39">
        <v>4.3</v>
      </c>
      <c r="AT39">
        <v>10.5</v>
      </c>
      <c r="AU39">
        <v>0.185</v>
      </c>
      <c r="AV39">
        <v>4.8</v>
      </c>
      <c r="AW39">
        <v>0.7</v>
      </c>
      <c r="AX39">
        <v>5.5</v>
      </c>
      <c r="AY39">
        <v>5.0999999999999996</v>
      </c>
      <c r="AZ39" s="8">
        <f t="shared" si="0"/>
        <v>8</v>
      </c>
      <c r="BA39" s="8">
        <f t="shared" si="1"/>
        <v>0.26357597478632228</v>
      </c>
    </row>
    <row r="40" spans="1:53" x14ac:dyDescent="0.25">
      <c r="A40" t="s">
        <v>114</v>
      </c>
      <c r="B40" s="2">
        <v>30351780</v>
      </c>
      <c r="C40" t="s">
        <v>75</v>
      </c>
      <c r="D40">
        <v>25</v>
      </c>
      <c r="E40" t="s">
        <v>80</v>
      </c>
      <c r="F40">
        <v>75</v>
      </c>
      <c r="G40">
        <v>75</v>
      </c>
      <c r="H40">
        <v>34.6</v>
      </c>
      <c r="I40">
        <v>8</v>
      </c>
      <c r="J40">
        <v>14.9</v>
      </c>
      <c r="K40">
        <v>0.54</v>
      </c>
      <c r="L40">
        <v>0</v>
      </c>
      <c r="M40">
        <v>0.2</v>
      </c>
      <c r="N40">
        <v>8.3000000000000004E-2</v>
      </c>
      <c r="O40">
        <v>8</v>
      </c>
      <c r="P40">
        <v>14.7</v>
      </c>
      <c r="Q40">
        <v>0.54500000000000004</v>
      </c>
      <c r="R40">
        <v>0.54100000000000004</v>
      </c>
      <c r="S40">
        <v>4.3</v>
      </c>
      <c r="T40">
        <v>5.4</v>
      </c>
      <c r="U40">
        <v>0.80600000000000005</v>
      </c>
      <c r="V40">
        <v>2.5</v>
      </c>
      <c r="W40">
        <v>6.7</v>
      </c>
      <c r="X40">
        <v>9.1999999999999993</v>
      </c>
      <c r="Y40">
        <v>3.2</v>
      </c>
      <c r="Z40">
        <v>1.2</v>
      </c>
      <c r="AA40">
        <v>0.8</v>
      </c>
      <c r="AB40">
        <v>2.5</v>
      </c>
      <c r="AC40">
        <v>2.8</v>
      </c>
      <c r="AD40">
        <v>20.399999999999999</v>
      </c>
      <c r="AE40">
        <v>2598</v>
      </c>
      <c r="AF40">
        <v>20.100000000000001</v>
      </c>
      <c r="AG40">
        <v>0.59199999999999997</v>
      </c>
      <c r="AH40">
        <v>1.0999999999999999E-2</v>
      </c>
      <c r="AI40">
        <v>0.36099999999999999</v>
      </c>
      <c r="AJ40">
        <v>8</v>
      </c>
      <c r="AK40">
        <v>23.6</v>
      </c>
      <c r="AL40">
        <v>15.5</v>
      </c>
      <c r="AM40">
        <v>15.9</v>
      </c>
      <c r="AN40">
        <v>1.7</v>
      </c>
      <c r="AO40">
        <v>2.4</v>
      </c>
      <c r="AP40">
        <v>12.7</v>
      </c>
      <c r="AQ40">
        <v>25.2</v>
      </c>
      <c r="AR40">
        <v>3.6</v>
      </c>
      <c r="AS40">
        <v>3.8</v>
      </c>
      <c r="AT40">
        <v>7.4</v>
      </c>
      <c r="AU40">
        <v>0.13700000000000001</v>
      </c>
      <c r="AV40">
        <v>0.8</v>
      </c>
      <c r="AW40">
        <v>0.8</v>
      </c>
      <c r="AX40">
        <v>1.5</v>
      </c>
      <c r="AY40">
        <v>2.2999999999999998</v>
      </c>
      <c r="AZ40" s="8">
        <f t="shared" si="0"/>
        <v>4.45</v>
      </c>
      <c r="BA40" s="8">
        <f t="shared" si="1"/>
        <v>0.14661413597489176</v>
      </c>
    </row>
    <row r="41" spans="1:53" x14ac:dyDescent="0.25">
      <c r="A41" t="s">
        <v>115</v>
      </c>
      <c r="B41" s="2">
        <v>30351780</v>
      </c>
      <c r="C41" t="s">
        <v>52</v>
      </c>
      <c r="D41">
        <v>25</v>
      </c>
      <c r="E41" t="s">
        <v>116</v>
      </c>
      <c r="F41">
        <v>73</v>
      </c>
      <c r="G41">
        <v>73</v>
      </c>
      <c r="H41">
        <v>33.4</v>
      </c>
      <c r="I41">
        <v>9.3000000000000007</v>
      </c>
      <c r="J41">
        <v>18.2</v>
      </c>
      <c r="K41">
        <v>0.51200000000000001</v>
      </c>
      <c r="L41">
        <v>1.6</v>
      </c>
      <c r="M41">
        <v>5</v>
      </c>
      <c r="N41">
        <v>0.32400000000000001</v>
      </c>
      <c r="O41">
        <v>7.7</v>
      </c>
      <c r="P41">
        <v>13.2</v>
      </c>
      <c r="Q41">
        <v>0.58399999999999996</v>
      </c>
      <c r="R41">
        <v>0.55700000000000005</v>
      </c>
      <c r="S41">
        <v>4.7</v>
      </c>
      <c r="T41">
        <v>6</v>
      </c>
      <c r="U41">
        <v>0.78</v>
      </c>
      <c r="V41">
        <v>0.5</v>
      </c>
      <c r="W41">
        <v>3.6</v>
      </c>
      <c r="X41">
        <v>4.2</v>
      </c>
      <c r="Y41">
        <v>6.1</v>
      </c>
      <c r="Z41">
        <v>1.1000000000000001</v>
      </c>
      <c r="AA41">
        <v>0.3</v>
      </c>
      <c r="AB41">
        <v>2.5</v>
      </c>
      <c r="AC41">
        <v>2.4</v>
      </c>
      <c r="AD41">
        <v>25</v>
      </c>
      <c r="AE41">
        <v>2435</v>
      </c>
      <c r="AF41">
        <v>21.8</v>
      </c>
      <c r="AG41">
        <v>0.59899999999999998</v>
      </c>
      <c r="AH41">
        <v>0.27600000000000002</v>
      </c>
      <c r="AI41">
        <v>0.33100000000000002</v>
      </c>
      <c r="AJ41">
        <v>1.9</v>
      </c>
      <c r="AK41">
        <v>12.4</v>
      </c>
      <c r="AL41">
        <v>7.2</v>
      </c>
      <c r="AM41">
        <v>29.6</v>
      </c>
      <c r="AN41">
        <v>1.6</v>
      </c>
      <c r="AO41">
        <v>0.8</v>
      </c>
      <c r="AP41">
        <v>10.6</v>
      </c>
      <c r="AQ41">
        <v>30.1</v>
      </c>
      <c r="AR41">
        <v>5.5</v>
      </c>
      <c r="AS41">
        <v>1.8</v>
      </c>
      <c r="AT41">
        <v>7.4</v>
      </c>
      <c r="AU41">
        <v>0.14599999999999999</v>
      </c>
      <c r="AV41">
        <v>3.4</v>
      </c>
      <c r="AW41">
        <v>-0.9</v>
      </c>
      <c r="AX41">
        <v>2.5</v>
      </c>
      <c r="AY41">
        <v>2.7</v>
      </c>
      <c r="AZ41" s="8">
        <f t="shared" si="0"/>
        <v>4.95</v>
      </c>
      <c r="BA41" s="8">
        <f t="shared" si="1"/>
        <v>0.1630876343990369</v>
      </c>
    </row>
    <row r="42" spans="1:53" x14ac:dyDescent="0.25">
      <c r="A42" t="s">
        <v>117</v>
      </c>
      <c r="B42" s="2">
        <v>30075000</v>
      </c>
      <c r="C42" t="s">
        <v>65</v>
      </c>
      <c r="D42">
        <v>32</v>
      </c>
      <c r="E42" t="s">
        <v>118</v>
      </c>
      <c r="F42">
        <v>50</v>
      </c>
      <c r="G42">
        <v>50</v>
      </c>
      <c r="H42">
        <v>31.5</v>
      </c>
      <c r="I42">
        <v>5.5</v>
      </c>
      <c r="J42">
        <v>11.6</v>
      </c>
      <c r="K42">
        <v>0.47499999999999998</v>
      </c>
      <c r="L42">
        <v>1</v>
      </c>
      <c r="M42">
        <v>3.2</v>
      </c>
      <c r="N42">
        <v>0.32500000000000001</v>
      </c>
      <c r="O42">
        <v>4.5</v>
      </c>
      <c r="P42">
        <v>8.4</v>
      </c>
      <c r="Q42">
        <v>0.53200000000000003</v>
      </c>
      <c r="R42">
        <v>0.52</v>
      </c>
      <c r="S42">
        <v>2.6</v>
      </c>
      <c r="T42">
        <v>3.2</v>
      </c>
      <c r="U42">
        <v>0.81100000000000005</v>
      </c>
      <c r="V42">
        <v>0.7</v>
      </c>
      <c r="W42">
        <v>3.6</v>
      </c>
      <c r="X42">
        <v>4.3</v>
      </c>
      <c r="Y42">
        <v>4.0999999999999996</v>
      </c>
      <c r="Z42">
        <v>0.8</v>
      </c>
      <c r="AA42">
        <v>0.2</v>
      </c>
      <c r="AB42">
        <v>2</v>
      </c>
      <c r="AC42">
        <v>1.4</v>
      </c>
      <c r="AD42">
        <v>14.7</v>
      </c>
      <c r="AE42">
        <v>1577</v>
      </c>
      <c r="AF42">
        <v>13.5</v>
      </c>
      <c r="AG42">
        <v>0.56299999999999994</v>
      </c>
      <c r="AH42">
        <v>0.27500000000000002</v>
      </c>
      <c r="AI42">
        <v>0.27400000000000002</v>
      </c>
      <c r="AJ42">
        <v>2.2000000000000002</v>
      </c>
      <c r="AK42">
        <v>12.6</v>
      </c>
      <c r="AL42">
        <v>7.3</v>
      </c>
      <c r="AM42">
        <v>19.3</v>
      </c>
      <c r="AN42">
        <v>1.3</v>
      </c>
      <c r="AO42">
        <v>0.7</v>
      </c>
      <c r="AP42">
        <v>13.2</v>
      </c>
      <c r="AQ42">
        <v>20</v>
      </c>
      <c r="AR42">
        <v>0.8</v>
      </c>
      <c r="AS42">
        <v>1.1000000000000001</v>
      </c>
      <c r="AT42">
        <v>2</v>
      </c>
      <c r="AU42">
        <v>5.8999999999999997E-2</v>
      </c>
      <c r="AV42">
        <v>-1.1000000000000001</v>
      </c>
      <c r="AW42">
        <v>-0.3</v>
      </c>
      <c r="AX42">
        <v>-1.4</v>
      </c>
      <c r="AY42">
        <v>0.2</v>
      </c>
      <c r="AZ42" s="8">
        <f t="shared" si="0"/>
        <v>0.30000000000000004</v>
      </c>
      <c r="BA42" s="8">
        <f t="shared" si="1"/>
        <v>9.9750623441396524E-3</v>
      </c>
    </row>
    <row r="43" spans="1:53" x14ac:dyDescent="0.25">
      <c r="A43" t="s">
        <v>119</v>
      </c>
      <c r="B43" s="2">
        <v>29776785</v>
      </c>
      <c r="C43" t="s">
        <v>65</v>
      </c>
      <c r="D43">
        <v>26</v>
      </c>
      <c r="E43" t="s">
        <v>113</v>
      </c>
      <c r="F43">
        <v>67</v>
      </c>
      <c r="G43">
        <v>67</v>
      </c>
      <c r="H43">
        <v>35.9</v>
      </c>
      <c r="I43">
        <v>10.1</v>
      </c>
      <c r="J43">
        <v>20.6</v>
      </c>
      <c r="K43">
        <v>0.49099999999999999</v>
      </c>
      <c r="L43">
        <v>2.4</v>
      </c>
      <c r="M43">
        <v>7.3</v>
      </c>
      <c r="N43">
        <v>0.33500000000000002</v>
      </c>
      <c r="O43">
        <v>7.7</v>
      </c>
      <c r="P43">
        <v>13.4</v>
      </c>
      <c r="Q43">
        <v>0.57599999999999996</v>
      </c>
      <c r="R43">
        <v>0.55000000000000004</v>
      </c>
      <c r="S43">
        <v>3.9</v>
      </c>
      <c r="T43">
        <v>5.0999999999999996</v>
      </c>
      <c r="U43">
        <v>0.76500000000000001</v>
      </c>
      <c r="V43">
        <v>1.2</v>
      </c>
      <c r="W43">
        <v>5.7</v>
      </c>
      <c r="X43">
        <v>6.9</v>
      </c>
      <c r="Y43">
        <v>3.5</v>
      </c>
      <c r="Z43">
        <v>1.1000000000000001</v>
      </c>
      <c r="AA43">
        <v>0.4</v>
      </c>
      <c r="AB43">
        <v>2.9</v>
      </c>
      <c r="AC43">
        <v>2.6</v>
      </c>
      <c r="AD43">
        <v>26.6</v>
      </c>
      <c r="AE43">
        <v>2405</v>
      </c>
      <c r="AF43">
        <v>19.100000000000001</v>
      </c>
      <c r="AG43">
        <v>0.58099999999999996</v>
      </c>
      <c r="AH43">
        <v>0.35199999999999998</v>
      </c>
      <c r="AI43">
        <v>0.249</v>
      </c>
      <c r="AJ43">
        <v>3.6</v>
      </c>
      <c r="AK43">
        <v>17</v>
      </c>
      <c r="AL43">
        <v>10.4</v>
      </c>
      <c r="AM43">
        <v>16.5</v>
      </c>
      <c r="AN43">
        <v>1.5</v>
      </c>
      <c r="AO43">
        <v>0.9</v>
      </c>
      <c r="AP43">
        <v>11.4</v>
      </c>
      <c r="AQ43">
        <v>31.4</v>
      </c>
      <c r="AR43">
        <v>1.6</v>
      </c>
      <c r="AS43">
        <v>3.4</v>
      </c>
      <c r="AT43">
        <v>5</v>
      </c>
      <c r="AU43">
        <v>0.1</v>
      </c>
      <c r="AV43">
        <v>1.5</v>
      </c>
      <c r="AW43">
        <v>-0.2</v>
      </c>
      <c r="AX43">
        <v>1.3</v>
      </c>
      <c r="AY43">
        <v>2</v>
      </c>
      <c r="AZ43" s="8">
        <f t="shared" si="0"/>
        <v>3.15</v>
      </c>
      <c r="BA43" s="8">
        <f t="shared" si="1"/>
        <v>0.10578710898439841</v>
      </c>
    </row>
    <row r="44" spans="1:53" x14ac:dyDescent="0.25">
      <c r="A44" t="s">
        <v>120</v>
      </c>
      <c r="B44" s="2">
        <v>28400000</v>
      </c>
      <c r="C44" t="s">
        <v>52</v>
      </c>
      <c r="D44">
        <v>37</v>
      </c>
      <c r="E44" t="s">
        <v>60</v>
      </c>
      <c r="F44">
        <v>59</v>
      </c>
      <c r="G44">
        <v>59</v>
      </c>
      <c r="H44">
        <v>32</v>
      </c>
      <c r="I44">
        <v>5</v>
      </c>
      <c r="J44">
        <v>11.3</v>
      </c>
      <c r="K44">
        <v>0.44</v>
      </c>
      <c r="L44">
        <v>1.7</v>
      </c>
      <c r="M44">
        <v>4.4000000000000004</v>
      </c>
      <c r="N44">
        <v>0.375</v>
      </c>
      <c r="O44">
        <v>3.3</v>
      </c>
      <c r="P44">
        <v>6.9</v>
      </c>
      <c r="Q44">
        <v>0.48199999999999998</v>
      </c>
      <c r="R44">
        <v>0.51300000000000001</v>
      </c>
      <c r="S44">
        <v>2.2999999999999998</v>
      </c>
      <c r="T44">
        <v>2.7</v>
      </c>
      <c r="U44">
        <v>0.83099999999999996</v>
      </c>
      <c r="V44">
        <v>0.5</v>
      </c>
      <c r="W44">
        <v>3.8</v>
      </c>
      <c r="X44">
        <v>4.3</v>
      </c>
      <c r="Y44">
        <v>8.9</v>
      </c>
      <c r="Z44">
        <v>1.5</v>
      </c>
      <c r="AA44">
        <v>0.4</v>
      </c>
      <c r="AB44">
        <v>1.9</v>
      </c>
      <c r="AC44">
        <v>2.1</v>
      </c>
      <c r="AD44">
        <v>13.9</v>
      </c>
      <c r="AE44">
        <v>1889</v>
      </c>
      <c r="AF44">
        <v>17.7</v>
      </c>
      <c r="AG44">
        <v>0.55500000000000005</v>
      </c>
      <c r="AH44">
        <v>0.39100000000000001</v>
      </c>
      <c r="AI44">
        <v>0.24</v>
      </c>
      <c r="AJ44">
        <v>1.6</v>
      </c>
      <c r="AK44">
        <v>13.4</v>
      </c>
      <c r="AL44">
        <v>7.4</v>
      </c>
      <c r="AM44">
        <v>38.700000000000003</v>
      </c>
      <c r="AN44">
        <v>2.4</v>
      </c>
      <c r="AO44">
        <v>1</v>
      </c>
      <c r="AP44">
        <v>13.4</v>
      </c>
      <c r="AQ44">
        <v>19.2</v>
      </c>
      <c r="AR44">
        <v>3.7</v>
      </c>
      <c r="AS44">
        <v>2.5</v>
      </c>
      <c r="AT44">
        <v>6.2</v>
      </c>
      <c r="AU44">
        <v>0.156</v>
      </c>
      <c r="AV44">
        <v>2</v>
      </c>
      <c r="AW44">
        <v>1.2</v>
      </c>
      <c r="AX44">
        <v>3.2</v>
      </c>
      <c r="AY44">
        <v>2.5</v>
      </c>
      <c r="AZ44" s="8">
        <f t="shared" si="0"/>
        <v>4.7</v>
      </c>
      <c r="BA44" s="8">
        <f t="shared" si="1"/>
        <v>0.16549295774647887</v>
      </c>
    </row>
    <row r="45" spans="1:53" x14ac:dyDescent="0.25">
      <c r="A45" t="s">
        <v>121</v>
      </c>
      <c r="B45" s="2">
        <v>28333334</v>
      </c>
      <c r="C45" t="s">
        <v>52</v>
      </c>
      <c r="D45">
        <v>36</v>
      </c>
      <c r="E45" t="s">
        <v>80</v>
      </c>
      <c r="F45">
        <v>55</v>
      </c>
      <c r="G45">
        <v>44</v>
      </c>
      <c r="H45">
        <v>31.2</v>
      </c>
      <c r="I45">
        <v>3.6</v>
      </c>
      <c r="J45">
        <v>8.8000000000000007</v>
      </c>
      <c r="K45">
        <v>0.40400000000000003</v>
      </c>
      <c r="L45">
        <v>1.9</v>
      </c>
      <c r="M45">
        <v>5.6</v>
      </c>
      <c r="N45">
        <v>0.34499999999999997</v>
      </c>
      <c r="O45">
        <v>1.6</v>
      </c>
      <c r="P45">
        <v>3.2</v>
      </c>
      <c r="Q45">
        <v>0.50900000000000001</v>
      </c>
      <c r="R45">
        <v>0.51400000000000001</v>
      </c>
      <c r="S45">
        <v>2.1</v>
      </c>
      <c r="T45">
        <v>2.5</v>
      </c>
      <c r="U45">
        <v>0.85899999999999999</v>
      </c>
      <c r="V45">
        <v>0.8</v>
      </c>
      <c r="W45">
        <v>3.3</v>
      </c>
      <c r="X45">
        <v>4.0999999999999996</v>
      </c>
      <c r="Y45">
        <v>5.0999999999999996</v>
      </c>
      <c r="Z45">
        <v>1</v>
      </c>
      <c r="AA45">
        <v>0.4</v>
      </c>
      <c r="AB45">
        <v>1.9</v>
      </c>
      <c r="AC45">
        <v>2.6</v>
      </c>
      <c r="AD45">
        <v>11.2</v>
      </c>
      <c r="AE45">
        <v>1718</v>
      </c>
      <c r="AF45">
        <v>12.6</v>
      </c>
      <c r="AG45">
        <v>0.56499999999999995</v>
      </c>
      <c r="AH45">
        <v>0.63900000000000001</v>
      </c>
      <c r="AI45">
        <v>0.27800000000000002</v>
      </c>
      <c r="AJ45">
        <v>2.8</v>
      </c>
      <c r="AK45">
        <v>12.9</v>
      </c>
      <c r="AL45">
        <v>7.7</v>
      </c>
      <c r="AM45">
        <v>23.4</v>
      </c>
      <c r="AN45">
        <v>1.7</v>
      </c>
      <c r="AO45">
        <v>1.2</v>
      </c>
      <c r="AP45">
        <v>15.9</v>
      </c>
      <c r="AQ45">
        <v>16.7</v>
      </c>
      <c r="AR45">
        <v>1.5</v>
      </c>
      <c r="AS45">
        <v>1.9</v>
      </c>
      <c r="AT45">
        <v>3.4</v>
      </c>
      <c r="AU45">
        <v>9.6000000000000002E-2</v>
      </c>
      <c r="AV45">
        <v>-0.7</v>
      </c>
      <c r="AW45">
        <v>0.8</v>
      </c>
      <c r="AX45">
        <v>0.2</v>
      </c>
      <c r="AY45">
        <v>0.9</v>
      </c>
      <c r="AZ45" s="8">
        <f t="shared" si="0"/>
        <v>1.8</v>
      </c>
      <c r="BA45" s="8">
        <f t="shared" si="1"/>
        <v>6.3529410269896225E-2</v>
      </c>
    </row>
    <row r="46" spans="1:53" x14ac:dyDescent="0.25">
      <c r="A46" t="s">
        <v>122</v>
      </c>
      <c r="B46" s="2">
        <v>27733332</v>
      </c>
      <c r="C46" t="s">
        <v>52</v>
      </c>
      <c r="D46">
        <v>26</v>
      </c>
      <c r="E46" t="s">
        <v>123</v>
      </c>
      <c r="F46">
        <v>68</v>
      </c>
      <c r="G46">
        <v>68</v>
      </c>
      <c r="H46">
        <v>35</v>
      </c>
      <c r="I46">
        <v>8.6</v>
      </c>
      <c r="J46">
        <v>17.600000000000001</v>
      </c>
      <c r="K46">
        <v>0.49099999999999999</v>
      </c>
      <c r="L46">
        <v>2</v>
      </c>
      <c r="M46">
        <v>4.7</v>
      </c>
      <c r="N46">
        <v>0.41599999999999998</v>
      </c>
      <c r="O46">
        <v>6.7</v>
      </c>
      <c r="P46">
        <v>12.8</v>
      </c>
      <c r="Q46">
        <v>0.51900000000000002</v>
      </c>
      <c r="R46">
        <v>0.54700000000000004</v>
      </c>
      <c r="S46">
        <v>4.8</v>
      </c>
      <c r="T46">
        <v>5.8</v>
      </c>
      <c r="U46">
        <v>0.82899999999999996</v>
      </c>
      <c r="V46">
        <v>0.6</v>
      </c>
      <c r="W46">
        <v>3</v>
      </c>
      <c r="X46">
        <v>3.5</v>
      </c>
      <c r="Y46">
        <v>6.2</v>
      </c>
      <c r="Z46">
        <v>0.9</v>
      </c>
      <c r="AA46">
        <v>0.2</v>
      </c>
      <c r="AB46">
        <v>2.1</v>
      </c>
      <c r="AC46">
        <v>2.2000000000000002</v>
      </c>
      <c r="AD46">
        <v>24</v>
      </c>
      <c r="AE46">
        <v>2379</v>
      </c>
      <c r="AF46">
        <v>21.2</v>
      </c>
      <c r="AG46">
        <v>0.59699999999999998</v>
      </c>
      <c r="AH46">
        <v>0.26900000000000002</v>
      </c>
      <c r="AI46">
        <v>0.32800000000000001</v>
      </c>
      <c r="AJ46">
        <v>1.8</v>
      </c>
      <c r="AK46">
        <v>9.3000000000000007</v>
      </c>
      <c r="AL46">
        <v>5.6</v>
      </c>
      <c r="AM46">
        <v>28.7</v>
      </c>
      <c r="AN46">
        <v>1.3</v>
      </c>
      <c r="AO46">
        <v>0.6</v>
      </c>
      <c r="AP46">
        <v>9.4</v>
      </c>
      <c r="AQ46">
        <v>27.2</v>
      </c>
      <c r="AR46">
        <v>6.9</v>
      </c>
      <c r="AS46">
        <v>1.8</v>
      </c>
      <c r="AT46">
        <v>8.6999999999999993</v>
      </c>
      <c r="AU46">
        <v>0.17499999999999999</v>
      </c>
      <c r="AV46">
        <v>4.4000000000000004</v>
      </c>
      <c r="AW46">
        <v>-0.5</v>
      </c>
      <c r="AX46">
        <v>3.9</v>
      </c>
      <c r="AY46">
        <v>3.5</v>
      </c>
      <c r="AZ46" s="8">
        <f t="shared" si="0"/>
        <v>6.3</v>
      </c>
      <c r="BA46" s="8">
        <f t="shared" si="1"/>
        <v>0.22716347245978233</v>
      </c>
    </row>
    <row r="47" spans="1:53" x14ac:dyDescent="0.25">
      <c r="A47" t="s">
        <v>124</v>
      </c>
      <c r="B47" s="2">
        <v>27300000</v>
      </c>
      <c r="C47" t="s">
        <v>65</v>
      </c>
      <c r="D47">
        <v>33</v>
      </c>
      <c r="E47" t="s">
        <v>87</v>
      </c>
      <c r="F47">
        <v>74</v>
      </c>
      <c r="G47">
        <v>74</v>
      </c>
      <c r="H47">
        <v>36.200000000000003</v>
      </c>
      <c r="I47">
        <v>8.9</v>
      </c>
      <c r="J47">
        <v>17.600000000000001</v>
      </c>
      <c r="K47">
        <v>0.504</v>
      </c>
      <c r="L47">
        <v>0.6</v>
      </c>
      <c r="M47">
        <v>1.9</v>
      </c>
      <c r="N47">
        <v>0.32400000000000001</v>
      </c>
      <c r="O47">
        <v>8.3000000000000007</v>
      </c>
      <c r="P47">
        <v>15.7</v>
      </c>
      <c r="Q47">
        <v>0.52600000000000002</v>
      </c>
      <c r="R47">
        <v>0.52200000000000002</v>
      </c>
      <c r="S47">
        <v>6.2</v>
      </c>
      <c r="T47">
        <v>7.1</v>
      </c>
      <c r="U47">
        <v>0.872</v>
      </c>
      <c r="V47">
        <v>0.5</v>
      </c>
      <c r="W47">
        <v>4.2</v>
      </c>
      <c r="X47">
        <v>4.5999999999999996</v>
      </c>
      <c r="Y47">
        <v>5.0999999999999996</v>
      </c>
      <c r="Z47">
        <v>1.1000000000000001</v>
      </c>
      <c r="AA47">
        <v>0.5</v>
      </c>
      <c r="AB47">
        <v>2.1</v>
      </c>
      <c r="AC47">
        <v>2.5</v>
      </c>
      <c r="AD47">
        <v>24.5</v>
      </c>
      <c r="AE47">
        <v>2682</v>
      </c>
      <c r="AF47">
        <v>20.6</v>
      </c>
      <c r="AG47">
        <v>0.59199999999999997</v>
      </c>
      <c r="AH47">
        <v>0.109</v>
      </c>
      <c r="AI47">
        <v>0.40100000000000002</v>
      </c>
      <c r="AJ47">
        <v>1.5</v>
      </c>
      <c r="AK47">
        <v>12.8</v>
      </c>
      <c r="AL47">
        <v>7.2</v>
      </c>
      <c r="AM47">
        <v>22.3</v>
      </c>
      <c r="AN47">
        <v>1.5</v>
      </c>
      <c r="AO47">
        <v>1.3</v>
      </c>
      <c r="AP47">
        <v>9.1</v>
      </c>
      <c r="AQ47">
        <v>27.8</v>
      </c>
      <c r="AR47">
        <v>5.4</v>
      </c>
      <c r="AS47">
        <v>3.2</v>
      </c>
      <c r="AT47">
        <v>8.5</v>
      </c>
      <c r="AU47">
        <v>0.153</v>
      </c>
      <c r="AV47">
        <v>1.7</v>
      </c>
      <c r="AW47">
        <v>0.3</v>
      </c>
      <c r="AX47">
        <v>2</v>
      </c>
      <c r="AY47">
        <v>2.6</v>
      </c>
      <c r="AZ47" s="8">
        <f t="shared" si="0"/>
        <v>5.25</v>
      </c>
      <c r="BA47" s="8">
        <f t="shared" si="1"/>
        <v>0.19230769230769232</v>
      </c>
    </row>
    <row r="48" spans="1:53" x14ac:dyDescent="0.25">
      <c r="A48" t="s">
        <v>125</v>
      </c>
      <c r="B48" s="2">
        <v>26500000</v>
      </c>
      <c r="C48" t="s">
        <v>75</v>
      </c>
      <c r="D48">
        <v>36</v>
      </c>
      <c r="E48" t="s">
        <v>113</v>
      </c>
      <c r="F48">
        <v>63</v>
      </c>
      <c r="G48">
        <v>63</v>
      </c>
      <c r="H48">
        <v>30.5</v>
      </c>
      <c r="I48">
        <v>3.6</v>
      </c>
      <c r="J48">
        <v>7.6</v>
      </c>
      <c r="K48">
        <v>0.47599999999999998</v>
      </c>
      <c r="L48">
        <v>2.2999999999999998</v>
      </c>
      <c r="M48">
        <v>5.2</v>
      </c>
      <c r="N48">
        <v>0.44600000000000001</v>
      </c>
      <c r="O48">
        <v>1.3</v>
      </c>
      <c r="P48">
        <v>2.4</v>
      </c>
      <c r="Q48">
        <v>0.53900000000000003</v>
      </c>
      <c r="R48">
        <v>0.627</v>
      </c>
      <c r="S48">
        <v>0.2</v>
      </c>
      <c r="T48">
        <v>0.3</v>
      </c>
      <c r="U48">
        <v>0.71399999999999997</v>
      </c>
      <c r="V48">
        <v>1.2</v>
      </c>
      <c r="W48">
        <v>5</v>
      </c>
      <c r="X48">
        <v>6.2</v>
      </c>
      <c r="Y48">
        <v>3</v>
      </c>
      <c r="Z48">
        <v>0.5</v>
      </c>
      <c r="AA48">
        <v>1</v>
      </c>
      <c r="AB48">
        <v>0.6</v>
      </c>
      <c r="AC48">
        <v>1.9</v>
      </c>
      <c r="AD48">
        <v>9.8000000000000007</v>
      </c>
      <c r="AE48">
        <v>1922</v>
      </c>
      <c r="AF48">
        <v>13.8</v>
      </c>
      <c r="AG48">
        <v>0.63100000000000001</v>
      </c>
      <c r="AH48">
        <v>0.67800000000000005</v>
      </c>
      <c r="AI48">
        <v>4.3999999999999997E-2</v>
      </c>
      <c r="AJ48">
        <v>4.2</v>
      </c>
      <c r="AK48">
        <v>17.7</v>
      </c>
      <c r="AL48">
        <v>11.1</v>
      </c>
      <c r="AM48">
        <v>13.2</v>
      </c>
      <c r="AN48">
        <v>0.8</v>
      </c>
      <c r="AO48">
        <v>2.7</v>
      </c>
      <c r="AP48">
        <v>7</v>
      </c>
      <c r="AQ48">
        <v>11.9</v>
      </c>
      <c r="AR48">
        <v>3.6</v>
      </c>
      <c r="AS48">
        <v>2.7</v>
      </c>
      <c r="AT48">
        <v>6.3</v>
      </c>
      <c r="AU48">
        <v>0.157</v>
      </c>
      <c r="AV48">
        <v>1.6</v>
      </c>
      <c r="AW48">
        <v>1.7</v>
      </c>
      <c r="AX48">
        <v>3.3</v>
      </c>
      <c r="AY48">
        <v>2.5</v>
      </c>
      <c r="AZ48" s="8">
        <f t="shared" si="0"/>
        <v>4.8</v>
      </c>
      <c r="BA48" s="8">
        <f t="shared" si="1"/>
        <v>0.1811320754716981</v>
      </c>
    </row>
    <row r="49" spans="1:53" x14ac:dyDescent="0.25">
      <c r="A49" t="s">
        <v>126</v>
      </c>
      <c r="B49" s="2">
        <v>25806468</v>
      </c>
      <c r="C49" t="s">
        <v>28</v>
      </c>
      <c r="D49">
        <v>32</v>
      </c>
      <c r="E49" t="s">
        <v>53</v>
      </c>
      <c r="F49">
        <v>73</v>
      </c>
      <c r="G49">
        <v>73</v>
      </c>
      <c r="H49">
        <v>31.5</v>
      </c>
      <c r="I49">
        <v>3.4</v>
      </c>
      <c r="J49">
        <v>6.5</v>
      </c>
      <c r="K49">
        <v>0.52700000000000002</v>
      </c>
      <c r="L49">
        <v>0.5</v>
      </c>
      <c r="M49">
        <v>1.8</v>
      </c>
      <c r="N49">
        <v>0.30499999999999999</v>
      </c>
      <c r="O49">
        <v>2.9</v>
      </c>
      <c r="P49">
        <v>4.7</v>
      </c>
      <c r="Q49">
        <v>0.61199999999999999</v>
      </c>
      <c r="R49">
        <v>0.56999999999999995</v>
      </c>
      <c r="S49">
        <v>1.1000000000000001</v>
      </c>
      <c r="T49">
        <v>1.5</v>
      </c>
      <c r="U49">
        <v>0.71299999999999997</v>
      </c>
      <c r="V49">
        <v>0.9</v>
      </c>
      <c r="W49">
        <v>6.3</v>
      </c>
      <c r="X49">
        <v>7.2</v>
      </c>
      <c r="Y49">
        <v>6.8</v>
      </c>
      <c r="Z49">
        <v>1</v>
      </c>
      <c r="AA49">
        <v>0.8</v>
      </c>
      <c r="AB49">
        <v>2.8</v>
      </c>
      <c r="AC49">
        <v>3.1</v>
      </c>
      <c r="AD49">
        <v>8.5</v>
      </c>
      <c r="AE49">
        <v>2297</v>
      </c>
      <c r="AF49">
        <v>12.2</v>
      </c>
      <c r="AG49">
        <v>0.59199999999999997</v>
      </c>
      <c r="AH49">
        <v>0.27600000000000002</v>
      </c>
      <c r="AI49">
        <v>0.22800000000000001</v>
      </c>
      <c r="AJ49">
        <v>3.2</v>
      </c>
      <c r="AK49">
        <v>21.6</v>
      </c>
      <c r="AL49">
        <v>12.6</v>
      </c>
      <c r="AM49">
        <v>27.8</v>
      </c>
      <c r="AN49">
        <v>1.5</v>
      </c>
      <c r="AO49">
        <v>2.2999999999999998</v>
      </c>
      <c r="AP49">
        <v>28.1</v>
      </c>
      <c r="AQ49">
        <v>13.2</v>
      </c>
      <c r="AR49">
        <v>1.6</v>
      </c>
      <c r="AS49">
        <v>3.1</v>
      </c>
      <c r="AT49">
        <v>4.7</v>
      </c>
      <c r="AU49">
        <v>9.8000000000000004E-2</v>
      </c>
      <c r="AV49">
        <v>-1.8</v>
      </c>
      <c r="AW49">
        <v>2.6</v>
      </c>
      <c r="AX49">
        <v>0.8</v>
      </c>
      <c r="AY49">
        <v>1.6</v>
      </c>
      <c r="AZ49" s="8">
        <f t="shared" si="0"/>
        <v>2.75</v>
      </c>
      <c r="BA49" s="8">
        <f t="shared" si="1"/>
        <v>0.10656243233285546</v>
      </c>
    </row>
    <row r="50" spans="1:53" x14ac:dyDescent="0.25">
      <c r="A50" t="s">
        <v>127</v>
      </c>
      <c r="B50" s="2">
        <v>23760000</v>
      </c>
      <c r="C50" t="s">
        <v>28</v>
      </c>
      <c r="D50">
        <v>28</v>
      </c>
      <c r="E50" t="s">
        <v>123</v>
      </c>
      <c r="F50">
        <v>77</v>
      </c>
      <c r="G50">
        <v>77</v>
      </c>
      <c r="H50">
        <v>35.5</v>
      </c>
      <c r="I50">
        <v>8.5</v>
      </c>
      <c r="J50">
        <v>18.600000000000001</v>
      </c>
      <c r="K50">
        <v>0.45900000000000002</v>
      </c>
      <c r="L50">
        <v>2.8</v>
      </c>
      <c r="M50">
        <v>8.3000000000000007</v>
      </c>
      <c r="N50">
        <v>0.34300000000000003</v>
      </c>
      <c r="O50">
        <v>5.7</v>
      </c>
      <c r="P50">
        <v>10.3</v>
      </c>
      <c r="Q50">
        <v>0.55300000000000005</v>
      </c>
      <c r="R50">
        <v>0.53600000000000003</v>
      </c>
      <c r="S50">
        <v>5.2</v>
      </c>
      <c r="T50">
        <v>6.9</v>
      </c>
      <c r="U50">
        <v>0.75700000000000001</v>
      </c>
      <c r="V50">
        <v>1.8</v>
      </c>
      <c r="W50">
        <v>8.1</v>
      </c>
      <c r="X50">
        <v>10</v>
      </c>
      <c r="Y50">
        <v>4.0999999999999996</v>
      </c>
      <c r="Z50">
        <v>0.6</v>
      </c>
      <c r="AA50">
        <v>0.3</v>
      </c>
      <c r="AB50">
        <v>2.8</v>
      </c>
      <c r="AC50">
        <v>3</v>
      </c>
      <c r="AD50">
        <v>25.1</v>
      </c>
      <c r="AE50">
        <v>2737</v>
      </c>
      <c r="AF50">
        <v>20.3</v>
      </c>
      <c r="AG50">
        <v>0.58099999999999996</v>
      </c>
      <c r="AH50">
        <v>0.44400000000000001</v>
      </c>
      <c r="AI50">
        <v>0.371</v>
      </c>
      <c r="AJ50">
        <v>5.6</v>
      </c>
      <c r="AK50">
        <v>25.2</v>
      </c>
      <c r="AL50">
        <v>15.4</v>
      </c>
      <c r="AM50">
        <v>18.5</v>
      </c>
      <c r="AN50">
        <v>0.9</v>
      </c>
      <c r="AO50">
        <v>0.7</v>
      </c>
      <c r="AP50">
        <v>11.5</v>
      </c>
      <c r="AQ50">
        <v>29.5</v>
      </c>
      <c r="AR50">
        <v>5</v>
      </c>
      <c r="AS50">
        <v>3.1</v>
      </c>
      <c r="AT50">
        <v>8.1</v>
      </c>
      <c r="AU50">
        <v>0.14199999999999999</v>
      </c>
      <c r="AV50">
        <v>3.9</v>
      </c>
      <c r="AW50">
        <v>-0.2</v>
      </c>
      <c r="AX50">
        <v>3.7</v>
      </c>
      <c r="AY50">
        <v>3.9</v>
      </c>
      <c r="AZ50" s="8">
        <f t="shared" si="0"/>
        <v>5.9</v>
      </c>
      <c r="BA50" s="8">
        <f t="shared" si="1"/>
        <v>0.24831649831649832</v>
      </c>
    </row>
    <row r="51" spans="1:53" x14ac:dyDescent="0.25">
      <c r="A51" t="s">
        <v>128</v>
      </c>
      <c r="B51" s="2">
        <v>23500000</v>
      </c>
      <c r="C51" t="s">
        <v>28</v>
      </c>
      <c r="D51">
        <v>25</v>
      </c>
      <c r="E51" t="s">
        <v>85</v>
      </c>
      <c r="F51">
        <v>71</v>
      </c>
      <c r="G51">
        <v>71</v>
      </c>
      <c r="H51">
        <v>30</v>
      </c>
      <c r="I51">
        <v>5.0999999999999996</v>
      </c>
      <c r="J51">
        <v>10</v>
      </c>
      <c r="K51">
        <v>0.50800000000000001</v>
      </c>
      <c r="L51">
        <v>1</v>
      </c>
      <c r="M51">
        <v>3.4</v>
      </c>
      <c r="N51">
        <v>0.29199999999999998</v>
      </c>
      <c r="O51">
        <v>4.0999999999999996</v>
      </c>
      <c r="P51">
        <v>6.6</v>
      </c>
      <c r="Q51">
        <v>0.61899999999999999</v>
      </c>
      <c r="R51">
        <v>0.55700000000000005</v>
      </c>
      <c r="S51">
        <v>2</v>
      </c>
      <c r="T51">
        <v>2.5</v>
      </c>
      <c r="U51">
        <v>0.80300000000000005</v>
      </c>
      <c r="V51">
        <v>1.1000000000000001</v>
      </c>
      <c r="W51">
        <v>5.4</v>
      </c>
      <c r="X51">
        <v>6.5</v>
      </c>
      <c r="Y51">
        <v>1.2</v>
      </c>
      <c r="Z51">
        <v>0.6</v>
      </c>
      <c r="AA51">
        <v>1</v>
      </c>
      <c r="AB51">
        <v>1.1000000000000001</v>
      </c>
      <c r="AC51">
        <v>3.1</v>
      </c>
      <c r="AD51">
        <v>13.1</v>
      </c>
      <c r="AE51">
        <v>2130</v>
      </c>
      <c r="AF51">
        <v>13.6</v>
      </c>
      <c r="AG51">
        <v>0.59299999999999997</v>
      </c>
      <c r="AH51">
        <v>0.33900000000000002</v>
      </c>
      <c r="AI51">
        <v>0.252</v>
      </c>
      <c r="AJ51">
        <v>3.9</v>
      </c>
      <c r="AK51">
        <v>20</v>
      </c>
      <c r="AL51">
        <v>11.9</v>
      </c>
      <c r="AM51">
        <v>5.3</v>
      </c>
      <c r="AN51">
        <v>0.9</v>
      </c>
      <c r="AO51">
        <v>2.9</v>
      </c>
      <c r="AP51">
        <v>9.1</v>
      </c>
      <c r="AQ51">
        <v>17.100000000000001</v>
      </c>
      <c r="AR51">
        <v>2.1</v>
      </c>
      <c r="AS51">
        <v>2.1</v>
      </c>
      <c r="AT51">
        <v>4.2</v>
      </c>
      <c r="AU51">
        <v>9.5000000000000001E-2</v>
      </c>
      <c r="AV51">
        <v>-1.4</v>
      </c>
      <c r="AW51">
        <v>0.2</v>
      </c>
      <c r="AX51">
        <v>-1.3</v>
      </c>
      <c r="AY51">
        <v>0.4</v>
      </c>
      <c r="AZ51" s="8">
        <f t="shared" si="0"/>
        <v>1.4500000000000002</v>
      </c>
      <c r="BA51" s="8">
        <f t="shared" si="1"/>
        <v>6.1702127659574481E-2</v>
      </c>
    </row>
    <row r="52" spans="1:53" x14ac:dyDescent="0.25">
      <c r="A52" t="s">
        <v>129</v>
      </c>
      <c r="B52" s="2">
        <v>22680000</v>
      </c>
      <c r="C52" t="s">
        <v>52</v>
      </c>
      <c r="D52">
        <v>35</v>
      </c>
      <c r="E52" t="s">
        <v>130</v>
      </c>
      <c r="F52">
        <v>67</v>
      </c>
      <c r="G52">
        <v>66</v>
      </c>
      <c r="H52">
        <v>30.3</v>
      </c>
      <c r="I52">
        <v>3.9</v>
      </c>
      <c r="J52">
        <v>9.1</v>
      </c>
      <c r="K52">
        <v>0.42799999999999999</v>
      </c>
      <c r="L52">
        <v>2</v>
      </c>
      <c r="M52">
        <v>5.2</v>
      </c>
      <c r="N52">
        <v>0.38500000000000001</v>
      </c>
      <c r="O52">
        <v>1.9</v>
      </c>
      <c r="P52">
        <v>3.9</v>
      </c>
      <c r="Q52">
        <v>0.48599999999999999</v>
      </c>
      <c r="R52">
        <v>0.53900000000000003</v>
      </c>
      <c r="S52">
        <v>2.1</v>
      </c>
      <c r="T52">
        <v>2.5</v>
      </c>
      <c r="U52">
        <v>0.83399999999999996</v>
      </c>
      <c r="V52">
        <v>0.5</v>
      </c>
      <c r="W52">
        <v>2.2000000000000002</v>
      </c>
      <c r="X52">
        <v>2.7</v>
      </c>
      <c r="Y52">
        <v>6.7</v>
      </c>
      <c r="Z52">
        <v>1.1000000000000001</v>
      </c>
      <c r="AA52">
        <v>0.2</v>
      </c>
      <c r="AB52">
        <v>1.5</v>
      </c>
      <c r="AC52">
        <v>2.1</v>
      </c>
      <c r="AD52">
        <v>11.9</v>
      </c>
      <c r="AE52">
        <v>2029</v>
      </c>
      <c r="AF52">
        <v>14.7</v>
      </c>
      <c r="AG52">
        <v>0.58299999999999996</v>
      </c>
      <c r="AH52">
        <v>0.57499999999999996</v>
      </c>
      <c r="AI52">
        <v>0.27700000000000002</v>
      </c>
      <c r="AJ52">
        <v>1.8</v>
      </c>
      <c r="AK52">
        <v>7.9</v>
      </c>
      <c r="AL52">
        <v>4.9000000000000004</v>
      </c>
      <c r="AM52">
        <v>29.4</v>
      </c>
      <c r="AN52">
        <v>1.7</v>
      </c>
      <c r="AO52">
        <v>0.6</v>
      </c>
      <c r="AP52">
        <v>13.1</v>
      </c>
      <c r="AQ52">
        <v>16.3</v>
      </c>
      <c r="AR52">
        <v>4.0999999999999996</v>
      </c>
      <c r="AS52">
        <v>1.4</v>
      </c>
      <c r="AT52">
        <v>5.5</v>
      </c>
      <c r="AU52">
        <v>0.13</v>
      </c>
      <c r="AV52">
        <v>1</v>
      </c>
      <c r="AW52">
        <v>-0.1</v>
      </c>
      <c r="AX52">
        <v>0.9</v>
      </c>
      <c r="AY52">
        <v>1.5</v>
      </c>
      <c r="AZ52" s="8">
        <f t="shared" si="0"/>
        <v>3.2</v>
      </c>
      <c r="BA52" s="8">
        <f t="shared" si="1"/>
        <v>0.14109347442680775</v>
      </c>
    </row>
    <row r="53" spans="1:53" x14ac:dyDescent="0.25">
      <c r="A53" t="s">
        <v>131</v>
      </c>
      <c r="B53" s="2">
        <v>22600000</v>
      </c>
      <c r="C53" t="s">
        <v>52</v>
      </c>
      <c r="D53">
        <v>30</v>
      </c>
      <c r="E53" t="s">
        <v>113</v>
      </c>
      <c r="F53">
        <v>67</v>
      </c>
      <c r="G53">
        <v>0</v>
      </c>
      <c r="H53">
        <v>26</v>
      </c>
      <c r="I53">
        <v>5.3</v>
      </c>
      <c r="J53">
        <v>10.9</v>
      </c>
      <c r="K53">
        <v>0.48399999999999999</v>
      </c>
      <c r="L53">
        <v>2</v>
      </c>
      <c r="M53">
        <v>4.4000000000000004</v>
      </c>
      <c r="N53">
        <v>0.44400000000000001</v>
      </c>
      <c r="O53">
        <v>3.3</v>
      </c>
      <c r="P53">
        <v>6.5</v>
      </c>
      <c r="Q53">
        <v>0.51</v>
      </c>
      <c r="R53">
        <v>0.57399999999999995</v>
      </c>
      <c r="S53">
        <v>2.4</v>
      </c>
      <c r="T53">
        <v>2.7</v>
      </c>
      <c r="U53">
        <v>0.87</v>
      </c>
      <c r="V53">
        <v>0.6</v>
      </c>
      <c r="W53">
        <v>3.6</v>
      </c>
      <c r="X53">
        <v>4.2</v>
      </c>
      <c r="Y53">
        <v>3.7</v>
      </c>
      <c r="Z53">
        <v>0.7</v>
      </c>
      <c r="AA53">
        <v>0.3</v>
      </c>
      <c r="AB53">
        <v>1.5</v>
      </c>
      <c r="AC53">
        <v>1.6</v>
      </c>
      <c r="AD53">
        <v>14.9</v>
      </c>
      <c r="AE53">
        <v>1744</v>
      </c>
      <c r="AF53">
        <v>18.2</v>
      </c>
      <c r="AG53">
        <v>0.61499999999999999</v>
      </c>
      <c r="AH53">
        <v>0.40600000000000003</v>
      </c>
      <c r="AI53">
        <v>0.251</v>
      </c>
      <c r="AJ53">
        <v>2.7</v>
      </c>
      <c r="AK53">
        <v>14.7</v>
      </c>
      <c r="AL53">
        <v>8.8000000000000007</v>
      </c>
      <c r="AM53">
        <v>21.5</v>
      </c>
      <c r="AN53">
        <v>1.3</v>
      </c>
      <c r="AO53">
        <v>0.9</v>
      </c>
      <c r="AP53">
        <v>10.8</v>
      </c>
      <c r="AQ53">
        <v>22.8</v>
      </c>
      <c r="AR53">
        <v>3.6</v>
      </c>
      <c r="AS53">
        <v>2.2000000000000002</v>
      </c>
      <c r="AT53">
        <v>5.8</v>
      </c>
      <c r="AU53">
        <v>0.161</v>
      </c>
      <c r="AV53">
        <v>2.2999999999999998</v>
      </c>
      <c r="AW53">
        <v>0.6</v>
      </c>
      <c r="AX53">
        <v>2.8</v>
      </c>
      <c r="AY53">
        <v>2.1</v>
      </c>
      <c r="AZ53" s="8">
        <f t="shared" si="0"/>
        <v>4.3</v>
      </c>
      <c r="BA53" s="8">
        <f t="shared" si="1"/>
        <v>0.19026548672566371</v>
      </c>
    </row>
    <row r="54" spans="1:53" x14ac:dyDescent="0.25">
      <c r="A54" t="s">
        <v>132</v>
      </c>
      <c r="B54" s="2">
        <v>22321429</v>
      </c>
      <c r="C54" t="s">
        <v>62</v>
      </c>
      <c r="D54">
        <v>23</v>
      </c>
      <c r="E54" t="s">
        <v>70</v>
      </c>
      <c r="F54">
        <v>62</v>
      </c>
      <c r="G54">
        <v>62</v>
      </c>
      <c r="H54">
        <v>35</v>
      </c>
      <c r="I54">
        <v>7.5</v>
      </c>
      <c r="J54">
        <v>16.899999999999999</v>
      </c>
      <c r="K54">
        <v>0.44700000000000001</v>
      </c>
      <c r="L54">
        <v>3.4</v>
      </c>
      <c r="M54">
        <v>9.1</v>
      </c>
      <c r="N54">
        <v>0.377</v>
      </c>
      <c r="O54">
        <v>4.0999999999999996</v>
      </c>
      <c r="P54">
        <v>7.8</v>
      </c>
      <c r="Q54">
        <v>0.52800000000000002</v>
      </c>
      <c r="R54">
        <v>0.54800000000000004</v>
      </c>
      <c r="S54">
        <v>2.6</v>
      </c>
      <c r="T54">
        <v>2.9</v>
      </c>
      <c r="U54">
        <v>0.89400000000000002</v>
      </c>
      <c r="V54">
        <v>0.3</v>
      </c>
      <c r="W54">
        <v>2.2999999999999998</v>
      </c>
      <c r="X54">
        <v>2.6</v>
      </c>
      <c r="Y54">
        <v>4.0999999999999996</v>
      </c>
      <c r="Z54">
        <v>0.7</v>
      </c>
      <c r="AA54">
        <v>0.2</v>
      </c>
      <c r="AB54">
        <v>2.1</v>
      </c>
      <c r="AC54">
        <v>2.2999999999999998</v>
      </c>
      <c r="AD54">
        <v>21.1</v>
      </c>
      <c r="AE54">
        <v>2171</v>
      </c>
      <c r="AF54">
        <v>14.8</v>
      </c>
      <c r="AG54">
        <v>0.58099999999999996</v>
      </c>
      <c r="AH54">
        <v>0.53800000000000003</v>
      </c>
      <c r="AI54">
        <v>0.17100000000000001</v>
      </c>
      <c r="AJ54">
        <v>0.9</v>
      </c>
      <c r="AK54">
        <v>7.6</v>
      </c>
      <c r="AL54">
        <v>4.3</v>
      </c>
      <c r="AM54">
        <v>18.600000000000001</v>
      </c>
      <c r="AN54">
        <v>0.9</v>
      </c>
      <c r="AO54">
        <v>0.6</v>
      </c>
      <c r="AP54">
        <v>10.199999999999999</v>
      </c>
      <c r="AQ54">
        <v>25.1</v>
      </c>
      <c r="AR54">
        <v>2.1</v>
      </c>
      <c r="AS54">
        <v>0.3</v>
      </c>
      <c r="AT54">
        <v>2.5</v>
      </c>
      <c r="AU54">
        <v>5.3999999999999999E-2</v>
      </c>
      <c r="AV54">
        <v>1.3</v>
      </c>
      <c r="AW54">
        <v>-2.5</v>
      </c>
      <c r="AX54">
        <v>-1.1000000000000001</v>
      </c>
      <c r="AY54">
        <v>0.5</v>
      </c>
      <c r="AZ54" s="8">
        <f t="shared" si="0"/>
        <v>0.7</v>
      </c>
      <c r="BA54" s="8">
        <f t="shared" si="1"/>
        <v>3.1359999397888014E-2</v>
      </c>
    </row>
    <row r="55" spans="1:53" x14ac:dyDescent="0.25">
      <c r="A55" t="s">
        <v>133</v>
      </c>
      <c r="B55" s="2">
        <v>21486316</v>
      </c>
      <c r="C55" t="s">
        <v>62</v>
      </c>
      <c r="D55">
        <v>28</v>
      </c>
      <c r="E55" t="s">
        <v>118</v>
      </c>
      <c r="F55">
        <v>63</v>
      </c>
      <c r="G55">
        <v>63</v>
      </c>
      <c r="H55">
        <v>35.299999999999997</v>
      </c>
      <c r="I55">
        <v>7.8</v>
      </c>
      <c r="J55">
        <v>18.899999999999999</v>
      </c>
      <c r="K55">
        <v>0.41499999999999998</v>
      </c>
      <c r="L55">
        <v>2.6</v>
      </c>
      <c r="M55">
        <v>8</v>
      </c>
      <c r="N55">
        <v>0.32700000000000001</v>
      </c>
      <c r="O55">
        <v>5.2</v>
      </c>
      <c r="P55">
        <v>10.8</v>
      </c>
      <c r="Q55">
        <v>0.48</v>
      </c>
      <c r="R55">
        <v>0.48399999999999999</v>
      </c>
      <c r="S55">
        <v>2.8</v>
      </c>
      <c r="T55">
        <v>3.5</v>
      </c>
      <c r="U55">
        <v>0.80900000000000005</v>
      </c>
      <c r="V55">
        <v>0.8</v>
      </c>
      <c r="W55">
        <v>3.3</v>
      </c>
      <c r="X55">
        <v>4.0999999999999996</v>
      </c>
      <c r="Y55">
        <v>5.0999999999999996</v>
      </c>
      <c r="Z55">
        <v>1.2</v>
      </c>
      <c r="AA55">
        <v>0.3</v>
      </c>
      <c r="AB55">
        <v>2.1</v>
      </c>
      <c r="AC55">
        <v>1.9</v>
      </c>
      <c r="AD55">
        <v>21.1</v>
      </c>
      <c r="AE55">
        <v>2221</v>
      </c>
      <c r="AF55">
        <v>14.7</v>
      </c>
      <c r="AG55">
        <v>0.51700000000000002</v>
      </c>
      <c r="AH55">
        <v>0.42499999999999999</v>
      </c>
      <c r="AI55">
        <v>0.185</v>
      </c>
      <c r="AJ55">
        <v>2.4</v>
      </c>
      <c r="AK55">
        <v>10.199999999999999</v>
      </c>
      <c r="AL55">
        <v>6.2</v>
      </c>
      <c r="AM55">
        <v>22.7</v>
      </c>
      <c r="AN55">
        <v>1.6</v>
      </c>
      <c r="AO55">
        <v>0.6</v>
      </c>
      <c r="AP55">
        <v>9.4</v>
      </c>
      <c r="AQ55">
        <v>26.9</v>
      </c>
      <c r="AR55">
        <v>0.1</v>
      </c>
      <c r="AS55">
        <v>1.6</v>
      </c>
      <c r="AT55">
        <v>1.7</v>
      </c>
      <c r="AU55">
        <v>3.6999999999999998E-2</v>
      </c>
      <c r="AV55">
        <v>0.6</v>
      </c>
      <c r="AW55">
        <v>-1.1000000000000001</v>
      </c>
      <c r="AX55">
        <v>-0.6</v>
      </c>
      <c r="AY55">
        <v>0.8</v>
      </c>
      <c r="AZ55" s="8">
        <f t="shared" si="0"/>
        <v>0.55000000000000004</v>
      </c>
      <c r="BA55" s="8">
        <f t="shared" si="1"/>
        <v>2.5597687383914488E-2</v>
      </c>
    </row>
    <row r="56" spans="1:53" x14ac:dyDescent="0.25">
      <c r="A56" t="s">
        <v>134</v>
      </c>
      <c r="B56" s="2">
        <v>21250000</v>
      </c>
      <c r="C56" t="s">
        <v>52</v>
      </c>
      <c r="D56">
        <v>28</v>
      </c>
      <c r="E56" t="s">
        <v>91</v>
      </c>
      <c r="F56">
        <v>69</v>
      </c>
      <c r="G56">
        <v>69</v>
      </c>
      <c r="H56">
        <v>36.700000000000003</v>
      </c>
      <c r="I56">
        <v>6.3</v>
      </c>
      <c r="J56">
        <v>16.100000000000001</v>
      </c>
      <c r="K56">
        <v>0.39300000000000002</v>
      </c>
      <c r="L56">
        <v>3</v>
      </c>
      <c r="M56">
        <v>8.8000000000000007</v>
      </c>
      <c r="N56">
        <v>0.34200000000000003</v>
      </c>
      <c r="O56">
        <v>3.3</v>
      </c>
      <c r="P56">
        <v>7.3</v>
      </c>
      <c r="Q56">
        <v>0.45500000000000002</v>
      </c>
      <c r="R56">
        <v>0.48599999999999999</v>
      </c>
      <c r="S56">
        <v>3.7</v>
      </c>
      <c r="T56">
        <v>4.0999999999999996</v>
      </c>
      <c r="U56">
        <v>0.89800000000000002</v>
      </c>
      <c r="V56">
        <v>0.4</v>
      </c>
      <c r="W56">
        <v>3.6</v>
      </c>
      <c r="X56">
        <v>4.0999999999999996</v>
      </c>
      <c r="Y56">
        <v>7.2</v>
      </c>
      <c r="Z56">
        <v>1.8</v>
      </c>
      <c r="AA56">
        <v>0.6</v>
      </c>
      <c r="AB56">
        <v>2</v>
      </c>
      <c r="AC56">
        <v>2.8</v>
      </c>
      <c r="AD56">
        <v>19.3</v>
      </c>
      <c r="AE56">
        <v>2535</v>
      </c>
      <c r="AF56">
        <v>17</v>
      </c>
      <c r="AG56">
        <v>0.54</v>
      </c>
      <c r="AH56">
        <v>0.54500000000000004</v>
      </c>
      <c r="AI56">
        <v>0.254</v>
      </c>
      <c r="AJ56">
        <v>1.2</v>
      </c>
      <c r="AK56">
        <v>12</v>
      </c>
      <c r="AL56">
        <v>6.3</v>
      </c>
      <c r="AM56">
        <v>28.1</v>
      </c>
      <c r="AN56">
        <v>2.4</v>
      </c>
      <c r="AO56">
        <v>1.5</v>
      </c>
      <c r="AP56">
        <v>10.199999999999999</v>
      </c>
      <c r="AQ56">
        <v>23.2</v>
      </c>
      <c r="AR56">
        <v>3.7</v>
      </c>
      <c r="AS56">
        <v>2.8</v>
      </c>
      <c r="AT56">
        <v>6.5</v>
      </c>
      <c r="AU56">
        <v>0.123</v>
      </c>
      <c r="AV56">
        <v>2</v>
      </c>
      <c r="AW56">
        <v>0.5</v>
      </c>
      <c r="AX56">
        <v>2.5</v>
      </c>
      <c r="AY56">
        <v>2.9</v>
      </c>
      <c r="AZ56" s="8">
        <f t="shared" si="0"/>
        <v>4.5</v>
      </c>
      <c r="BA56" s="8">
        <f t="shared" si="1"/>
        <v>0.21176470588235294</v>
      </c>
    </row>
    <row r="57" spans="1:53" x14ac:dyDescent="0.25">
      <c r="A57" t="s">
        <v>135</v>
      </c>
      <c r="B57" s="2">
        <v>21177750</v>
      </c>
      <c r="C57" t="s">
        <v>65</v>
      </c>
      <c r="D57">
        <v>30</v>
      </c>
      <c r="E57" t="s">
        <v>93</v>
      </c>
      <c r="F57">
        <v>80</v>
      </c>
      <c r="G57">
        <v>73</v>
      </c>
      <c r="H57">
        <v>31</v>
      </c>
      <c r="I57">
        <v>5.9</v>
      </c>
      <c r="J57">
        <v>13</v>
      </c>
      <c r="K57">
        <v>0.45800000000000002</v>
      </c>
      <c r="L57">
        <v>3.6</v>
      </c>
      <c r="M57">
        <v>8.5</v>
      </c>
      <c r="N57">
        <v>0.42499999999999999</v>
      </c>
      <c r="O57">
        <v>2.2999999999999998</v>
      </c>
      <c r="P57">
        <v>4.5</v>
      </c>
      <c r="Q57">
        <v>0.51800000000000002</v>
      </c>
      <c r="R57">
        <v>0.59599999999999997</v>
      </c>
      <c r="S57">
        <v>1.3</v>
      </c>
      <c r="T57">
        <v>1.6</v>
      </c>
      <c r="U57">
        <v>0.82199999999999995</v>
      </c>
      <c r="V57">
        <v>0.8</v>
      </c>
      <c r="W57">
        <v>4.2</v>
      </c>
      <c r="X57">
        <v>5</v>
      </c>
      <c r="Y57">
        <v>2.8</v>
      </c>
      <c r="Z57">
        <v>1.2</v>
      </c>
      <c r="AA57">
        <v>0.3</v>
      </c>
      <c r="AB57">
        <v>1.7</v>
      </c>
      <c r="AC57">
        <v>2</v>
      </c>
      <c r="AD57">
        <v>16.8</v>
      </c>
      <c r="AE57">
        <v>2482</v>
      </c>
      <c r="AF57">
        <v>15.4</v>
      </c>
      <c r="AG57">
        <v>0.61399999999999999</v>
      </c>
      <c r="AH57">
        <v>0.65200000000000002</v>
      </c>
      <c r="AI57">
        <v>0.124</v>
      </c>
      <c r="AJ57">
        <v>3</v>
      </c>
      <c r="AK57">
        <v>14.9</v>
      </c>
      <c r="AL57">
        <v>8.9</v>
      </c>
      <c r="AM57">
        <v>13.3</v>
      </c>
      <c r="AN57">
        <v>1.8</v>
      </c>
      <c r="AO57">
        <v>0.9</v>
      </c>
      <c r="AP57">
        <v>11.3</v>
      </c>
      <c r="AQ57">
        <v>20.8</v>
      </c>
      <c r="AR57">
        <v>2.7</v>
      </c>
      <c r="AS57">
        <v>1.6</v>
      </c>
      <c r="AT57">
        <v>4.4000000000000004</v>
      </c>
      <c r="AU57">
        <v>8.5000000000000006E-2</v>
      </c>
      <c r="AV57">
        <v>2.5</v>
      </c>
      <c r="AW57">
        <v>-0.6</v>
      </c>
      <c r="AX57">
        <v>1.9</v>
      </c>
      <c r="AY57">
        <v>2.4</v>
      </c>
      <c r="AZ57" s="8">
        <f t="shared" si="0"/>
        <v>3.1500000000000004</v>
      </c>
      <c r="BA57" s="8">
        <f t="shared" si="1"/>
        <v>0.14874101356376387</v>
      </c>
    </row>
    <row r="58" spans="1:53" x14ac:dyDescent="0.25">
      <c r="A58" t="s">
        <v>136</v>
      </c>
      <c r="B58" s="2">
        <v>21100000</v>
      </c>
      <c r="C58" t="s">
        <v>75</v>
      </c>
      <c r="D58">
        <v>26</v>
      </c>
      <c r="E58" t="s">
        <v>116</v>
      </c>
      <c r="F58">
        <v>79</v>
      </c>
      <c r="G58">
        <v>79</v>
      </c>
      <c r="H58">
        <v>34.6</v>
      </c>
      <c r="I58">
        <v>7.3</v>
      </c>
      <c r="J58">
        <v>11.9</v>
      </c>
      <c r="K58">
        <v>0.61499999999999999</v>
      </c>
      <c r="L58">
        <v>0.4</v>
      </c>
      <c r="M58">
        <v>1.1000000000000001</v>
      </c>
      <c r="N58">
        <v>0.373</v>
      </c>
      <c r="O58">
        <v>6.9</v>
      </c>
      <c r="P58">
        <v>10.8</v>
      </c>
      <c r="Q58">
        <v>0.63900000000000001</v>
      </c>
      <c r="R58">
        <v>0.63200000000000001</v>
      </c>
      <c r="S58">
        <v>4.0999999999999996</v>
      </c>
      <c r="T58">
        <v>5.5</v>
      </c>
      <c r="U58">
        <v>0.74199999999999999</v>
      </c>
      <c r="V58">
        <v>3.2</v>
      </c>
      <c r="W58">
        <v>9.1</v>
      </c>
      <c r="X58">
        <v>12.3</v>
      </c>
      <c r="Y58">
        <v>7.3</v>
      </c>
      <c r="Z58">
        <v>0.8</v>
      </c>
      <c r="AA58">
        <v>0.5</v>
      </c>
      <c r="AB58">
        <v>2.9</v>
      </c>
      <c r="AC58">
        <v>3.5</v>
      </c>
      <c r="AD58">
        <v>19.100000000000001</v>
      </c>
      <c r="AE58">
        <v>2736</v>
      </c>
      <c r="AF58">
        <v>23.5</v>
      </c>
      <c r="AG58">
        <v>0.66800000000000004</v>
      </c>
      <c r="AH58">
        <v>8.7999999999999995E-2</v>
      </c>
      <c r="AI58">
        <v>0.46700000000000003</v>
      </c>
      <c r="AJ58">
        <v>10.6</v>
      </c>
      <c r="AK58">
        <v>30</v>
      </c>
      <c r="AL58">
        <v>20.3</v>
      </c>
      <c r="AM58">
        <v>30.4</v>
      </c>
      <c r="AN58">
        <v>1.1000000000000001</v>
      </c>
      <c r="AO58">
        <v>1.2</v>
      </c>
      <c r="AP58">
        <v>16.899999999999999</v>
      </c>
      <c r="AQ58">
        <v>21.3</v>
      </c>
      <c r="AR58">
        <v>9.6</v>
      </c>
      <c r="AS58">
        <v>3</v>
      </c>
      <c r="AT58">
        <v>12.6</v>
      </c>
      <c r="AU58">
        <v>0.221</v>
      </c>
      <c r="AV58">
        <v>4.0999999999999996</v>
      </c>
      <c r="AW58">
        <v>1.8</v>
      </c>
      <c r="AX58">
        <v>5.8</v>
      </c>
      <c r="AY58">
        <v>5.4</v>
      </c>
      <c r="AZ58" s="8">
        <f t="shared" si="0"/>
        <v>9.1999999999999993</v>
      </c>
      <c r="BA58" s="8">
        <f t="shared" si="1"/>
        <v>0.43601895734597157</v>
      </c>
    </row>
    <row r="59" spans="1:53" x14ac:dyDescent="0.25">
      <c r="A59" t="s">
        <v>137</v>
      </c>
      <c r="B59" s="2">
        <v>20955000</v>
      </c>
      <c r="C59" t="s">
        <v>28</v>
      </c>
      <c r="D59">
        <v>28</v>
      </c>
      <c r="E59" t="s">
        <v>70</v>
      </c>
      <c r="F59">
        <v>63</v>
      </c>
      <c r="G59">
        <v>63</v>
      </c>
      <c r="H59">
        <v>35.700000000000003</v>
      </c>
      <c r="I59">
        <v>6.9</v>
      </c>
      <c r="J59">
        <v>14.5</v>
      </c>
      <c r="K59">
        <v>0.47499999999999998</v>
      </c>
      <c r="L59">
        <v>2.2999999999999998</v>
      </c>
      <c r="M59">
        <v>5.7</v>
      </c>
      <c r="N59">
        <v>0.40100000000000002</v>
      </c>
      <c r="O59">
        <v>4.5999999999999996</v>
      </c>
      <c r="P59">
        <v>8.8000000000000007</v>
      </c>
      <c r="Q59">
        <v>0.52300000000000002</v>
      </c>
      <c r="R59">
        <v>0.55400000000000005</v>
      </c>
      <c r="S59">
        <v>4.4000000000000004</v>
      </c>
      <c r="T59">
        <v>5.4</v>
      </c>
      <c r="U59">
        <v>0.81299999999999994</v>
      </c>
      <c r="V59">
        <v>0.8</v>
      </c>
      <c r="W59">
        <v>3.7</v>
      </c>
      <c r="X59">
        <v>4.5</v>
      </c>
      <c r="Y59">
        <v>2.4</v>
      </c>
      <c r="Z59">
        <v>0.8</v>
      </c>
      <c r="AA59">
        <v>0.8</v>
      </c>
      <c r="AB59">
        <v>1.8</v>
      </c>
      <c r="AC59">
        <v>2.4</v>
      </c>
      <c r="AD59">
        <v>20.5</v>
      </c>
      <c r="AE59">
        <v>2246</v>
      </c>
      <c r="AF59">
        <v>16</v>
      </c>
      <c r="AG59">
        <v>0.60599999999999998</v>
      </c>
      <c r="AH59">
        <v>0.39300000000000002</v>
      </c>
      <c r="AI59">
        <v>0.375</v>
      </c>
      <c r="AJ59">
        <v>2.7</v>
      </c>
      <c r="AK59">
        <v>11.9</v>
      </c>
      <c r="AL59">
        <v>7.2</v>
      </c>
      <c r="AM59">
        <v>10.3</v>
      </c>
      <c r="AN59">
        <v>1.1000000000000001</v>
      </c>
      <c r="AO59">
        <v>2.1</v>
      </c>
      <c r="AP59">
        <v>9.8000000000000007</v>
      </c>
      <c r="AQ59">
        <v>22.8</v>
      </c>
      <c r="AR59">
        <v>3.1</v>
      </c>
      <c r="AS59">
        <v>1</v>
      </c>
      <c r="AT59">
        <v>4.0999999999999996</v>
      </c>
      <c r="AU59">
        <v>8.6999999999999994E-2</v>
      </c>
      <c r="AV59">
        <v>1.2</v>
      </c>
      <c r="AW59">
        <v>-1.4</v>
      </c>
      <c r="AX59">
        <v>-0.2</v>
      </c>
      <c r="AY59">
        <v>1</v>
      </c>
      <c r="AZ59" s="8">
        <f t="shared" si="0"/>
        <v>1.9499999999999997</v>
      </c>
      <c r="BA59" s="8">
        <f t="shared" si="1"/>
        <v>9.3056549749463119E-2</v>
      </c>
    </row>
    <row r="60" spans="1:53" x14ac:dyDescent="0.25">
      <c r="A60" t="s">
        <v>138</v>
      </c>
      <c r="B60" s="2">
        <v>20690909</v>
      </c>
      <c r="C60" t="s">
        <v>28</v>
      </c>
      <c r="D60">
        <v>27</v>
      </c>
      <c r="E60" t="s">
        <v>103</v>
      </c>
      <c r="F60">
        <v>68</v>
      </c>
      <c r="G60">
        <v>68</v>
      </c>
      <c r="H60">
        <v>30.2</v>
      </c>
      <c r="I60">
        <v>6.3</v>
      </c>
      <c r="J60">
        <v>11.2</v>
      </c>
      <c r="K60">
        <v>0.56399999999999995</v>
      </c>
      <c r="L60">
        <v>0.9</v>
      </c>
      <c r="M60">
        <v>2.5</v>
      </c>
      <c r="N60">
        <v>0.34699999999999998</v>
      </c>
      <c r="O60">
        <v>5.4</v>
      </c>
      <c r="P60">
        <v>8.6</v>
      </c>
      <c r="Q60">
        <v>0.628</v>
      </c>
      <c r="R60">
        <v>0.60299999999999998</v>
      </c>
      <c r="S60">
        <v>2.8</v>
      </c>
      <c r="T60">
        <v>4.5999999999999996</v>
      </c>
      <c r="U60">
        <v>0.60799999999999998</v>
      </c>
      <c r="V60">
        <v>2.4</v>
      </c>
      <c r="W60">
        <v>4.0999999999999996</v>
      </c>
      <c r="X60">
        <v>6.6</v>
      </c>
      <c r="Y60">
        <v>3</v>
      </c>
      <c r="Z60">
        <v>0.8</v>
      </c>
      <c r="AA60">
        <v>0.8</v>
      </c>
      <c r="AB60">
        <v>1.4</v>
      </c>
      <c r="AC60">
        <v>1.9</v>
      </c>
      <c r="AD60">
        <v>16.3</v>
      </c>
      <c r="AE60">
        <v>2055</v>
      </c>
      <c r="AF60">
        <v>19.5</v>
      </c>
      <c r="AG60">
        <v>0.61699999999999999</v>
      </c>
      <c r="AH60">
        <v>0.22700000000000001</v>
      </c>
      <c r="AI60">
        <v>0.41299999999999998</v>
      </c>
      <c r="AJ60">
        <v>9.4</v>
      </c>
      <c r="AK60">
        <v>15.4</v>
      </c>
      <c r="AL60">
        <v>12.5</v>
      </c>
      <c r="AM60">
        <v>14.2</v>
      </c>
      <c r="AN60">
        <v>1.3</v>
      </c>
      <c r="AO60">
        <v>2.2000000000000002</v>
      </c>
      <c r="AP60">
        <v>9.8000000000000007</v>
      </c>
      <c r="AQ60">
        <v>21.1</v>
      </c>
      <c r="AR60">
        <v>4.5999999999999996</v>
      </c>
      <c r="AS60">
        <v>2.2000000000000002</v>
      </c>
      <c r="AT60">
        <v>6.8</v>
      </c>
      <c r="AU60">
        <v>0.158</v>
      </c>
      <c r="AV60">
        <v>2.4</v>
      </c>
      <c r="AW60">
        <v>-0.3</v>
      </c>
      <c r="AX60">
        <v>2.1</v>
      </c>
      <c r="AY60">
        <v>2.1</v>
      </c>
      <c r="AZ60" s="8">
        <f t="shared" si="0"/>
        <v>4.45</v>
      </c>
      <c r="BA60" s="8">
        <f t="shared" si="1"/>
        <v>0.21507029971472011</v>
      </c>
    </row>
    <row r="61" spans="1:53" x14ac:dyDescent="0.25">
      <c r="A61" t="s">
        <v>139</v>
      </c>
      <c r="B61" s="2">
        <v>20100000</v>
      </c>
      <c r="C61" t="s">
        <v>62</v>
      </c>
      <c r="D61">
        <v>26</v>
      </c>
      <c r="E61" t="s">
        <v>60</v>
      </c>
      <c r="F61">
        <v>83</v>
      </c>
      <c r="G61">
        <v>83</v>
      </c>
      <c r="H61">
        <v>35.700000000000003</v>
      </c>
      <c r="I61">
        <v>7.1</v>
      </c>
      <c r="J61">
        <v>15.3</v>
      </c>
      <c r="K61">
        <v>0.46800000000000003</v>
      </c>
      <c r="L61">
        <v>2</v>
      </c>
      <c r="M61">
        <v>5.3</v>
      </c>
      <c r="N61">
        <v>0.38200000000000001</v>
      </c>
      <c r="O61">
        <v>5.0999999999999996</v>
      </c>
      <c r="P61">
        <v>9.9</v>
      </c>
      <c r="Q61">
        <v>0.51400000000000001</v>
      </c>
      <c r="R61">
        <v>0.53500000000000003</v>
      </c>
      <c r="S61">
        <v>3.8</v>
      </c>
      <c r="T61">
        <v>4.3</v>
      </c>
      <c r="U61">
        <v>0.89500000000000002</v>
      </c>
      <c r="V61">
        <v>1</v>
      </c>
      <c r="W61">
        <v>3.4</v>
      </c>
      <c r="X61">
        <v>4.4000000000000004</v>
      </c>
      <c r="Y61">
        <v>3.3</v>
      </c>
      <c r="Z61">
        <v>1.1000000000000001</v>
      </c>
      <c r="AA61">
        <v>0.7</v>
      </c>
      <c r="AB61">
        <v>1.5</v>
      </c>
      <c r="AC61">
        <v>1.9</v>
      </c>
      <c r="AD61">
        <v>20.100000000000001</v>
      </c>
      <c r="AE61">
        <v>2963</v>
      </c>
      <c r="AF61">
        <v>16.8</v>
      </c>
      <c r="AG61">
        <v>0.58699999999999997</v>
      </c>
      <c r="AH61">
        <v>0.34899999999999998</v>
      </c>
      <c r="AI61">
        <v>0.27900000000000003</v>
      </c>
      <c r="AJ61">
        <v>2.9</v>
      </c>
      <c r="AK61">
        <v>10.8</v>
      </c>
      <c r="AL61">
        <v>6.8</v>
      </c>
      <c r="AM61">
        <v>13.7</v>
      </c>
      <c r="AN61">
        <v>1.5</v>
      </c>
      <c r="AO61">
        <v>1.8</v>
      </c>
      <c r="AP61">
        <v>8.1999999999999993</v>
      </c>
      <c r="AQ61">
        <v>22.6</v>
      </c>
      <c r="AR61">
        <v>4.4000000000000004</v>
      </c>
      <c r="AS61">
        <v>3.1</v>
      </c>
      <c r="AT61">
        <v>7.5</v>
      </c>
      <c r="AU61">
        <v>0.121</v>
      </c>
      <c r="AV61">
        <v>1.5</v>
      </c>
      <c r="AW61">
        <v>0.2</v>
      </c>
      <c r="AX61">
        <v>1.7</v>
      </c>
      <c r="AY61">
        <v>2.8</v>
      </c>
      <c r="AZ61" s="8">
        <f t="shared" si="0"/>
        <v>4.5999999999999996</v>
      </c>
      <c r="BA61" s="8">
        <f t="shared" si="1"/>
        <v>0.22885572139303484</v>
      </c>
    </row>
    <row r="62" spans="1:53" x14ac:dyDescent="0.25">
      <c r="A62" t="s">
        <v>140</v>
      </c>
      <c r="B62" s="2">
        <v>20000000</v>
      </c>
      <c r="C62" t="s">
        <v>75</v>
      </c>
      <c r="D62">
        <v>24</v>
      </c>
      <c r="E62" t="s">
        <v>107</v>
      </c>
      <c r="F62">
        <v>68</v>
      </c>
      <c r="G62">
        <v>68</v>
      </c>
      <c r="H62">
        <v>32.6</v>
      </c>
      <c r="I62">
        <v>5.9</v>
      </c>
      <c r="J62">
        <v>9.1999999999999993</v>
      </c>
      <c r="K62">
        <v>0.64400000000000002</v>
      </c>
      <c r="L62">
        <v>0</v>
      </c>
      <c r="M62">
        <v>0.1</v>
      </c>
      <c r="N62">
        <v>0.1</v>
      </c>
      <c r="O62">
        <v>5.9</v>
      </c>
      <c r="P62">
        <v>9.1</v>
      </c>
      <c r="Q62">
        <v>0.65300000000000002</v>
      </c>
      <c r="R62">
        <v>0.64500000000000002</v>
      </c>
      <c r="S62">
        <v>2.4</v>
      </c>
      <c r="T62">
        <v>3.3</v>
      </c>
      <c r="U62">
        <v>0.73299999999999998</v>
      </c>
      <c r="V62">
        <v>3.3</v>
      </c>
      <c r="W62">
        <v>6.5</v>
      </c>
      <c r="X62">
        <v>9.8000000000000007</v>
      </c>
      <c r="Y62">
        <v>1.7</v>
      </c>
      <c r="Z62">
        <v>0.8</v>
      </c>
      <c r="AA62">
        <v>1.2</v>
      </c>
      <c r="AB62">
        <v>1.4</v>
      </c>
      <c r="AC62">
        <v>2.2999999999999998</v>
      </c>
      <c r="AD62">
        <v>14.3</v>
      </c>
      <c r="AE62">
        <v>2220</v>
      </c>
      <c r="AF62">
        <v>19.899999999999999</v>
      </c>
      <c r="AG62">
        <v>0.67</v>
      </c>
      <c r="AH62">
        <v>1.6E-2</v>
      </c>
      <c r="AI62">
        <v>0.35299999999999998</v>
      </c>
      <c r="AJ62">
        <v>11.7</v>
      </c>
      <c r="AK62">
        <v>23.6</v>
      </c>
      <c r="AL62">
        <v>17.7</v>
      </c>
      <c r="AM62">
        <v>7.5</v>
      </c>
      <c r="AN62">
        <v>1.2</v>
      </c>
      <c r="AO62">
        <v>3.5</v>
      </c>
      <c r="AP62">
        <v>11.4</v>
      </c>
      <c r="AQ62">
        <v>16.399999999999999</v>
      </c>
      <c r="AR62">
        <v>5.5</v>
      </c>
      <c r="AS62">
        <v>4</v>
      </c>
      <c r="AT62">
        <v>9.5</v>
      </c>
      <c r="AU62">
        <v>0.20499999999999999</v>
      </c>
      <c r="AV62">
        <v>1.3</v>
      </c>
      <c r="AW62">
        <v>1</v>
      </c>
      <c r="AX62">
        <v>2.4</v>
      </c>
      <c r="AY62">
        <v>2.4</v>
      </c>
      <c r="AZ62" s="8">
        <f t="shared" si="0"/>
        <v>5.95</v>
      </c>
      <c r="BA62" s="8">
        <f t="shared" si="1"/>
        <v>0.29749999999999999</v>
      </c>
    </row>
    <row r="63" spans="1:53" x14ac:dyDescent="0.25">
      <c r="A63" t="s">
        <v>141</v>
      </c>
      <c r="B63" s="2">
        <v>19700319</v>
      </c>
      <c r="C63" t="s">
        <v>28</v>
      </c>
      <c r="D63">
        <v>34</v>
      </c>
      <c r="E63" t="s">
        <v>55</v>
      </c>
      <c r="F63">
        <v>78</v>
      </c>
      <c r="G63">
        <v>19</v>
      </c>
      <c r="H63">
        <v>21.9</v>
      </c>
      <c r="I63">
        <v>2.1</v>
      </c>
      <c r="J63">
        <v>4.9000000000000004</v>
      </c>
      <c r="K63">
        <v>0.42</v>
      </c>
      <c r="L63">
        <v>1.6</v>
      </c>
      <c r="M63">
        <v>4.0999999999999996</v>
      </c>
      <c r="N63">
        <v>0.39100000000000001</v>
      </c>
      <c r="O63">
        <v>0.5</v>
      </c>
      <c r="P63">
        <v>0.8</v>
      </c>
      <c r="Q63">
        <v>0.56299999999999994</v>
      </c>
      <c r="R63">
        <v>0.58299999999999996</v>
      </c>
      <c r="S63">
        <v>0.4</v>
      </c>
      <c r="T63">
        <v>0.6</v>
      </c>
      <c r="U63">
        <v>0.70799999999999996</v>
      </c>
      <c r="V63">
        <v>0.8</v>
      </c>
      <c r="W63">
        <v>3</v>
      </c>
      <c r="X63">
        <v>3.8</v>
      </c>
      <c r="Y63">
        <v>1.6</v>
      </c>
      <c r="Z63">
        <v>0.7</v>
      </c>
      <c r="AA63">
        <v>0.6</v>
      </c>
      <c r="AB63">
        <v>0.6</v>
      </c>
      <c r="AC63">
        <v>1.9</v>
      </c>
      <c r="AD63">
        <v>6.1</v>
      </c>
      <c r="AE63">
        <v>1709</v>
      </c>
      <c r="AF63">
        <v>11</v>
      </c>
      <c r="AG63">
        <v>0.59399999999999997</v>
      </c>
      <c r="AH63">
        <v>0.83199999999999996</v>
      </c>
      <c r="AI63">
        <v>0.126</v>
      </c>
      <c r="AJ63">
        <v>4.0999999999999996</v>
      </c>
      <c r="AK63">
        <v>15.4</v>
      </c>
      <c r="AL63">
        <v>9.8000000000000007</v>
      </c>
      <c r="AM63">
        <v>9.4</v>
      </c>
      <c r="AN63">
        <v>1.5</v>
      </c>
      <c r="AO63">
        <v>2.2999999999999998</v>
      </c>
      <c r="AP63">
        <v>11.1</v>
      </c>
      <c r="AQ63">
        <v>11.5</v>
      </c>
      <c r="AR63">
        <v>1.7</v>
      </c>
      <c r="AS63">
        <v>1.9</v>
      </c>
      <c r="AT63">
        <v>3.6</v>
      </c>
      <c r="AU63">
        <v>0.10100000000000001</v>
      </c>
      <c r="AV63">
        <v>-0.8</v>
      </c>
      <c r="AW63">
        <v>1.2</v>
      </c>
      <c r="AX63">
        <v>0.5</v>
      </c>
      <c r="AY63">
        <v>1</v>
      </c>
      <c r="AZ63" s="8">
        <f t="shared" si="0"/>
        <v>2.0499999999999998</v>
      </c>
      <c r="BA63" s="8">
        <f t="shared" si="1"/>
        <v>0.10405922868558624</v>
      </c>
    </row>
    <row r="64" spans="1:53" x14ac:dyDescent="0.25">
      <c r="A64" t="s">
        <v>142</v>
      </c>
      <c r="B64" s="2">
        <v>19568360</v>
      </c>
      <c r="C64" t="s">
        <v>62</v>
      </c>
      <c r="D64">
        <v>34</v>
      </c>
      <c r="E64" t="s">
        <v>55</v>
      </c>
      <c r="F64">
        <v>69</v>
      </c>
      <c r="G64">
        <v>58</v>
      </c>
      <c r="H64">
        <v>28.5</v>
      </c>
      <c r="I64">
        <v>4.2</v>
      </c>
      <c r="J64">
        <v>9.5</v>
      </c>
      <c r="K64">
        <v>0.44600000000000001</v>
      </c>
      <c r="L64">
        <v>1.9</v>
      </c>
      <c r="M64">
        <v>5.2</v>
      </c>
      <c r="N64">
        <v>0.371</v>
      </c>
      <c r="O64">
        <v>2.2999999999999998</v>
      </c>
      <c r="P64">
        <v>4.3</v>
      </c>
      <c r="Q64">
        <v>0.53500000000000003</v>
      </c>
      <c r="R64">
        <v>0.54700000000000004</v>
      </c>
      <c r="S64">
        <v>2.1</v>
      </c>
      <c r="T64">
        <v>2.5</v>
      </c>
      <c r="U64">
        <v>0.82099999999999995</v>
      </c>
      <c r="V64">
        <v>0.2</v>
      </c>
      <c r="W64">
        <v>1.7</v>
      </c>
      <c r="X64">
        <v>1.9</v>
      </c>
      <c r="Y64">
        <v>2.7</v>
      </c>
      <c r="Z64">
        <v>0.6</v>
      </c>
      <c r="AA64">
        <v>0.4</v>
      </c>
      <c r="AB64">
        <v>1.5</v>
      </c>
      <c r="AC64">
        <v>1.1000000000000001</v>
      </c>
      <c r="AD64">
        <v>12.4</v>
      </c>
      <c r="AE64">
        <v>1965</v>
      </c>
      <c r="AF64">
        <v>11.8</v>
      </c>
      <c r="AG64">
        <v>0.58699999999999997</v>
      </c>
      <c r="AH64">
        <v>0.54500000000000004</v>
      </c>
      <c r="AI64">
        <v>0.26500000000000001</v>
      </c>
      <c r="AJ64">
        <v>0.9</v>
      </c>
      <c r="AK64">
        <v>6.7</v>
      </c>
      <c r="AL64">
        <v>3.8</v>
      </c>
      <c r="AM64">
        <v>13.4</v>
      </c>
      <c r="AN64">
        <v>1.1000000000000001</v>
      </c>
      <c r="AO64">
        <v>1.2</v>
      </c>
      <c r="AP64">
        <v>12.5</v>
      </c>
      <c r="AQ64">
        <v>17.8</v>
      </c>
      <c r="AR64">
        <v>1.8</v>
      </c>
      <c r="AS64">
        <v>0.5</v>
      </c>
      <c r="AT64">
        <v>2.2999999999999998</v>
      </c>
      <c r="AU64">
        <v>5.6000000000000001E-2</v>
      </c>
      <c r="AV64">
        <v>-0.5</v>
      </c>
      <c r="AW64">
        <v>-1.4</v>
      </c>
      <c r="AX64">
        <v>-1.9</v>
      </c>
      <c r="AY64">
        <v>0.1</v>
      </c>
      <c r="AZ64" s="8">
        <f t="shared" si="0"/>
        <v>0.19999999999999996</v>
      </c>
      <c r="BA64" s="8">
        <f t="shared" si="1"/>
        <v>1.0220580569858688E-2</v>
      </c>
    </row>
    <row r="65" spans="1:53" x14ac:dyDescent="0.25">
      <c r="A65" t="s">
        <v>143</v>
      </c>
      <c r="B65" s="2">
        <v>19500000</v>
      </c>
      <c r="C65" t="s">
        <v>52</v>
      </c>
      <c r="D65">
        <v>29</v>
      </c>
      <c r="E65" t="s">
        <v>73</v>
      </c>
      <c r="F65">
        <v>79</v>
      </c>
      <c r="G65">
        <v>79</v>
      </c>
      <c r="H65">
        <v>34.5</v>
      </c>
      <c r="I65">
        <v>5.8</v>
      </c>
      <c r="J65">
        <v>13.3</v>
      </c>
      <c r="K65">
        <v>0.438</v>
      </c>
      <c r="L65">
        <v>2.2999999999999998</v>
      </c>
      <c r="M65">
        <v>6.2</v>
      </c>
      <c r="N65">
        <v>0.36899999999999999</v>
      </c>
      <c r="O65">
        <v>3.5</v>
      </c>
      <c r="P65">
        <v>7.1</v>
      </c>
      <c r="Q65">
        <v>0.498</v>
      </c>
      <c r="R65">
        <v>0.52400000000000002</v>
      </c>
      <c r="S65">
        <v>3.4</v>
      </c>
      <c r="T65">
        <v>4.2</v>
      </c>
      <c r="U65">
        <v>0.81200000000000006</v>
      </c>
      <c r="V65">
        <v>0.4</v>
      </c>
      <c r="W65">
        <v>3.1</v>
      </c>
      <c r="X65">
        <v>3.4</v>
      </c>
      <c r="Y65">
        <v>6.5</v>
      </c>
      <c r="Z65">
        <v>0.8</v>
      </c>
      <c r="AA65">
        <v>0.3</v>
      </c>
      <c r="AB65">
        <v>1.8</v>
      </c>
      <c r="AC65">
        <v>2.4</v>
      </c>
      <c r="AD65">
        <v>17.3</v>
      </c>
      <c r="AE65">
        <v>2725</v>
      </c>
      <c r="AF65">
        <v>16</v>
      </c>
      <c r="AG65">
        <v>0.57299999999999995</v>
      </c>
      <c r="AH65">
        <v>0.46700000000000003</v>
      </c>
      <c r="AI65">
        <v>0.314</v>
      </c>
      <c r="AJ65">
        <v>1.2</v>
      </c>
      <c r="AK65">
        <v>10.199999999999999</v>
      </c>
      <c r="AL65">
        <v>5.7</v>
      </c>
      <c r="AM65">
        <v>28.1</v>
      </c>
      <c r="AN65">
        <v>1.2</v>
      </c>
      <c r="AO65">
        <v>0.8</v>
      </c>
      <c r="AP65">
        <v>10.8</v>
      </c>
      <c r="AQ65">
        <v>22.1</v>
      </c>
      <c r="AR65">
        <v>4.5</v>
      </c>
      <c r="AS65">
        <v>1.8</v>
      </c>
      <c r="AT65">
        <v>6.3</v>
      </c>
      <c r="AU65">
        <v>0.111</v>
      </c>
      <c r="AV65">
        <v>1.6</v>
      </c>
      <c r="AW65">
        <v>-0.9</v>
      </c>
      <c r="AX65">
        <v>0.7</v>
      </c>
      <c r="AY65">
        <v>1.8</v>
      </c>
      <c r="AZ65" s="8">
        <f t="shared" si="0"/>
        <v>3.5</v>
      </c>
      <c r="BA65" s="8">
        <f t="shared" si="1"/>
        <v>0.17948717948717949</v>
      </c>
    </row>
    <row r="66" spans="1:53" x14ac:dyDescent="0.25">
      <c r="A66" t="s">
        <v>144</v>
      </c>
      <c r="B66" s="2">
        <v>18796296</v>
      </c>
      <c r="C66" t="s">
        <v>62</v>
      </c>
      <c r="D66">
        <v>28</v>
      </c>
      <c r="E66" t="s">
        <v>107</v>
      </c>
      <c r="F66">
        <v>74</v>
      </c>
      <c r="G66">
        <v>30</v>
      </c>
      <c r="H66">
        <v>30.2</v>
      </c>
      <c r="I66">
        <v>4.3</v>
      </c>
      <c r="J66">
        <v>10</v>
      </c>
      <c r="K66">
        <v>0.43099999999999999</v>
      </c>
      <c r="L66">
        <v>1.7</v>
      </c>
      <c r="M66">
        <v>4.4000000000000004</v>
      </c>
      <c r="N66">
        <v>0.39200000000000002</v>
      </c>
      <c r="O66">
        <v>2.6</v>
      </c>
      <c r="P66">
        <v>5.6</v>
      </c>
      <c r="Q66">
        <v>0.46200000000000002</v>
      </c>
      <c r="R66">
        <v>0.51700000000000002</v>
      </c>
      <c r="S66">
        <v>1.8</v>
      </c>
      <c r="T66">
        <v>2.4</v>
      </c>
      <c r="U66">
        <v>0.72199999999999998</v>
      </c>
      <c r="V66">
        <v>0.7</v>
      </c>
      <c r="W66">
        <v>3.1</v>
      </c>
      <c r="X66">
        <v>3.8</v>
      </c>
      <c r="Y66">
        <v>3.9</v>
      </c>
      <c r="Z66">
        <v>1</v>
      </c>
      <c r="AA66">
        <v>0.3</v>
      </c>
      <c r="AB66">
        <v>1.6</v>
      </c>
      <c r="AC66">
        <v>2.2999999999999998</v>
      </c>
      <c r="AD66">
        <v>12.1</v>
      </c>
      <c r="AE66">
        <v>2237</v>
      </c>
      <c r="AF66">
        <v>12.4</v>
      </c>
      <c r="AG66">
        <v>0.54600000000000004</v>
      </c>
      <c r="AH66">
        <v>0.437</v>
      </c>
      <c r="AI66">
        <v>0.24299999999999999</v>
      </c>
      <c r="AJ66">
        <v>2.8</v>
      </c>
      <c r="AK66">
        <v>12.1</v>
      </c>
      <c r="AL66">
        <v>7.4</v>
      </c>
      <c r="AM66">
        <v>18</v>
      </c>
      <c r="AN66">
        <v>1.6</v>
      </c>
      <c r="AO66">
        <v>1</v>
      </c>
      <c r="AP66">
        <v>12.4</v>
      </c>
      <c r="AQ66">
        <v>18.7</v>
      </c>
      <c r="AR66">
        <v>1.4</v>
      </c>
      <c r="AS66">
        <v>3.1</v>
      </c>
      <c r="AT66">
        <v>4.4000000000000004</v>
      </c>
      <c r="AU66">
        <v>9.5000000000000001E-2</v>
      </c>
      <c r="AV66">
        <v>-1</v>
      </c>
      <c r="AW66">
        <v>0.8</v>
      </c>
      <c r="AX66">
        <v>-0.2</v>
      </c>
      <c r="AY66">
        <v>1</v>
      </c>
      <c r="AZ66" s="8">
        <f t="shared" si="0"/>
        <v>2.1</v>
      </c>
      <c r="BA66" s="8">
        <f t="shared" si="1"/>
        <v>0.11172413969220318</v>
      </c>
    </row>
    <row r="67" spans="1:53" x14ac:dyDescent="0.25">
      <c r="A67" t="s">
        <v>145</v>
      </c>
      <c r="B67" s="2">
        <v>18642857</v>
      </c>
      <c r="C67" t="s">
        <v>65</v>
      </c>
      <c r="D67">
        <v>31</v>
      </c>
      <c r="E67" t="s">
        <v>89</v>
      </c>
      <c r="F67">
        <v>74</v>
      </c>
      <c r="G67">
        <v>33</v>
      </c>
      <c r="H67">
        <v>20.6</v>
      </c>
      <c r="I67">
        <v>2.7</v>
      </c>
      <c r="J67">
        <v>5.9</v>
      </c>
      <c r="K67">
        <v>0.45700000000000002</v>
      </c>
      <c r="L67">
        <v>1.9</v>
      </c>
      <c r="M67">
        <v>4.5</v>
      </c>
      <c r="N67">
        <v>0.42599999999999999</v>
      </c>
      <c r="O67">
        <v>0.8</v>
      </c>
      <c r="P67">
        <v>1.4</v>
      </c>
      <c r="Q67">
        <v>0.55100000000000005</v>
      </c>
      <c r="R67">
        <v>0.61799999999999999</v>
      </c>
      <c r="S67">
        <v>0.2</v>
      </c>
      <c r="T67">
        <v>0.4</v>
      </c>
      <c r="U67">
        <v>0.64300000000000002</v>
      </c>
      <c r="V67">
        <v>0.3</v>
      </c>
      <c r="W67">
        <v>1.9</v>
      </c>
      <c r="X67">
        <v>2.2000000000000002</v>
      </c>
      <c r="Y67">
        <v>1.4</v>
      </c>
      <c r="Z67">
        <v>0.5</v>
      </c>
      <c r="AA67">
        <v>0.2</v>
      </c>
      <c r="AB67">
        <v>0.6</v>
      </c>
      <c r="AC67">
        <v>1.9</v>
      </c>
      <c r="AD67">
        <v>7.6</v>
      </c>
      <c r="AE67">
        <v>1527</v>
      </c>
      <c r="AF67">
        <v>10.6</v>
      </c>
      <c r="AG67">
        <v>0.621</v>
      </c>
      <c r="AH67">
        <v>0.75700000000000001</v>
      </c>
      <c r="AI67">
        <v>6.4000000000000001E-2</v>
      </c>
      <c r="AJ67">
        <v>1.7</v>
      </c>
      <c r="AK67">
        <v>10.1</v>
      </c>
      <c r="AL67">
        <v>6</v>
      </c>
      <c r="AM67">
        <v>9.1</v>
      </c>
      <c r="AN67">
        <v>1.1000000000000001</v>
      </c>
      <c r="AO67">
        <v>0.7</v>
      </c>
      <c r="AP67">
        <v>8.3000000000000007</v>
      </c>
      <c r="AQ67">
        <v>14.3</v>
      </c>
      <c r="AR67">
        <v>1.5</v>
      </c>
      <c r="AS67">
        <v>1.1000000000000001</v>
      </c>
      <c r="AT67">
        <v>2.6</v>
      </c>
      <c r="AU67">
        <v>8.3000000000000004E-2</v>
      </c>
      <c r="AV67">
        <v>-0.6</v>
      </c>
      <c r="AW67">
        <v>-0.6</v>
      </c>
      <c r="AX67">
        <v>-1.1000000000000001</v>
      </c>
      <c r="AY67">
        <v>0.3</v>
      </c>
      <c r="AZ67" s="8">
        <f t="shared" ref="AZ67:AZ130" si="2">0.5*AX67 + 0.5*AT67</f>
        <v>0.75</v>
      </c>
      <c r="BA67" s="8">
        <f t="shared" ref="BA67:BA130" si="3">IF(B67&gt;0, AZ67*1000000/B67, 0)</f>
        <v>4.0229885365746246E-2</v>
      </c>
    </row>
    <row r="68" spans="1:53" x14ac:dyDescent="0.25">
      <c r="A68" t="s">
        <v>146</v>
      </c>
      <c r="B68" s="2">
        <v>18352273</v>
      </c>
      <c r="C68" t="s">
        <v>28</v>
      </c>
      <c r="D68">
        <v>30</v>
      </c>
      <c r="E68" t="s">
        <v>116</v>
      </c>
      <c r="F68">
        <v>82</v>
      </c>
      <c r="G68">
        <v>82</v>
      </c>
      <c r="H68">
        <v>32.5</v>
      </c>
      <c r="I68">
        <v>4.5999999999999996</v>
      </c>
      <c r="J68">
        <v>9.6</v>
      </c>
      <c r="K68">
        <v>0.47299999999999998</v>
      </c>
      <c r="L68">
        <v>1.6</v>
      </c>
      <c r="M68">
        <v>4.3</v>
      </c>
      <c r="N68">
        <v>0.374</v>
      </c>
      <c r="O68">
        <v>3</v>
      </c>
      <c r="P68">
        <v>5.3</v>
      </c>
      <c r="Q68">
        <v>0.55300000000000005</v>
      </c>
      <c r="R68">
        <v>0.55600000000000005</v>
      </c>
      <c r="S68">
        <v>4.3</v>
      </c>
      <c r="T68">
        <v>5</v>
      </c>
      <c r="U68">
        <v>0.84699999999999998</v>
      </c>
      <c r="V68">
        <v>1.1000000000000001</v>
      </c>
      <c r="W68">
        <v>3.4</v>
      </c>
      <c r="X68">
        <v>4.5</v>
      </c>
      <c r="Y68">
        <v>1.6</v>
      </c>
      <c r="Z68">
        <v>0.7</v>
      </c>
      <c r="AA68">
        <v>0.1</v>
      </c>
      <c r="AB68">
        <v>1</v>
      </c>
      <c r="AC68">
        <v>1.3</v>
      </c>
      <c r="AD68">
        <v>15</v>
      </c>
      <c r="AE68">
        <v>2662</v>
      </c>
      <c r="AF68">
        <v>14.1</v>
      </c>
      <c r="AG68">
        <v>0.63200000000000001</v>
      </c>
      <c r="AH68">
        <v>0.44600000000000001</v>
      </c>
      <c r="AI68">
        <v>0.52200000000000002</v>
      </c>
      <c r="AJ68">
        <v>3.8</v>
      </c>
      <c r="AK68">
        <v>11.9</v>
      </c>
      <c r="AL68">
        <v>7.9</v>
      </c>
      <c r="AM68">
        <v>6.3</v>
      </c>
      <c r="AN68">
        <v>1</v>
      </c>
      <c r="AO68">
        <v>0.3</v>
      </c>
      <c r="AP68">
        <v>8.1</v>
      </c>
      <c r="AQ68">
        <v>17.100000000000001</v>
      </c>
      <c r="AR68">
        <v>5.0999999999999996</v>
      </c>
      <c r="AS68">
        <v>1.4</v>
      </c>
      <c r="AT68">
        <v>6.5</v>
      </c>
      <c r="AU68">
        <v>0.11799999999999999</v>
      </c>
      <c r="AV68">
        <v>0.5</v>
      </c>
      <c r="AW68">
        <v>-1.5</v>
      </c>
      <c r="AX68">
        <v>-1</v>
      </c>
      <c r="AY68">
        <v>0.7</v>
      </c>
      <c r="AZ68" s="8">
        <f t="shared" si="2"/>
        <v>2.75</v>
      </c>
      <c r="BA68" s="8">
        <f t="shared" si="3"/>
        <v>0.14984519901158838</v>
      </c>
    </row>
    <row r="69" spans="1:53" x14ac:dyDescent="0.25">
      <c r="A69" t="s">
        <v>147</v>
      </c>
      <c r="B69" s="2">
        <v>18206896</v>
      </c>
      <c r="C69" t="s">
        <v>75</v>
      </c>
      <c r="D69">
        <v>28</v>
      </c>
      <c r="E69" t="s">
        <v>85</v>
      </c>
      <c r="F69">
        <v>65</v>
      </c>
      <c r="G69">
        <v>63</v>
      </c>
      <c r="H69">
        <v>26.6</v>
      </c>
      <c r="I69">
        <v>5.4</v>
      </c>
      <c r="J69">
        <v>8.1999999999999993</v>
      </c>
      <c r="K69">
        <v>0.65300000000000002</v>
      </c>
      <c r="L69">
        <v>0</v>
      </c>
      <c r="M69">
        <v>0</v>
      </c>
      <c r="N69">
        <v>0</v>
      </c>
      <c r="O69">
        <v>5.4</v>
      </c>
      <c r="P69">
        <v>8.1999999999999993</v>
      </c>
      <c r="Q69">
        <v>0.65400000000000003</v>
      </c>
      <c r="R69">
        <v>0.65300000000000002</v>
      </c>
      <c r="S69">
        <v>1.2</v>
      </c>
      <c r="T69">
        <v>2</v>
      </c>
      <c r="U69">
        <v>0.60299999999999998</v>
      </c>
      <c r="V69">
        <v>4</v>
      </c>
      <c r="W69">
        <v>7.1</v>
      </c>
      <c r="X69">
        <v>11</v>
      </c>
      <c r="Y69">
        <v>0.9</v>
      </c>
      <c r="Z69">
        <v>0.7</v>
      </c>
      <c r="AA69">
        <v>1.2</v>
      </c>
      <c r="AB69">
        <v>0.8</v>
      </c>
      <c r="AC69">
        <v>2.1</v>
      </c>
      <c r="AD69">
        <v>12</v>
      </c>
      <c r="AE69">
        <v>1730</v>
      </c>
      <c r="AF69">
        <v>22.1</v>
      </c>
      <c r="AG69">
        <v>0.65600000000000003</v>
      </c>
      <c r="AH69">
        <v>2E-3</v>
      </c>
      <c r="AI69">
        <v>0.24399999999999999</v>
      </c>
      <c r="AJ69">
        <v>16.100000000000001</v>
      </c>
      <c r="AK69">
        <v>29.4</v>
      </c>
      <c r="AL69">
        <v>22.7</v>
      </c>
      <c r="AM69">
        <v>4.7</v>
      </c>
      <c r="AN69">
        <v>1.2</v>
      </c>
      <c r="AO69">
        <v>3.9</v>
      </c>
      <c r="AP69">
        <v>8.3000000000000007</v>
      </c>
      <c r="AQ69">
        <v>15.7</v>
      </c>
      <c r="AR69">
        <v>4.9000000000000004</v>
      </c>
      <c r="AS69">
        <v>2.4</v>
      </c>
      <c r="AT69">
        <v>7.2</v>
      </c>
      <c r="AU69">
        <v>0.20100000000000001</v>
      </c>
      <c r="AV69">
        <v>2.2999999999999998</v>
      </c>
      <c r="AW69">
        <v>-0.1</v>
      </c>
      <c r="AX69">
        <v>2.2000000000000002</v>
      </c>
      <c r="AY69">
        <v>1.8</v>
      </c>
      <c r="AZ69" s="8">
        <f t="shared" si="2"/>
        <v>4.7</v>
      </c>
      <c r="BA69" s="8">
        <f t="shared" si="3"/>
        <v>0.25814394721648326</v>
      </c>
    </row>
    <row r="70" spans="1:53" hidden="1" x14ac:dyDescent="0.25">
      <c r="A70" t="s">
        <v>148</v>
      </c>
      <c r="B70" s="2">
        <v>18000000</v>
      </c>
      <c r="C70" t="s">
        <v>62</v>
      </c>
      <c r="D70">
        <v>30</v>
      </c>
      <c r="E70" t="s">
        <v>123</v>
      </c>
      <c r="F70">
        <v>27</v>
      </c>
      <c r="G70">
        <v>7</v>
      </c>
      <c r="H70">
        <v>17</v>
      </c>
      <c r="I70">
        <v>2.1</v>
      </c>
      <c r="J70">
        <v>6.1</v>
      </c>
      <c r="K70">
        <v>0.33700000000000002</v>
      </c>
      <c r="L70">
        <v>1.3</v>
      </c>
      <c r="M70">
        <v>4.2</v>
      </c>
      <c r="N70">
        <v>0.307</v>
      </c>
      <c r="O70">
        <v>0.8</v>
      </c>
      <c r="P70">
        <v>1.9</v>
      </c>
      <c r="Q70">
        <v>0.40400000000000003</v>
      </c>
      <c r="R70">
        <v>0.443</v>
      </c>
      <c r="S70">
        <v>0.7</v>
      </c>
      <c r="T70">
        <v>0.8</v>
      </c>
      <c r="U70">
        <v>0.85699999999999998</v>
      </c>
      <c r="V70">
        <v>0.1</v>
      </c>
      <c r="W70">
        <v>1.7</v>
      </c>
      <c r="X70">
        <v>1.8</v>
      </c>
      <c r="Y70">
        <v>1.3</v>
      </c>
      <c r="Z70">
        <v>0.6</v>
      </c>
      <c r="AA70">
        <v>0.1</v>
      </c>
      <c r="AB70">
        <v>0.8</v>
      </c>
      <c r="AC70">
        <v>1.7</v>
      </c>
      <c r="AD70">
        <v>6.1</v>
      </c>
      <c r="AE70">
        <v>459</v>
      </c>
      <c r="AF70">
        <v>6.9</v>
      </c>
      <c r="AG70">
        <v>0.47099999999999997</v>
      </c>
      <c r="AH70">
        <v>0.68700000000000006</v>
      </c>
      <c r="AI70">
        <v>0.127</v>
      </c>
      <c r="AJ70">
        <v>1</v>
      </c>
      <c r="AK70">
        <v>10.8</v>
      </c>
      <c r="AL70">
        <v>5.9</v>
      </c>
      <c r="AM70">
        <v>10.6</v>
      </c>
      <c r="AN70">
        <v>1.7</v>
      </c>
      <c r="AO70">
        <v>0.6</v>
      </c>
      <c r="AP70">
        <v>11.2</v>
      </c>
      <c r="AQ70">
        <v>18.399999999999999</v>
      </c>
      <c r="AR70">
        <v>-0.3</v>
      </c>
      <c r="AS70">
        <v>0.4</v>
      </c>
      <c r="AT70">
        <v>0.1</v>
      </c>
      <c r="AU70">
        <v>0.01</v>
      </c>
      <c r="AV70">
        <v>-4</v>
      </c>
      <c r="AW70">
        <v>0</v>
      </c>
      <c r="AX70">
        <v>-4</v>
      </c>
      <c r="AY70">
        <v>-0.2</v>
      </c>
      <c r="AZ70">
        <f t="shared" si="2"/>
        <v>-1.95</v>
      </c>
      <c r="BA70">
        <f t="shared" si="3"/>
        <v>-0.10833333333333334</v>
      </c>
    </row>
    <row r="71" spans="1:53" x14ac:dyDescent="0.25">
      <c r="A71" t="s">
        <v>149</v>
      </c>
      <c r="B71" s="2">
        <v>17926829</v>
      </c>
      <c r="C71" t="s">
        <v>75</v>
      </c>
      <c r="D71">
        <v>29</v>
      </c>
      <c r="E71" t="s">
        <v>150</v>
      </c>
      <c r="F71">
        <v>42</v>
      </c>
      <c r="G71">
        <v>42</v>
      </c>
      <c r="H71">
        <v>27</v>
      </c>
      <c r="I71">
        <v>3.7</v>
      </c>
      <c r="J71">
        <v>6.3</v>
      </c>
      <c r="K71">
        <v>0.59699999999999998</v>
      </c>
      <c r="L71">
        <v>0</v>
      </c>
      <c r="M71">
        <v>0</v>
      </c>
      <c r="N71">
        <v>0</v>
      </c>
      <c r="O71">
        <v>3.7</v>
      </c>
      <c r="P71">
        <v>6.2</v>
      </c>
      <c r="Q71">
        <v>0.59899999999999998</v>
      </c>
      <c r="R71">
        <v>0.59699999999999998</v>
      </c>
      <c r="S71">
        <v>1.1000000000000001</v>
      </c>
      <c r="T71">
        <v>3.1</v>
      </c>
      <c r="U71">
        <v>0.36399999999999999</v>
      </c>
      <c r="V71">
        <v>5.0999999999999996</v>
      </c>
      <c r="W71">
        <v>6.5</v>
      </c>
      <c r="X71">
        <v>11.5</v>
      </c>
      <c r="Y71">
        <v>2.2999999999999998</v>
      </c>
      <c r="Z71">
        <v>0.9</v>
      </c>
      <c r="AA71">
        <v>1.1000000000000001</v>
      </c>
      <c r="AB71">
        <v>1.9</v>
      </c>
      <c r="AC71">
        <v>2.2999999999999998</v>
      </c>
      <c r="AD71">
        <v>8.6</v>
      </c>
      <c r="AE71">
        <v>1133</v>
      </c>
      <c r="AF71">
        <v>17.5</v>
      </c>
      <c r="AG71">
        <v>0.56399999999999995</v>
      </c>
      <c r="AH71">
        <v>4.0000000000000001E-3</v>
      </c>
      <c r="AI71">
        <v>0.49</v>
      </c>
      <c r="AJ71">
        <v>20.100000000000001</v>
      </c>
      <c r="AK71">
        <v>25.3</v>
      </c>
      <c r="AL71">
        <v>22.7</v>
      </c>
      <c r="AM71">
        <v>11.2</v>
      </c>
      <c r="AN71">
        <v>1.5</v>
      </c>
      <c r="AO71">
        <v>3.7</v>
      </c>
      <c r="AP71">
        <v>19.8</v>
      </c>
      <c r="AQ71">
        <v>14.6</v>
      </c>
      <c r="AR71">
        <v>1.3</v>
      </c>
      <c r="AS71">
        <v>2.1</v>
      </c>
      <c r="AT71">
        <v>3.4</v>
      </c>
      <c r="AU71">
        <v>0.14399999999999999</v>
      </c>
      <c r="AV71">
        <v>-0.3</v>
      </c>
      <c r="AW71">
        <v>0.9</v>
      </c>
      <c r="AX71">
        <v>0.6</v>
      </c>
      <c r="AY71">
        <v>0.7</v>
      </c>
      <c r="AZ71" s="8">
        <f t="shared" si="2"/>
        <v>2</v>
      </c>
      <c r="BA71" s="8">
        <f t="shared" si="3"/>
        <v>0.11156462752001484</v>
      </c>
    </row>
    <row r="72" spans="1:53" hidden="1" x14ac:dyDescent="0.25">
      <c r="A72" t="s">
        <v>151</v>
      </c>
      <c r="B72" s="2">
        <v>17400000</v>
      </c>
      <c r="C72" t="s">
        <v>28</v>
      </c>
      <c r="D72">
        <v>25</v>
      </c>
      <c r="E72" t="s">
        <v>152</v>
      </c>
      <c r="F72">
        <v>11</v>
      </c>
      <c r="G72">
        <v>0</v>
      </c>
      <c r="H72">
        <v>11.3</v>
      </c>
      <c r="I72">
        <v>2</v>
      </c>
      <c r="J72">
        <v>4.8</v>
      </c>
      <c r="K72">
        <v>0.41499999999999998</v>
      </c>
      <c r="L72">
        <v>0.5</v>
      </c>
      <c r="M72">
        <v>1.4</v>
      </c>
      <c r="N72">
        <v>0.4</v>
      </c>
      <c r="O72">
        <v>1.5</v>
      </c>
      <c r="P72">
        <v>3.5</v>
      </c>
      <c r="Q72">
        <v>0.42099999999999999</v>
      </c>
      <c r="R72">
        <v>0.47199999999999998</v>
      </c>
      <c r="S72">
        <v>0.5</v>
      </c>
      <c r="T72">
        <v>0.8</v>
      </c>
      <c r="U72">
        <v>0.55600000000000005</v>
      </c>
      <c r="V72">
        <v>1.4</v>
      </c>
      <c r="W72">
        <v>2.6</v>
      </c>
      <c r="X72">
        <v>4</v>
      </c>
      <c r="Y72">
        <v>0.5</v>
      </c>
      <c r="Z72">
        <v>1.3</v>
      </c>
      <c r="AA72">
        <v>0.4</v>
      </c>
      <c r="AB72">
        <v>0.4</v>
      </c>
      <c r="AC72">
        <v>0.5</v>
      </c>
      <c r="AD72">
        <v>5</v>
      </c>
      <c r="AE72">
        <v>124</v>
      </c>
      <c r="AF72">
        <v>20.3</v>
      </c>
      <c r="AG72">
        <v>0.48299999999999998</v>
      </c>
      <c r="AH72">
        <v>0.28299999999999997</v>
      </c>
      <c r="AI72">
        <v>0.17</v>
      </c>
      <c r="AJ72">
        <v>13.7</v>
      </c>
      <c r="AK72">
        <v>26.5</v>
      </c>
      <c r="AL72">
        <v>20.100000000000001</v>
      </c>
      <c r="AM72">
        <v>7.3</v>
      </c>
      <c r="AN72">
        <v>5.5</v>
      </c>
      <c r="AO72">
        <v>3.1</v>
      </c>
      <c r="AP72">
        <v>6.6</v>
      </c>
      <c r="AQ72">
        <v>21.1</v>
      </c>
      <c r="AR72">
        <v>0</v>
      </c>
      <c r="AS72">
        <v>0.3</v>
      </c>
      <c r="AT72">
        <v>0.3</v>
      </c>
      <c r="AU72">
        <v>0.13</v>
      </c>
      <c r="AV72">
        <v>1</v>
      </c>
      <c r="AW72">
        <v>3</v>
      </c>
      <c r="AX72">
        <v>4</v>
      </c>
      <c r="AY72">
        <v>0.2</v>
      </c>
      <c r="AZ72">
        <f t="shared" si="2"/>
        <v>2.15</v>
      </c>
      <c r="BA72">
        <f t="shared" si="3"/>
        <v>0.1235632183908046</v>
      </c>
    </row>
    <row r="73" spans="1:53" x14ac:dyDescent="0.25">
      <c r="A73" t="s">
        <v>153</v>
      </c>
      <c r="B73" s="2">
        <v>17357143</v>
      </c>
      <c r="C73" t="s">
        <v>65</v>
      </c>
      <c r="D73">
        <v>25</v>
      </c>
      <c r="E73" t="s">
        <v>91</v>
      </c>
      <c r="F73">
        <v>67</v>
      </c>
      <c r="G73">
        <v>67</v>
      </c>
      <c r="H73">
        <v>35.6</v>
      </c>
      <c r="I73">
        <v>6.3</v>
      </c>
      <c r="J73">
        <v>13.2</v>
      </c>
      <c r="K73">
        <v>0.47599999999999998</v>
      </c>
      <c r="L73">
        <v>2.1</v>
      </c>
      <c r="M73">
        <v>5.5</v>
      </c>
      <c r="N73">
        <v>0.38700000000000001</v>
      </c>
      <c r="O73">
        <v>4.2</v>
      </c>
      <c r="P73">
        <v>7.7</v>
      </c>
      <c r="Q73">
        <v>0.53900000000000003</v>
      </c>
      <c r="R73">
        <v>0.55600000000000005</v>
      </c>
      <c r="S73">
        <v>2.1</v>
      </c>
      <c r="T73">
        <v>2.5</v>
      </c>
      <c r="U73">
        <v>0.83799999999999997</v>
      </c>
      <c r="V73">
        <v>1.4</v>
      </c>
      <c r="W73">
        <v>3.5</v>
      </c>
      <c r="X73">
        <v>5</v>
      </c>
      <c r="Y73">
        <v>2</v>
      </c>
      <c r="Z73">
        <v>1.9</v>
      </c>
      <c r="AA73">
        <v>0.7</v>
      </c>
      <c r="AB73">
        <v>2</v>
      </c>
      <c r="AC73">
        <v>3</v>
      </c>
      <c r="AD73">
        <v>16.8</v>
      </c>
      <c r="AE73">
        <v>2386</v>
      </c>
      <c r="AF73">
        <v>14.6</v>
      </c>
      <c r="AG73">
        <v>0.58599999999999997</v>
      </c>
      <c r="AH73">
        <v>0.41499999999999998</v>
      </c>
      <c r="AI73">
        <v>0.189</v>
      </c>
      <c r="AJ73">
        <v>4.2</v>
      </c>
      <c r="AK73">
        <v>12.1</v>
      </c>
      <c r="AL73">
        <v>7.9</v>
      </c>
      <c r="AM73">
        <v>8</v>
      </c>
      <c r="AN73">
        <v>2.7</v>
      </c>
      <c r="AO73">
        <v>2</v>
      </c>
      <c r="AP73">
        <v>12.1</v>
      </c>
      <c r="AQ73">
        <v>19.5</v>
      </c>
      <c r="AR73">
        <v>1.8</v>
      </c>
      <c r="AS73">
        <v>2.9</v>
      </c>
      <c r="AT73">
        <v>4.7</v>
      </c>
      <c r="AU73">
        <v>9.4E-2</v>
      </c>
      <c r="AV73">
        <v>-0.3</v>
      </c>
      <c r="AW73">
        <v>0.7</v>
      </c>
      <c r="AX73">
        <v>0.4</v>
      </c>
      <c r="AY73">
        <v>1.5</v>
      </c>
      <c r="AZ73" s="8">
        <f t="shared" si="2"/>
        <v>2.5500000000000003</v>
      </c>
      <c r="BA73" s="8">
        <f t="shared" si="3"/>
        <v>0.14691357903774835</v>
      </c>
    </row>
    <row r="74" spans="1:53" x14ac:dyDescent="0.25">
      <c r="A74" t="s">
        <v>154</v>
      </c>
      <c r="B74" s="2">
        <v>17207142</v>
      </c>
      <c r="C74" t="s">
        <v>52</v>
      </c>
      <c r="D74">
        <v>28</v>
      </c>
      <c r="E74" t="s">
        <v>113</v>
      </c>
      <c r="F74">
        <v>61</v>
      </c>
      <c r="G74">
        <v>61</v>
      </c>
      <c r="H74">
        <v>32.1</v>
      </c>
      <c r="I74">
        <v>4.0999999999999996</v>
      </c>
      <c r="J74">
        <v>9.9</v>
      </c>
      <c r="K74">
        <v>0.41499999999999998</v>
      </c>
      <c r="L74">
        <v>1.9</v>
      </c>
      <c r="M74">
        <v>5.6</v>
      </c>
      <c r="N74">
        <v>0.33600000000000002</v>
      </c>
      <c r="O74">
        <v>2.2000000000000002</v>
      </c>
      <c r="P74">
        <v>4.3</v>
      </c>
      <c r="Q74">
        <v>0.51900000000000002</v>
      </c>
      <c r="R74">
        <v>0.51100000000000001</v>
      </c>
      <c r="S74">
        <v>1.4</v>
      </c>
      <c r="T74">
        <v>1.9</v>
      </c>
      <c r="U74">
        <v>0.746</v>
      </c>
      <c r="V74">
        <v>0.8</v>
      </c>
      <c r="W74">
        <v>2.4</v>
      </c>
      <c r="X74">
        <v>3.1</v>
      </c>
      <c r="Y74">
        <v>6.3</v>
      </c>
      <c r="Z74">
        <v>1.5</v>
      </c>
      <c r="AA74">
        <v>0.4</v>
      </c>
      <c r="AB74">
        <v>2.2999999999999998</v>
      </c>
      <c r="AC74">
        <v>2.8</v>
      </c>
      <c r="AD74">
        <v>11.5</v>
      </c>
      <c r="AE74">
        <v>1957</v>
      </c>
      <c r="AF74">
        <v>12.1</v>
      </c>
      <c r="AG74">
        <v>0.53800000000000003</v>
      </c>
      <c r="AH74">
        <v>0.56799999999999995</v>
      </c>
      <c r="AI74">
        <v>0.19600000000000001</v>
      </c>
      <c r="AJ74">
        <v>2.6</v>
      </c>
      <c r="AK74">
        <v>8</v>
      </c>
      <c r="AL74">
        <v>5.3</v>
      </c>
      <c r="AM74">
        <v>26.4</v>
      </c>
      <c r="AN74">
        <v>2.2999999999999998</v>
      </c>
      <c r="AO74">
        <v>1</v>
      </c>
      <c r="AP74">
        <v>17.899999999999999</v>
      </c>
      <c r="AQ74">
        <v>17.8</v>
      </c>
      <c r="AR74">
        <v>1</v>
      </c>
      <c r="AS74">
        <v>2.7</v>
      </c>
      <c r="AT74">
        <v>3.7</v>
      </c>
      <c r="AU74">
        <v>9.1999999999999998E-2</v>
      </c>
      <c r="AV74">
        <v>-1.8</v>
      </c>
      <c r="AW74">
        <v>0.8</v>
      </c>
      <c r="AX74">
        <v>-1</v>
      </c>
      <c r="AY74">
        <v>0.5</v>
      </c>
      <c r="AZ74" s="8">
        <f t="shared" si="2"/>
        <v>1.35</v>
      </c>
      <c r="BA74" s="8">
        <f t="shared" si="3"/>
        <v>7.8455794692692135E-2</v>
      </c>
    </row>
    <row r="75" spans="1:53" x14ac:dyDescent="0.25">
      <c r="A75" t="s">
        <v>155</v>
      </c>
      <c r="B75" s="2">
        <v>17142857</v>
      </c>
      <c r="C75" t="s">
        <v>62</v>
      </c>
      <c r="D75">
        <v>28</v>
      </c>
      <c r="E75" t="s">
        <v>113</v>
      </c>
      <c r="F75">
        <v>82</v>
      </c>
      <c r="G75">
        <v>70</v>
      </c>
      <c r="H75">
        <v>28.3</v>
      </c>
      <c r="I75">
        <v>4.3</v>
      </c>
      <c r="J75">
        <v>9.1999999999999993</v>
      </c>
      <c r="K75">
        <v>0.46200000000000002</v>
      </c>
      <c r="L75">
        <v>1.8</v>
      </c>
      <c r="M75">
        <v>4.8</v>
      </c>
      <c r="N75">
        <v>0.38100000000000001</v>
      </c>
      <c r="O75">
        <v>2.5</v>
      </c>
      <c r="P75">
        <v>4.5</v>
      </c>
      <c r="Q75">
        <v>0.54800000000000004</v>
      </c>
      <c r="R75">
        <v>0.56000000000000005</v>
      </c>
      <c r="S75">
        <v>2</v>
      </c>
      <c r="T75">
        <v>2.2999999999999998</v>
      </c>
      <c r="U75">
        <v>0.875</v>
      </c>
      <c r="V75">
        <v>0.6</v>
      </c>
      <c r="W75">
        <v>2.9</v>
      </c>
      <c r="X75">
        <v>3.6</v>
      </c>
      <c r="Y75">
        <v>3.9</v>
      </c>
      <c r="Z75">
        <v>0.7</v>
      </c>
      <c r="AA75">
        <v>0.9</v>
      </c>
      <c r="AB75">
        <v>1.2</v>
      </c>
      <c r="AC75">
        <v>2.2000000000000002</v>
      </c>
      <c r="AD75">
        <v>12.4</v>
      </c>
      <c r="AE75">
        <v>2319</v>
      </c>
      <c r="AF75">
        <v>15.4</v>
      </c>
      <c r="AG75">
        <v>0.60399999999999998</v>
      </c>
      <c r="AH75">
        <v>0.51600000000000001</v>
      </c>
      <c r="AI75">
        <v>0.253</v>
      </c>
      <c r="AJ75">
        <v>2.5</v>
      </c>
      <c r="AK75">
        <v>11.2</v>
      </c>
      <c r="AL75">
        <v>6.9</v>
      </c>
      <c r="AM75">
        <v>19.399999999999999</v>
      </c>
      <c r="AN75">
        <v>1.1000000000000001</v>
      </c>
      <c r="AO75">
        <v>2.8</v>
      </c>
      <c r="AP75">
        <v>10.1</v>
      </c>
      <c r="AQ75">
        <v>17.7</v>
      </c>
      <c r="AR75">
        <v>4.4000000000000004</v>
      </c>
      <c r="AS75">
        <v>3.1</v>
      </c>
      <c r="AT75">
        <v>7.4</v>
      </c>
      <c r="AU75">
        <v>0.154</v>
      </c>
      <c r="AV75">
        <v>1.1000000000000001</v>
      </c>
      <c r="AW75">
        <v>1.3</v>
      </c>
      <c r="AX75">
        <v>2.4</v>
      </c>
      <c r="AY75">
        <v>2.6</v>
      </c>
      <c r="AZ75" s="8">
        <f t="shared" si="2"/>
        <v>4.9000000000000004</v>
      </c>
      <c r="BA75" s="8">
        <f t="shared" si="3"/>
        <v>0.2858333357152778</v>
      </c>
    </row>
    <row r="76" spans="1:53" x14ac:dyDescent="0.25">
      <c r="A76" t="s">
        <v>156</v>
      </c>
      <c r="B76" s="2">
        <v>17071120</v>
      </c>
      <c r="C76" t="s">
        <v>62</v>
      </c>
      <c r="D76">
        <v>26</v>
      </c>
      <c r="E76" t="s">
        <v>85</v>
      </c>
      <c r="F76">
        <v>74</v>
      </c>
      <c r="G76">
        <v>74</v>
      </c>
      <c r="H76">
        <v>36.4</v>
      </c>
      <c r="I76">
        <v>8.3000000000000007</v>
      </c>
      <c r="J76">
        <v>17.8</v>
      </c>
      <c r="K76">
        <v>0.46400000000000002</v>
      </c>
      <c r="L76">
        <v>1.8</v>
      </c>
      <c r="M76">
        <v>5.2</v>
      </c>
      <c r="N76">
        <v>0.34399999999999997</v>
      </c>
      <c r="O76">
        <v>6.5</v>
      </c>
      <c r="P76">
        <v>12.6</v>
      </c>
      <c r="Q76">
        <v>0.51400000000000001</v>
      </c>
      <c r="R76">
        <v>0.51400000000000001</v>
      </c>
      <c r="S76">
        <v>2.1</v>
      </c>
      <c r="T76">
        <v>2.6</v>
      </c>
      <c r="U76">
        <v>0.83199999999999996</v>
      </c>
      <c r="V76">
        <v>0.7</v>
      </c>
      <c r="W76">
        <v>4.5</v>
      </c>
      <c r="X76">
        <v>5.3</v>
      </c>
      <c r="Y76">
        <v>6.1</v>
      </c>
      <c r="Z76">
        <v>1.5</v>
      </c>
      <c r="AA76">
        <v>0.3</v>
      </c>
      <c r="AB76">
        <v>2.2000000000000002</v>
      </c>
      <c r="AC76">
        <v>1.4</v>
      </c>
      <c r="AD76">
        <v>20.5</v>
      </c>
      <c r="AE76">
        <v>2693</v>
      </c>
      <c r="AF76">
        <v>17</v>
      </c>
      <c r="AG76">
        <v>0.54</v>
      </c>
      <c r="AH76">
        <v>0.29299999999999998</v>
      </c>
      <c r="AI76">
        <v>0.14399999999999999</v>
      </c>
      <c r="AJ76">
        <v>2.1</v>
      </c>
      <c r="AK76">
        <v>13.8</v>
      </c>
      <c r="AL76">
        <v>7.9</v>
      </c>
      <c r="AM76">
        <v>24</v>
      </c>
      <c r="AN76">
        <v>2</v>
      </c>
      <c r="AO76">
        <v>0.6</v>
      </c>
      <c r="AP76">
        <v>10.199999999999999</v>
      </c>
      <c r="AQ76">
        <v>24.4</v>
      </c>
      <c r="AR76">
        <v>2.4</v>
      </c>
      <c r="AS76">
        <v>2.2999999999999998</v>
      </c>
      <c r="AT76">
        <v>4.7</v>
      </c>
      <c r="AU76">
        <v>8.4000000000000005E-2</v>
      </c>
      <c r="AV76">
        <v>1.1000000000000001</v>
      </c>
      <c r="AW76">
        <v>0</v>
      </c>
      <c r="AX76">
        <v>1</v>
      </c>
      <c r="AY76">
        <v>2.1</v>
      </c>
      <c r="AZ76" s="8">
        <f t="shared" si="2"/>
        <v>2.85</v>
      </c>
      <c r="BA76" s="8">
        <f t="shared" si="3"/>
        <v>0.16694862434333541</v>
      </c>
    </row>
    <row r="77" spans="1:53" x14ac:dyDescent="0.25">
      <c r="A77" t="s">
        <v>157</v>
      </c>
      <c r="B77" s="2">
        <v>17045454</v>
      </c>
      <c r="C77" t="s">
        <v>75</v>
      </c>
      <c r="D77">
        <v>24</v>
      </c>
      <c r="E77" t="s">
        <v>123</v>
      </c>
      <c r="F77">
        <v>59</v>
      </c>
      <c r="G77">
        <v>58</v>
      </c>
      <c r="H77">
        <v>27</v>
      </c>
      <c r="I77">
        <v>3.2</v>
      </c>
      <c r="J77">
        <v>4.7</v>
      </c>
      <c r="K77">
        <v>0.67100000000000004</v>
      </c>
      <c r="L77">
        <v>0</v>
      </c>
      <c r="M77">
        <v>0</v>
      </c>
      <c r="O77">
        <v>3.2</v>
      </c>
      <c r="P77">
        <v>4.7</v>
      </c>
      <c r="Q77">
        <v>0.67100000000000004</v>
      </c>
      <c r="R77">
        <v>0.67100000000000004</v>
      </c>
      <c r="S77">
        <v>1</v>
      </c>
      <c r="T77">
        <v>2.1</v>
      </c>
      <c r="U77">
        <v>0.48399999999999999</v>
      </c>
      <c r="V77">
        <v>4.5</v>
      </c>
      <c r="W77">
        <v>4.9000000000000004</v>
      </c>
      <c r="X77">
        <v>9.4</v>
      </c>
      <c r="Y77">
        <v>0.9</v>
      </c>
      <c r="Z77">
        <v>0.9</v>
      </c>
      <c r="AA77">
        <v>1.8</v>
      </c>
      <c r="AB77">
        <v>0.7</v>
      </c>
      <c r="AC77">
        <v>2.7</v>
      </c>
      <c r="AD77">
        <v>7.4</v>
      </c>
      <c r="AE77">
        <v>1591</v>
      </c>
      <c r="AF77">
        <v>18.899999999999999</v>
      </c>
      <c r="AG77">
        <v>0.65200000000000002</v>
      </c>
      <c r="AH77">
        <v>0</v>
      </c>
      <c r="AI77">
        <v>0.436</v>
      </c>
      <c r="AJ77">
        <v>18.399999999999999</v>
      </c>
      <c r="AK77">
        <v>20</v>
      </c>
      <c r="AL77">
        <v>19.2</v>
      </c>
      <c r="AM77">
        <v>4.5</v>
      </c>
      <c r="AN77">
        <v>1.7</v>
      </c>
      <c r="AO77">
        <v>6.5</v>
      </c>
      <c r="AP77">
        <v>10.9</v>
      </c>
      <c r="AQ77">
        <v>10.1</v>
      </c>
      <c r="AR77">
        <v>4</v>
      </c>
      <c r="AS77">
        <v>2.6</v>
      </c>
      <c r="AT77">
        <v>6.5</v>
      </c>
      <c r="AU77">
        <v>0.19700000000000001</v>
      </c>
      <c r="AV77">
        <v>1</v>
      </c>
      <c r="AW77">
        <v>1.4</v>
      </c>
      <c r="AX77">
        <v>2.4</v>
      </c>
      <c r="AY77">
        <v>1.7</v>
      </c>
      <c r="AZ77" s="8">
        <f t="shared" si="2"/>
        <v>4.45</v>
      </c>
      <c r="BA77" s="8">
        <f t="shared" si="3"/>
        <v>0.26106667502080028</v>
      </c>
    </row>
    <row r="78" spans="1:53" hidden="1" x14ac:dyDescent="0.25">
      <c r="A78" t="s">
        <v>158</v>
      </c>
      <c r="B78" s="2">
        <v>16902000</v>
      </c>
      <c r="C78" t="s">
        <v>65</v>
      </c>
      <c r="D78">
        <v>28</v>
      </c>
      <c r="E78" t="s">
        <v>80</v>
      </c>
      <c r="F78">
        <v>42</v>
      </c>
      <c r="G78">
        <v>1</v>
      </c>
      <c r="H78">
        <v>16.5</v>
      </c>
      <c r="I78">
        <v>2.1</v>
      </c>
      <c r="J78">
        <v>5.6</v>
      </c>
      <c r="K78">
        <v>0.371</v>
      </c>
      <c r="L78">
        <v>1.5</v>
      </c>
      <c r="M78">
        <v>4.5999999999999996</v>
      </c>
      <c r="N78">
        <v>0.32800000000000001</v>
      </c>
      <c r="O78">
        <v>0.6</v>
      </c>
      <c r="P78">
        <v>1.1000000000000001</v>
      </c>
      <c r="Q78">
        <v>0.55600000000000005</v>
      </c>
      <c r="R78">
        <v>0.504</v>
      </c>
      <c r="S78">
        <v>0.7</v>
      </c>
      <c r="T78">
        <v>0.8</v>
      </c>
      <c r="U78">
        <v>0.90600000000000003</v>
      </c>
      <c r="V78">
        <v>0.2</v>
      </c>
      <c r="W78">
        <v>1.5</v>
      </c>
      <c r="X78">
        <v>1.6</v>
      </c>
      <c r="Y78">
        <v>1.1000000000000001</v>
      </c>
      <c r="Z78">
        <v>0.3</v>
      </c>
      <c r="AA78">
        <v>0</v>
      </c>
      <c r="AB78">
        <v>0.7</v>
      </c>
      <c r="AC78">
        <v>1.8</v>
      </c>
      <c r="AD78">
        <v>6.4</v>
      </c>
      <c r="AE78">
        <v>691</v>
      </c>
      <c r="AF78">
        <v>7.8</v>
      </c>
      <c r="AG78">
        <v>0.53400000000000003</v>
      </c>
      <c r="AH78">
        <v>0.81</v>
      </c>
      <c r="AI78">
        <v>0.13500000000000001</v>
      </c>
      <c r="AJ78">
        <v>1.3</v>
      </c>
      <c r="AK78">
        <v>10.7</v>
      </c>
      <c r="AL78">
        <v>5.9</v>
      </c>
      <c r="AM78">
        <v>9.6999999999999993</v>
      </c>
      <c r="AN78">
        <v>1</v>
      </c>
      <c r="AO78">
        <v>0</v>
      </c>
      <c r="AP78">
        <v>10</v>
      </c>
      <c r="AQ78">
        <v>17.899999999999999</v>
      </c>
      <c r="AR78">
        <v>-0.1</v>
      </c>
      <c r="AS78">
        <v>0.6</v>
      </c>
      <c r="AT78">
        <v>0.5</v>
      </c>
      <c r="AU78">
        <v>3.5000000000000003E-2</v>
      </c>
      <c r="AV78">
        <v>-3.5</v>
      </c>
      <c r="AW78">
        <v>-1.5</v>
      </c>
      <c r="AX78">
        <v>-5</v>
      </c>
      <c r="AY78">
        <v>-0.5</v>
      </c>
      <c r="AZ78">
        <f t="shared" si="2"/>
        <v>-2.25</v>
      </c>
      <c r="BA78">
        <f t="shared" si="3"/>
        <v>-0.13312034078807242</v>
      </c>
    </row>
    <row r="79" spans="1:53" x14ac:dyDescent="0.25">
      <c r="A79" t="s">
        <v>159</v>
      </c>
      <c r="B79" s="2">
        <v>16758621</v>
      </c>
      <c r="C79" t="s">
        <v>62</v>
      </c>
      <c r="D79">
        <v>29</v>
      </c>
      <c r="E79" t="s">
        <v>55</v>
      </c>
      <c r="F79">
        <v>60</v>
      </c>
      <c r="G79">
        <v>8</v>
      </c>
      <c r="H79">
        <v>26.1</v>
      </c>
      <c r="I79">
        <v>5.7</v>
      </c>
      <c r="J79">
        <v>11.8</v>
      </c>
      <c r="K79">
        <v>0.47899999999999998</v>
      </c>
      <c r="L79">
        <v>1.9</v>
      </c>
      <c r="M79">
        <v>4.8</v>
      </c>
      <c r="N79">
        <v>0.39700000000000002</v>
      </c>
      <c r="O79">
        <v>3.8</v>
      </c>
      <c r="P79">
        <v>7.1</v>
      </c>
      <c r="Q79">
        <v>0.53400000000000003</v>
      </c>
      <c r="R79">
        <v>0.55900000000000005</v>
      </c>
      <c r="S79">
        <v>3.8</v>
      </c>
      <c r="T79">
        <v>4.5999999999999996</v>
      </c>
      <c r="U79">
        <v>0.81200000000000006</v>
      </c>
      <c r="V79">
        <v>0.4</v>
      </c>
      <c r="W79">
        <v>2.5</v>
      </c>
      <c r="X79">
        <v>2.9</v>
      </c>
      <c r="Y79">
        <v>1.8</v>
      </c>
      <c r="Z79">
        <v>0.8</v>
      </c>
      <c r="AA79">
        <v>0.3</v>
      </c>
      <c r="AB79">
        <v>1.7</v>
      </c>
      <c r="AC79">
        <v>2.1</v>
      </c>
      <c r="AD79">
        <v>17</v>
      </c>
      <c r="AE79">
        <v>1567</v>
      </c>
      <c r="AF79">
        <v>17.100000000000001</v>
      </c>
      <c r="AG79">
        <v>0.61199999999999999</v>
      </c>
      <c r="AH79">
        <v>0.40400000000000003</v>
      </c>
      <c r="AI79">
        <v>0.39</v>
      </c>
      <c r="AJ79">
        <v>1.7</v>
      </c>
      <c r="AK79">
        <v>10.7</v>
      </c>
      <c r="AL79">
        <v>6.3</v>
      </c>
      <c r="AM79">
        <v>11</v>
      </c>
      <c r="AN79">
        <v>1.6</v>
      </c>
      <c r="AO79">
        <v>1</v>
      </c>
      <c r="AP79">
        <v>10.8</v>
      </c>
      <c r="AQ79">
        <v>26</v>
      </c>
      <c r="AR79">
        <v>2.1</v>
      </c>
      <c r="AS79">
        <v>1.4</v>
      </c>
      <c r="AT79">
        <v>3.5</v>
      </c>
      <c r="AU79">
        <v>0.107</v>
      </c>
      <c r="AV79">
        <v>0.9</v>
      </c>
      <c r="AW79">
        <v>-0.7</v>
      </c>
      <c r="AX79">
        <v>0.3</v>
      </c>
      <c r="AY79">
        <v>0.9</v>
      </c>
      <c r="AZ79" s="8">
        <f t="shared" si="2"/>
        <v>1.9</v>
      </c>
      <c r="BA79" s="8">
        <f t="shared" si="3"/>
        <v>0.11337448349718035</v>
      </c>
    </row>
    <row r="80" spans="1:53" x14ac:dyDescent="0.25">
      <c r="A80" t="s">
        <v>160</v>
      </c>
      <c r="B80" s="2">
        <v>16700000</v>
      </c>
      <c r="C80" t="s">
        <v>52</v>
      </c>
      <c r="D80">
        <v>24</v>
      </c>
      <c r="E80" t="s">
        <v>130</v>
      </c>
      <c r="F80">
        <v>48</v>
      </c>
      <c r="G80">
        <v>15</v>
      </c>
      <c r="H80">
        <v>23.9</v>
      </c>
      <c r="I80">
        <v>4.9000000000000004</v>
      </c>
      <c r="J80">
        <v>9.8000000000000007</v>
      </c>
      <c r="K80">
        <v>0.50600000000000001</v>
      </c>
      <c r="L80">
        <v>1</v>
      </c>
      <c r="M80">
        <v>2.5</v>
      </c>
      <c r="N80">
        <v>0.39300000000000002</v>
      </c>
      <c r="O80">
        <v>3.9</v>
      </c>
      <c r="P80">
        <v>7.2</v>
      </c>
      <c r="Q80">
        <v>0.54600000000000004</v>
      </c>
      <c r="R80">
        <v>0.55800000000000005</v>
      </c>
      <c r="S80">
        <v>3.4</v>
      </c>
      <c r="T80">
        <v>4.0999999999999996</v>
      </c>
      <c r="U80">
        <v>0.81899999999999995</v>
      </c>
      <c r="V80">
        <v>0.8</v>
      </c>
      <c r="W80">
        <v>1.4</v>
      </c>
      <c r="X80">
        <v>2.2000000000000002</v>
      </c>
      <c r="Y80">
        <v>2.9</v>
      </c>
      <c r="Z80">
        <v>0.6</v>
      </c>
      <c r="AA80">
        <v>0.1</v>
      </c>
      <c r="AB80">
        <v>1.8</v>
      </c>
      <c r="AC80">
        <v>2.2999999999999998</v>
      </c>
      <c r="AD80">
        <v>14.3</v>
      </c>
      <c r="AE80">
        <v>1145</v>
      </c>
      <c r="AF80">
        <v>15.9</v>
      </c>
      <c r="AG80">
        <v>0.61599999999999999</v>
      </c>
      <c r="AH80">
        <v>0.26100000000000001</v>
      </c>
      <c r="AI80">
        <v>0.42499999999999999</v>
      </c>
      <c r="AJ80">
        <v>3.5</v>
      </c>
      <c r="AK80">
        <v>6.3</v>
      </c>
      <c r="AL80">
        <v>5</v>
      </c>
      <c r="AM80">
        <v>17.899999999999999</v>
      </c>
      <c r="AN80">
        <v>1.1000000000000001</v>
      </c>
      <c r="AO80">
        <v>0.4</v>
      </c>
      <c r="AP80">
        <v>13.3</v>
      </c>
      <c r="AQ80">
        <v>23.4</v>
      </c>
      <c r="AR80">
        <v>2</v>
      </c>
      <c r="AS80">
        <v>0.5</v>
      </c>
      <c r="AT80">
        <v>2.5</v>
      </c>
      <c r="AU80">
        <v>0.105</v>
      </c>
      <c r="AV80">
        <v>0.1</v>
      </c>
      <c r="AW80">
        <v>-1.5</v>
      </c>
      <c r="AX80">
        <v>-1.3</v>
      </c>
      <c r="AY80">
        <v>0.2</v>
      </c>
      <c r="AZ80" s="8">
        <f t="shared" si="2"/>
        <v>0.6</v>
      </c>
      <c r="BA80" s="8">
        <f t="shared" si="3"/>
        <v>3.5928143712574849E-2</v>
      </c>
    </row>
    <row r="81" spans="1:53" x14ac:dyDescent="0.25">
      <c r="A81" t="s">
        <v>161</v>
      </c>
      <c r="B81" s="2">
        <v>16500000</v>
      </c>
      <c r="C81" t="s">
        <v>52</v>
      </c>
      <c r="D81">
        <v>24</v>
      </c>
      <c r="E81" t="s">
        <v>152</v>
      </c>
      <c r="F81">
        <v>60</v>
      </c>
      <c r="G81">
        <v>60</v>
      </c>
      <c r="H81">
        <v>29.6</v>
      </c>
      <c r="I81">
        <v>5.8</v>
      </c>
      <c r="J81">
        <v>11.3</v>
      </c>
      <c r="K81">
        <v>0.51400000000000001</v>
      </c>
      <c r="L81">
        <v>0.5</v>
      </c>
      <c r="M81">
        <v>1.5</v>
      </c>
      <c r="N81">
        <v>0.31</v>
      </c>
      <c r="O81">
        <v>5.4</v>
      </c>
      <c r="P81">
        <v>9.9</v>
      </c>
      <c r="Q81">
        <v>0.54400000000000004</v>
      </c>
      <c r="R81">
        <v>0.53400000000000003</v>
      </c>
      <c r="S81">
        <v>1.9</v>
      </c>
      <c r="T81">
        <v>2.4</v>
      </c>
      <c r="U81">
        <v>0.78300000000000003</v>
      </c>
      <c r="V81">
        <v>1.2</v>
      </c>
      <c r="W81">
        <v>2.8</v>
      </c>
      <c r="X81">
        <v>3.9</v>
      </c>
      <c r="Y81">
        <v>5.7</v>
      </c>
      <c r="Z81">
        <v>1.5</v>
      </c>
      <c r="AA81">
        <v>0.4</v>
      </c>
      <c r="AB81">
        <v>2.2999999999999998</v>
      </c>
      <c r="AC81">
        <v>2.2000000000000002</v>
      </c>
      <c r="AD81">
        <v>14</v>
      </c>
      <c r="AE81">
        <v>1778</v>
      </c>
      <c r="AF81">
        <v>16.600000000000001</v>
      </c>
      <c r="AG81">
        <v>0.56399999999999995</v>
      </c>
      <c r="AH81">
        <v>0.128</v>
      </c>
      <c r="AI81">
        <v>0.21099999999999999</v>
      </c>
      <c r="AJ81">
        <v>4.4000000000000004</v>
      </c>
      <c r="AK81">
        <v>10.5</v>
      </c>
      <c r="AL81">
        <v>7.4</v>
      </c>
      <c r="AM81">
        <v>29.8</v>
      </c>
      <c r="AN81">
        <v>2.4</v>
      </c>
      <c r="AO81">
        <v>1.4</v>
      </c>
      <c r="AP81">
        <v>15.8</v>
      </c>
      <c r="AQ81">
        <v>21.3</v>
      </c>
      <c r="AR81">
        <v>1.7</v>
      </c>
      <c r="AS81">
        <v>2</v>
      </c>
      <c r="AT81">
        <v>3.7</v>
      </c>
      <c r="AU81">
        <v>0.1</v>
      </c>
      <c r="AV81">
        <v>-0.1</v>
      </c>
      <c r="AW81">
        <v>0.7</v>
      </c>
      <c r="AX81">
        <v>0.5</v>
      </c>
      <c r="AY81">
        <v>1.2</v>
      </c>
      <c r="AZ81" s="8">
        <f t="shared" si="2"/>
        <v>2.1</v>
      </c>
      <c r="BA81" s="8">
        <f t="shared" si="3"/>
        <v>0.12727272727272726</v>
      </c>
    </row>
    <row r="82" spans="1:53" x14ac:dyDescent="0.25">
      <c r="A82" t="s">
        <v>162</v>
      </c>
      <c r="B82" s="2">
        <v>16475454</v>
      </c>
      <c r="C82" t="s">
        <v>28</v>
      </c>
      <c r="D82">
        <v>25</v>
      </c>
      <c r="E82" t="s">
        <v>130</v>
      </c>
      <c r="F82">
        <v>66</v>
      </c>
      <c r="G82">
        <v>66</v>
      </c>
      <c r="H82">
        <v>34.4</v>
      </c>
      <c r="I82">
        <v>8.6999999999999993</v>
      </c>
      <c r="J82">
        <v>17.3</v>
      </c>
      <c r="K82">
        <v>0.499</v>
      </c>
      <c r="L82">
        <v>3</v>
      </c>
      <c r="M82">
        <v>7.7</v>
      </c>
      <c r="N82">
        <v>0.39100000000000001</v>
      </c>
      <c r="O82">
        <v>5.6</v>
      </c>
      <c r="P82">
        <v>9.6</v>
      </c>
      <c r="Q82">
        <v>0.58499999999999996</v>
      </c>
      <c r="R82">
        <v>0.58599999999999997</v>
      </c>
      <c r="S82">
        <v>5.3</v>
      </c>
      <c r="T82">
        <v>6</v>
      </c>
      <c r="U82">
        <v>0.875</v>
      </c>
      <c r="V82">
        <v>2</v>
      </c>
      <c r="W82">
        <v>6.7</v>
      </c>
      <c r="X82">
        <v>8.6</v>
      </c>
      <c r="Y82">
        <v>1.9</v>
      </c>
      <c r="Z82">
        <v>0.6</v>
      </c>
      <c r="AA82">
        <v>0.6</v>
      </c>
      <c r="AB82">
        <v>1.9</v>
      </c>
      <c r="AC82">
        <v>2.1</v>
      </c>
      <c r="AD82">
        <v>25.6</v>
      </c>
      <c r="AE82">
        <v>2273</v>
      </c>
      <c r="AF82">
        <v>22.1</v>
      </c>
      <c r="AG82">
        <v>0.64</v>
      </c>
      <c r="AH82">
        <v>0.44600000000000001</v>
      </c>
      <c r="AI82">
        <v>0.34799999999999998</v>
      </c>
      <c r="AJ82">
        <v>6.3</v>
      </c>
      <c r="AK82">
        <v>20.7</v>
      </c>
      <c r="AL82">
        <v>13.6</v>
      </c>
      <c r="AM82">
        <v>8.6</v>
      </c>
      <c r="AN82">
        <v>0.9</v>
      </c>
      <c r="AO82">
        <v>1.4</v>
      </c>
      <c r="AP82">
        <v>8.8000000000000007</v>
      </c>
      <c r="AQ82">
        <v>26.6</v>
      </c>
      <c r="AR82">
        <v>6.3</v>
      </c>
      <c r="AS82">
        <v>1.9</v>
      </c>
      <c r="AT82">
        <v>8.1999999999999993</v>
      </c>
      <c r="AU82">
        <v>0.17299999999999999</v>
      </c>
      <c r="AV82">
        <v>4.9000000000000004</v>
      </c>
      <c r="AW82">
        <v>-1</v>
      </c>
      <c r="AX82">
        <v>3.8</v>
      </c>
      <c r="AY82">
        <v>3.3</v>
      </c>
      <c r="AZ82" s="8">
        <f t="shared" si="2"/>
        <v>6</v>
      </c>
      <c r="BA82" s="8">
        <f t="shared" si="3"/>
        <v>0.36417812826280843</v>
      </c>
    </row>
    <row r="83" spans="1:53" x14ac:dyDescent="0.25">
      <c r="A83" t="s">
        <v>163</v>
      </c>
      <c r="B83" s="2">
        <v>16372093</v>
      </c>
      <c r="C83" t="s">
        <v>28</v>
      </c>
      <c r="D83">
        <v>33</v>
      </c>
      <c r="E83" t="s">
        <v>55</v>
      </c>
      <c r="F83">
        <v>65</v>
      </c>
      <c r="G83">
        <v>65</v>
      </c>
      <c r="H83">
        <v>28.1</v>
      </c>
      <c r="I83">
        <v>4.2</v>
      </c>
      <c r="J83">
        <v>9.9</v>
      </c>
      <c r="K83">
        <v>0.42599999999999999</v>
      </c>
      <c r="L83">
        <v>1.7</v>
      </c>
      <c r="M83">
        <v>4.7</v>
      </c>
      <c r="N83">
        <v>0.36399999999999999</v>
      </c>
      <c r="O83">
        <v>2.5</v>
      </c>
      <c r="P83">
        <v>5.2</v>
      </c>
      <c r="Q83">
        <v>0.48399999999999999</v>
      </c>
      <c r="R83">
        <v>0.51300000000000001</v>
      </c>
      <c r="S83">
        <v>1</v>
      </c>
      <c r="T83">
        <v>1.3</v>
      </c>
      <c r="U83">
        <v>0.78200000000000003</v>
      </c>
      <c r="V83">
        <v>0.4</v>
      </c>
      <c r="W83">
        <v>3.5</v>
      </c>
      <c r="X83">
        <v>4</v>
      </c>
      <c r="Y83">
        <v>1.8</v>
      </c>
      <c r="Z83">
        <v>0.6</v>
      </c>
      <c r="AA83">
        <v>0.3</v>
      </c>
      <c r="AB83">
        <v>0.9</v>
      </c>
      <c r="AC83">
        <v>2.1</v>
      </c>
      <c r="AD83">
        <v>11.2</v>
      </c>
      <c r="AE83">
        <v>1825</v>
      </c>
      <c r="AF83">
        <v>10.5</v>
      </c>
      <c r="AG83">
        <v>0.53400000000000003</v>
      </c>
      <c r="AH83">
        <v>0.47899999999999998</v>
      </c>
      <c r="AI83">
        <v>0.13500000000000001</v>
      </c>
      <c r="AJ83">
        <v>1.8</v>
      </c>
      <c r="AK83">
        <v>13.9</v>
      </c>
      <c r="AL83">
        <v>7.9</v>
      </c>
      <c r="AM83">
        <v>8.9</v>
      </c>
      <c r="AN83">
        <v>1.1000000000000001</v>
      </c>
      <c r="AO83">
        <v>1</v>
      </c>
      <c r="AP83">
        <v>7.6</v>
      </c>
      <c r="AQ83">
        <v>17.600000000000001</v>
      </c>
      <c r="AR83">
        <v>0.4</v>
      </c>
      <c r="AS83">
        <v>1.6</v>
      </c>
      <c r="AT83">
        <v>2</v>
      </c>
      <c r="AU83">
        <v>5.2999999999999999E-2</v>
      </c>
      <c r="AV83">
        <v>-1.8</v>
      </c>
      <c r="AW83">
        <v>-0.2</v>
      </c>
      <c r="AX83">
        <v>-1.9</v>
      </c>
      <c r="AY83">
        <v>0</v>
      </c>
      <c r="AZ83" s="8">
        <f t="shared" si="2"/>
        <v>5.0000000000000044E-2</v>
      </c>
      <c r="BA83" s="8">
        <f t="shared" si="3"/>
        <v>3.0539772770653115E-3</v>
      </c>
    </row>
    <row r="84" spans="1:53" hidden="1" x14ac:dyDescent="0.25">
      <c r="A84" t="s">
        <v>164</v>
      </c>
      <c r="B84" s="2">
        <v>15558035</v>
      </c>
      <c r="C84" t="s">
        <v>62</v>
      </c>
      <c r="D84">
        <v>26</v>
      </c>
      <c r="E84" t="s">
        <v>130</v>
      </c>
      <c r="F84">
        <v>81</v>
      </c>
      <c r="G84">
        <v>27</v>
      </c>
      <c r="H84">
        <v>25.8</v>
      </c>
      <c r="I84">
        <v>4.5999999999999996</v>
      </c>
      <c r="J84">
        <v>11.6</v>
      </c>
      <c r="K84">
        <v>0.39500000000000002</v>
      </c>
      <c r="L84">
        <v>2.9</v>
      </c>
      <c r="M84">
        <v>8.1</v>
      </c>
      <c r="N84">
        <v>0.35699999999999998</v>
      </c>
      <c r="O84">
        <v>1.7</v>
      </c>
      <c r="P84">
        <v>3.4</v>
      </c>
      <c r="Q84">
        <v>0.48399999999999999</v>
      </c>
      <c r="R84">
        <v>0.52</v>
      </c>
      <c r="S84">
        <v>0.6</v>
      </c>
      <c r="T84">
        <v>0.8</v>
      </c>
      <c r="U84">
        <v>0.76900000000000002</v>
      </c>
      <c r="V84">
        <v>0.4</v>
      </c>
      <c r="W84">
        <v>3.1</v>
      </c>
      <c r="X84">
        <v>3.5</v>
      </c>
      <c r="Y84">
        <v>1.5</v>
      </c>
      <c r="Z84">
        <v>0.8</v>
      </c>
      <c r="AA84">
        <v>0.1</v>
      </c>
      <c r="AB84">
        <v>1.1000000000000001</v>
      </c>
      <c r="AC84">
        <v>1.3</v>
      </c>
      <c r="AD84">
        <v>12.7</v>
      </c>
      <c r="AE84">
        <v>2093</v>
      </c>
      <c r="AF84">
        <v>10.9</v>
      </c>
      <c r="AG84">
        <v>0.53100000000000003</v>
      </c>
      <c r="AH84">
        <v>0.70199999999999996</v>
      </c>
      <c r="AI84">
        <v>6.9000000000000006E-2</v>
      </c>
      <c r="AJ84">
        <v>1.8</v>
      </c>
      <c r="AK84">
        <v>12.5</v>
      </c>
      <c r="AL84">
        <v>7.3</v>
      </c>
      <c r="AM84">
        <v>8.4</v>
      </c>
      <c r="AN84">
        <v>1.5</v>
      </c>
      <c r="AO84">
        <v>0.4</v>
      </c>
      <c r="AP84">
        <v>8.5</v>
      </c>
      <c r="AQ84">
        <v>21.1</v>
      </c>
      <c r="AR84">
        <v>-0.2</v>
      </c>
      <c r="AS84">
        <v>1.6</v>
      </c>
      <c r="AT84">
        <v>1.4</v>
      </c>
      <c r="AU84">
        <v>3.2000000000000001E-2</v>
      </c>
      <c r="AV84">
        <v>-0.9</v>
      </c>
      <c r="AW84">
        <v>-1</v>
      </c>
      <c r="AX84">
        <v>-2</v>
      </c>
      <c r="AY84">
        <v>0</v>
      </c>
      <c r="AZ84">
        <f t="shared" si="2"/>
        <v>-0.30000000000000004</v>
      </c>
      <c r="BA84">
        <f t="shared" si="3"/>
        <v>-1.9282640770508619E-2</v>
      </c>
    </row>
    <row r="85" spans="1:53" hidden="1" x14ac:dyDescent="0.25">
      <c r="A85" t="s">
        <v>165</v>
      </c>
      <c r="B85" s="2">
        <v>15277778</v>
      </c>
      <c r="C85" t="s">
        <v>65</v>
      </c>
      <c r="D85">
        <v>23</v>
      </c>
      <c r="E85" t="s">
        <v>109</v>
      </c>
      <c r="F85">
        <v>74</v>
      </c>
      <c r="G85">
        <v>73</v>
      </c>
      <c r="H85">
        <v>30.7</v>
      </c>
      <c r="I85">
        <v>4.5999999999999996</v>
      </c>
      <c r="J85">
        <v>11.8</v>
      </c>
      <c r="K85">
        <v>0.38800000000000001</v>
      </c>
      <c r="L85">
        <v>1.8</v>
      </c>
      <c r="M85">
        <v>5.5</v>
      </c>
      <c r="N85">
        <v>0.33</v>
      </c>
      <c r="O85">
        <v>2.8</v>
      </c>
      <c r="P85">
        <v>6.3</v>
      </c>
      <c r="Q85">
        <v>0.44</v>
      </c>
      <c r="R85">
        <v>0.46600000000000003</v>
      </c>
      <c r="S85">
        <v>2.7</v>
      </c>
      <c r="T85">
        <v>3.5</v>
      </c>
      <c r="U85">
        <v>0.77200000000000002</v>
      </c>
      <c r="V85">
        <v>1.7</v>
      </c>
      <c r="W85">
        <v>2.9</v>
      </c>
      <c r="X85">
        <v>4.5999999999999996</v>
      </c>
      <c r="Y85">
        <v>2.1</v>
      </c>
      <c r="Z85">
        <v>1</v>
      </c>
      <c r="AA85">
        <v>0.3</v>
      </c>
      <c r="AB85">
        <v>1.2</v>
      </c>
      <c r="AC85">
        <v>3.3</v>
      </c>
      <c r="AD85">
        <v>13.7</v>
      </c>
      <c r="AE85">
        <v>2272</v>
      </c>
      <c r="AF85">
        <v>11.3</v>
      </c>
      <c r="AG85">
        <v>0.51300000000000001</v>
      </c>
      <c r="AH85">
        <v>0.46800000000000003</v>
      </c>
      <c r="AI85">
        <v>0.29699999999999999</v>
      </c>
      <c r="AJ85">
        <v>5.9</v>
      </c>
      <c r="AK85">
        <v>10.4</v>
      </c>
      <c r="AL85">
        <v>8.1</v>
      </c>
      <c r="AM85">
        <v>9.1999999999999993</v>
      </c>
      <c r="AN85">
        <v>1.6</v>
      </c>
      <c r="AO85">
        <v>0.9</v>
      </c>
      <c r="AP85">
        <v>8.5</v>
      </c>
      <c r="AQ85">
        <v>19.8</v>
      </c>
      <c r="AR85">
        <v>0.9</v>
      </c>
      <c r="AS85">
        <v>2.1</v>
      </c>
      <c r="AT85">
        <v>2.9</v>
      </c>
      <c r="AU85">
        <v>6.2E-2</v>
      </c>
      <c r="AV85">
        <v>-2</v>
      </c>
      <c r="AW85">
        <v>-1</v>
      </c>
      <c r="AX85">
        <v>-3</v>
      </c>
      <c r="AY85">
        <v>-0.6</v>
      </c>
      <c r="AZ85">
        <f t="shared" si="2"/>
        <v>-5.0000000000000044E-2</v>
      </c>
      <c r="BA85">
        <f t="shared" si="3"/>
        <v>-3.2727272251239707E-3</v>
      </c>
    </row>
    <row r="86" spans="1:53" hidden="1" x14ac:dyDescent="0.25">
      <c r="A86" t="s">
        <v>166</v>
      </c>
      <c r="B86" s="2">
        <v>15059712</v>
      </c>
      <c r="C86" t="s">
        <v>62</v>
      </c>
      <c r="D86">
        <v>32</v>
      </c>
      <c r="E86" t="s">
        <v>91</v>
      </c>
      <c r="F86">
        <v>56</v>
      </c>
      <c r="G86">
        <v>2</v>
      </c>
      <c r="H86">
        <v>17.7</v>
      </c>
      <c r="I86">
        <v>2.5</v>
      </c>
      <c r="J86">
        <v>6.5</v>
      </c>
      <c r="K86">
        <v>0.379</v>
      </c>
      <c r="L86">
        <v>1.2</v>
      </c>
      <c r="M86">
        <v>3.2</v>
      </c>
      <c r="N86">
        <v>0.36699999999999999</v>
      </c>
      <c r="O86">
        <v>1.3</v>
      </c>
      <c r="P86">
        <v>3.3</v>
      </c>
      <c r="Q86">
        <v>0.39100000000000001</v>
      </c>
      <c r="R86">
        <v>0.47</v>
      </c>
      <c r="S86">
        <v>0.7</v>
      </c>
      <c r="T86">
        <v>0.8</v>
      </c>
      <c r="U86">
        <v>0.78700000000000003</v>
      </c>
      <c r="V86">
        <v>0.3</v>
      </c>
      <c r="W86">
        <v>2.2000000000000002</v>
      </c>
      <c r="X86">
        <v>2.4</v>
      </c>
      <c r="Y86">
        <v>2</v>
      </c>
      <c r="Z86">
        <v>0.5</v>
      </c>
      <c r="AA86">
        <v>0.2</v>
      </c>
      <c r="AB86">
        <v>0.9</v>
      </c>
      <c r="AC86">
        <v>1</v>
      </c>
      <c r="AD86">
        <v>6.8</v>
      </c>
      <c r="AE86">
        <v>993</v>
      </c>
      <c r="AF86">
        <v>10</v>
      </c>
      <c r="AG86">
        <v>0.49299999999999999</v>
      </c>
      <c r="AH86">
        <v>0.495</v>
      </c>
      <c r="AI86">
        <v>0.129</v>
      </c>
      <c r="AJ86">
        <v>1.7</v>
      </c>
      <c r="AK86">
        <v>13.5</v>
      </c>
      <c r="AL86">
        <v>7.7</v>
      </c>
      <c r="AM86">
        <v>15.4</v>
      </c>
      <c r="AN86">
        <v>1.4</v>
      </c>
      <c r="AO86">
        <v>1.1000000000000001</v>
      </c>
      <c r="AP86">
        <v>11.1</v>
      </c>
      <c r="AQ86">
        <v>18.899999999999999</v>
      </c>
      <c r="AR86">
        <v>-0.4</v>
      </c>
      <c r="AS86">
        <v>0.8</v>
      </c>
      <c r="AT86">
        <v>0.4</v>
      </c>
      <c r="AU86">
        <v>2.1000000000000001E-2</v>
      </c>
      <c r="AV86">
        <v>-2</v>
      </c>
      <c r="AW86">
        <v>-0.6</v>
      </c>
      <c r="AX86">
        <v>-2.6</v>
      </c>
      <c r="AY86">
        <v>-0.2</v>
      </c>
      <c r="AZ86">
        <f t="shared" si="2"/>
        <v>-1.1000000000000001</v>
      </c>
      <c r="BA86">
        <f t="shared" si="3"/>
        <v>-7.3042565488636177E-2</v>
      </c>
    </row>
    <row r="87" spans="1:53" x14ac:dyDescent="0.25">
      <c r="A87" t="s">
        <v>167</v>
      </c>
      <c r="B87" s="2">
        <v>15000000</v>
      </c>
      <c r="C87" t="s">
        <v>52</v>
      </c>
      <c r="D87">
        <v>26</v>
      </c>
      <c r="E87" t="s">
        <v>150</v>
      </c>
      <c r="F87">
        <v>80</v>
      </c>
      <c r="G87">
        <v>22</v>
      </c>
      <c r="H87">
        <v>24.3</v>
      </c>
      <c r="I87">
        <v>3.9</v>
      </c>
      <c r="J87">
        <v>8.9</v>
      </c>
      <c r="K87">
        <v>0.438</v>
      </c>
      <c r="L87">
        <v>1.5</v>
      </c>
      <c r="M87">
        <v>4.0999999999999996</v>
      </c>
      <c r="N87">
        <v>0.371</v>
      </c>
      <c r="O87">
        <v>2.4</v>
      </c>
      <c r="P87">
        <v>4.8</v>
      </c>
      <c r="Q87">
        <v>0.495</v>
      </c>
      <c r="R87">
        <v>0.52300000000000002</v>
      </c>
      <c r="S87">
        <v>1</v>
      </c>
      <c r="T87">
        <v>1.3</v>
      </c>
      <c r="U87">
        <v>0.8</v>
      </c>
      <c r="V87">
        <v>0.4</v>
      </c>
      <c r="W87">
        <v>2.2000000000000002</v>
      </c>
      <c r="X87">
        <v>2.5</v>
      </c>
      <c r="Y87">
        <v>5.2</v>
      </c>
      <c r="Z87">
        <v>1</v>
      </c>
      <c r="AA87">
        <v>0.1</v>
      </c>
      <c r="AB87">
        <v>0.9</v>
      </c>
      <c r="AC87">
        <v>0.4</v>
      </c>
      <c r="AD87">
        <v>10.3</v>
      </c>
      <c r="AE87">
        <v>1940</v>
      </c>
      <c r="AF87">
        <v>16</v>
      </c>
      <c r="AG87">
        <v>0.54600000000000004</v>
      </c>
      <c r="AH87">
        <v>0.45900000000000002</v>
      </c>
      <c r="AI87">
        <v>0.14099999999999999</v>
      </c>
      <c r="AJ87">
        <v>1.5</v>
      </c>
      <c r="AK87">
        <v>9.4</v>
      </c>
      <c r="AL87">
        <v>5.5</v>
      </c>
      <c r="AM87">
        <v>28.8</v>
      </c>
      <c r="AN87">
        <v>2</v>
      </c>
      <c r="AO87">
        <v>0.3</v>
      </c>
      <c r="AP87">
        <v>8.9</v>
      </c>
      <c r="AQ87">
        <v>17.7</v>
      </c>
      <c r="AR87">
        <v>3.4</v>
      </c>
      <c r="AS87">
        <v>2.2999999999999998</v>
      </c>
      <c r="AT87">
        <v>5.7</v>
      </c>
      <c r="AU87">
        <v>0.14099999999999999</v>
      </c>
      <c r="AV87">
        <v>1.2</v>
      </c>
      <c r="AW87">
        <v>0.3</v>
      </c>
      <c r="AX87">
        <v>1.6</v>
      </c>
      <c r="AY87">
        <v>1.7</v>
      </c>
      <c r="AZ87" s="8">
        <f t="shared" si="2"/>
        <v>3.6500000000000004</v>
      </c>
      <c r="BA87" s="8">
        <f t="shared" si="3"/>
        <v>0.24333333333333337</v>
      </c>
    </row>
    <row r="88" spans="1:53" hidden="1" x14ac:dyDescent="0.25">
      <c r="A88" t="s">
        <v>168</v>
      </c>
      <c r="B88" s="2">
        <v>14520730</v>
      </c>
      <c r="C88" t="s">
        <v>52</v>
      </c>
      <c r="D88">
        <v>34</v>
      </c>
      <c r="E88" t="s">
        <v>123</v>
      </c>
      <c r="F88">
        <v>27</v>
      </c>
      <c r="G88">
        <v>0</v>
      </c>
      <c r="H88">
        <v>12.5</v>
      </c>
      <c r="I88">
        <v>2.2999999999999998</v>
      </c>
      <c r="J88">
        <v>5.9</v>
      </c>
      <c r="K88">
        <v>0.38400000000000001</v>
      </c>
      <c r="L88">
        <v>0.7</v>
      </c>
      <c r="M88">
        <v>2.2999999999999998</v>
      </c>
      <c r="N88">
        <v>0.30199999999999999</v>
      </c>
      <c r="O88">
        <v>1.6</v>
      </c>
      <c r="P88">
        <v>3.6</v>
      </c>
      <c r="Q88">
        <v>0.438</v>
      </c>
      <c r="R88">
        <v>0.443</v>
      </c>
      <c r="S88">
        <v>0.4</v>
      </c>
      <c r="T88">
        <v>0.4</v>
      </c>
      <c r="U88">
        <v>0.91700000000000004</v>
      </c>
      <c r="V88">
        <v>0.3</v>
      </c>
      <c r="W88">
        <v>1.2</v>
      </c>
      <c r="X88">
        <v>1.5</v>
      </c>
      <c r="Y88">
        <v>1.7</v>
      </c>
      <c r="Z88">
        <v>0.3</v>
      </c>
      <c r="AA88">
        <v>0.2</v>
      </c>
      <c r="AB88">
        <v>0.8</v>
      </c>
      <c r="AC88">
        <v>0.7</v>
      </c>
      <c r="AD88">
        <v>5.6</v>
      </c>
      <c r="AE88">
        <v>338</v>
      </c>
      <c r="AF88">
        <v>10.1</v>
      </c>
      <c r="AG88">
        <v>0.46300000000000002</v>
      </c>
      <c r="AH88">
        <v>0.39600000000000002</v>
      </c>
      <c r="AI88">
        <v>7.4999999999999997E-2</v>
      </c>
      <c r="AJ88">
        <v>2.6</v>
      </c>
      <c r="AK88">
        <v>10.4</v>
      </c>
      <c r="AL88">
        <v>6.5</v>
      </c>
      <c r="AM88">
        <v>19.899999999999999</v>
      </c>
      <c r="AN88">
        <v>1</v>
      </c>
      <c r="AO88">
        <v>1.4</v>
      </c>
      <c r="AP88">
        <v>11.8</v>
      </c>
      <c r="AQ88">
        <v>23.6</v>
      </c>
      <c r="AR88">
        <v>-0.3</v>
      </c>
      <c r="AS88">
        <v>0.3</v>
      </c>
      <c r="AT88">
        <v>0</v>
      </c>
      <c r="AU88">
        <v>-1E-3</v>
      </c>
      <c r="AV88">
        <v>-2.2000000000000002</v>
      </c>
      <c r="AW88">
        <v>-1.5</v>
      </c>
      <c r="AX88">
        <v>-3.7</v>
      </c>
      <c r="AY88">
        <v>-0.1</v>
      </c>
      <c r="AZ88">
        <f t="shared" si="2"/>
        <v>-1.85</v>
      </c>
      <c r="BA88">
        <f t="shared" si="3"/>
        <v>-0.12740406301887025</v>
      </c>
    </row>
    <row r="89" spans="1:53" x14ac:dyDescent="0.25">
      <c r="A89" t="s">
        <v>169</v>
      </c>
      <c r="B89" s="2">
        <v>14508929</v>
      </c>
      <c r="C89" t="s">
        <v>62</v>
      </c>
      <c r="D89">
        <v>24</v>
      </c>
      <c r="E89" t="s">
        <v>116</v>
      </c>
      <c r="F89">
        <v>75</v>
      </c>
      <c r="G89">
        <v>75</v>
      </c>
      <c r="H89">
        <v>29.4</v>
      </c>
      <c r="I89">
        <v>5.6</v>
      </c>
      <c r="J89">
        <v>11.5</v>
      </c>
      <c r="K89">
        <v>0.48499999999999999</v>
      </c>
      <c r="L89">
        <v>2.7</v>
      </c>
      <c r="M89">
        <v>6.8</v>
      </c>
      <c r="N89">
        <v>0.40200000000000002</v>
      </c>
      <c r="O89">
        <v>2.9</v>
      </c>
      <c r="P89">
        <v>4.7</v>
      </c>
      <c r="Q89">
        <v>0.60399999999999998</v>
      </c>
      <c r="R89">
        <v>0.60299999999999998</v>
      </c>
      <c r="S89">
        <v>1.3</v>
      </c>
      <c r="T89">
        <v>1.7</v>
      </c>
      <c r="U89">
        <v>0.72499999999999998</v>
      </c>
      <c r="V89">
        <v>0.6</v>
      </c>
      <c r="W89">
        <v>2.8</v>
      </c>
      <c r="X89">
        <v>3.3</v>
      </c>
      <c r="Y89">
        <v>2.9</v>
      </c>
      <c r="Z89">
        <v>1.1000000000000001</v>
      </c>
      <c r="AA89">
        <v>0.3</v>
      </c>
      <c r="AB89">
        <v>1.3</v>
      </c>
      <c r="AC89">
        <v>2.4</v>
      </c>
      <c r="AD89">
        <v>15.2</v>
      </c>
      <c r="AE89">
        <v>2203</v>
      </c>
      <c r="AF89">
        <v>15.2</v>
      </c>
      <c r="AG89">
        <v>0.61699999999999999</v>
      </c>
      <c r="AH89">
        <v>0.58899999999999997</v>
      </c>
      <c r="AI89">
        <v>0.151</v>
      </c>
      <c r="AJ89">
        <v>2.2000000000000002</v>
      </c>
      <c r="AK89">
        <v>10.8</v>
      </c>
      <c r="AL89">
        <v>6.5</v>
      </c>
      <c r="AM89">
        <v>14.1</v>
      </c>
      <c r="AN89">
        <v>1.7</v>
      </c>
      <c r="AO89">
        <v>1</v>
      </c>
      <c r="AP89">
        <v>9.5</v>
      </c>
      <c r="AQ89">
        <v>19.899999999999999</v>
      </c>
      <c r="AR89">
        <v>3.3</v>
      </c>
      <c r="AS89">
        <v>1.7</v>
      </c>
      <c r="AT89">
        <v>4.9000000000000004</v>
      </c>
      <c r="AU89">
        <v>0.107</v>
      </c>
      <c r="AV89">
        <v>1.4</v>
      </c>
      <c r="AW89">
        <v>-0.3</v>
      </c>
      <c r="AX89">
        <v>1</v>
      </c>
      <c r="AY89">
        <v>1.7</v>
      </c>
      <c r="AZ89" s="8">
        <f t="shared" si="2"/>
        <v>2.95</v>
      </c>
      <c r="BA89" s="8">
        <f t="shared" si="3"/>
        <v>0.20332307091722621</v>
      </c>
    </row>
    <row r="90" spans="1:53" x14ac:dyDescent="0.25">
      <c r="A90" t="s">
        <v>170</v>
      </c>
      <c r="B90" s="2">
        <v>14317459</v>
      </c>
      <c r="C90" t="s">
        <v>75</v>
      </c>
      <c r="D90">
        <v>27</v>
      </c>
      <c r="E90" t="s">
        <v>73</v>
      </c>
      <c r="F90">
        <v>67</v>
      </c>
      <c r="G90">
        <v>17</v>
      </c>
      <c r="H90">
        <v>25.9</v>
      </c>
      <c r="I90">
        <v>5.9</v>
      </c>
      <c r="J90">
        <v>11.5</v>
      </c>
      <c r="K90">
        <v>0.51500000000000001</v>
      </c>
      <c r="L90">
        <v>1.6</v>
      </c>
      <c r="M90">
        <v>4.2</v>
      </c>
      <c r="N90">
        <v>0.376</v>
      </c>
      <c r="O90">
        <v>4.3</v>
      </c>
      <c r="P90">
        <v>7.3</v>
      </c>
      <c r="Q90">
        <v>0.59399999999999997</v>
      </c>
      <c r="R90">
        <v>0.58299999999999996</v>
      </c>
      <c r="S90">
        <v>3.2</v>
      </c>
      <c r="T90">
        <v>4.2</v>
      </c>
      <c r="U90">
        <v>0.77200000000000002</v>
      </c>
      <c r="V90">
        <v>1.3</v>
      </c>
      <c r="W90">
        <v>6</v>
      </c>
      <c r="X90">
        <v>7.3</v>
      </c>
      <c r="Y90">
        <v>1.8</v>
      </c>
      <c r="Z90">
        <v>0.4</v>
      </c>
      <c r="AA90">
        <v>1.1000000000000001</v>
      </c>
      <c r="AB90">
        <v>1.8</v>
      </c>
      <c r="AC90">
        <v>2.5</v>
      </c>
      <c r="AD90">
        <v>16.600000000000001</v>
      </c>
      <c r="AE90">
        <v>1738</v>
      </c>
      <c r="AF90">
        <v>20.6</v>
      </c>
      <c r="AG90">
        <v>0.624</v>
      </c>
      <c r="AH90">
        <v>0.36299999999999999</v>
      </c>
      <c r="AI90">
        <v>0.36499999999999999</v>
      </c>
      <c r="AJ90">
        <v>5.8</v>
      </c>
      <c r="AK90">
        <v>27.4</v>
      </c>
      <c r="AL90">
        <v>16.399999999999999</v>
      </c>
      <c r="AM90">
        <v>11.7</v>
      </c>
      <c r="AN90">
        <v>0.9</v>
      </c>
      <c r="AO90">
        <v>3.7</v>
      </c>
      <c r="AP90">
        <v>11.9</v>
      </c>
      <c r="AQ90">
        <v>26.4</v>
      </c>
      <c r="AR90">
        <v>2.7</v>
      </c>
      <c r="AS90">
        <v>2.1</v>
      </c>
      <c r="AT90">
        <v>4.8</v>
      </c>
      <c r="AU90">
        <v>0.13200000000000001</v>
      </c>
      <c r="AV90">
        <v>1.9</v>
      </c>
      <c r="AW90">
        <v>-0.3</v>
      </c>
      <c r="AX90">
        <v>1.7</v>
      </c>
      <c r="AY90">
        <v>1.6</v>
      </c>
      <c r="AZ90" s="8">
        <f t="shared" si="2"/>
        <v>3.25</v>
      </c>
      <c r="BA90" s="8">
        <f t="shared" si="3"/>
        <v>0.22699558629782002</v>
      </c>
    </row>
    <row r="91" spans="1:53" x14ac:dyDescent="0.25">
      <c r="A91" t="s">
        <v>171</v>
      </c>
      <c r="B91" s="2">
        <v>14004703</v>
      </c>
      <c r="C91" t="s">
        <v>62</v>
      </c>
      <c r="D91">
        <v>29</v>
      </c>
      <c r="E91" t="s">
        <v>103</v>
      </c>
      <c r="F91">
        <v>76</v>
      </c>
      <c r="G91">
        <v>76</v>
      </c>
      <c r="H91">
        <v>31.3</v>
      </c>
      <c r="I91">
        <v>3.8</v>
      </c>
      <c r="J91">
        <v>8.3000000000000007</v>
      </c>
      <c r="K91">
        <v>0.46200000000000002</v>
      </c>
      <c r="L91">
        <v>1.8</v>
      </c>
      <c r="M91">
        <v>4.2</v>
      </c>
      <c r="N91">
        <v>0.42299999999999999</v>
      </c>
      <c r="O91">
        <v>2.1</v>
      </c>
      <c r="P91">
        <v>4.0999999999999996</v>
      </c>
      <c r="Q91">
        <v>0.502</v>
      </c>
      <c r="R91">
        <v>0.56899999999999995</v>
      </c>
      <c r="S91">
        <v>1.4</v>
      </c>
      <c r="T91">
        <v>1.6</v>
      </c>
      <c r="U91">
        <v>0.82399999999999995</v>
      </c>
      <c r="V91">
        <v>0.5</v>
      </c>
      <c r="W91">
        <v>2.2999999999999998</v>
      </c>
      <c r="X91">
        <v>2.7</v>
      </c>
      <c r="Y91">
        <v>2.4</v>
      </c>
      <c r="Z91">
        <v>1.5</v>
      </c>
      <c r="AA91">
        <v>0.5</v>
      </c>
      <c r="AB91">
        <v>1.1000000000000001</v>
      </c>
      <c r="AC91">
        <v>1.9</v>
      </c>
      <c r="AD91">
        <v>10.8</v>
      </c>
      <c r="AE91">
        <v>2381</v>
      </c>
      <c r="AF91">
        <v>11.5</v>
      </c>
      <c r="AG91">
        <v>0.59799999999999998</v>
      </c>
      <c r="AH91">
        <v>0.505</v>
      </c>
      <c r="AI91">
        <v>0.19800000000000001</v>
      </c>
      <c r="AJ91">
        <v>1.7</v>
      </c>
      <c r="AK91">
        <v>8.1</v>
      </c>
      <c r="AL91">
        <v>5</v>
      </c>
      <c r="AM91">
        <v>9.8000000000000007</v>
      </c>
      <c r="AN91">
        <v>2.2999999999999998</v>
      </c>
      <c r="AO91">
        <v>1.3</v>
      </c>
      <c r="AP91">
        <v>11.1</v>
      </c>
      <c r="AQ91">
        <v>14.1</v>
      </c>
      <c r="AR91">
        <v>2</v>
      </c>
      <c r="AS91">
        <v>2.5</v>
      </c>
      <c r="AT91">
        <v>4.5</v>
      </c>
      <c r="AU91">
        <v>9.0999999999999998E-2</v>
      </c>
      <c r="AV91">
        <v>-1.6</v>
      </c>
      <c r="AW91">
        <v>0.6</v>
      </c>
      <c r="AX91">
        <v>-1</v>
      </c>
      <c r="AY91">
        <v>0.6</v>
      </c>
      <c r="AZ91" s="8">
        <f t="shared" si="2"/>
        <v>1.75</v>
      </c>
      <c r="BA91" s="8">
        <f t="shared" si="3"/>
        <v>0.12495802302983505</v>
      </c>
    </row>
    <row r="92" spans="1:53" x14ac:dyDescent="0.25">
      <c r="A92" t="s">
        <v>172</v>
      </c>
      <c r="B92" s="2">
        <v>13906976</v>
      </c>
      <c r="C92" t="s">
        <v>75</v>
      </c>
      <c r="D92">
        <v>34</v>
      </c>
      <c r="E92" t="s">
        <v>68</v>
      </c>
      <c r="F92">
        <v>78</v>
      </c>
      <c r="G92">
        <v>78</v>
      </c>
      <c r="H92">
        <v>30.4</v>
      </c>
      <c r="I92">
        <v>6.1</v>
      </c>
      <c r="J92">
        <v>11.5</v>
      </c>
      <c r="K92">
        <v>0.53100000000000003</v>
      </c>
      <c r="L92">
        <v>1.7</v>
      </c>
      <c r="M92">
        <v>4.7</v>
      </c>
      <c r="N92">
        <v>0.374</v>
      </c>
      <c r="O92">
        <v>4.4000000000000004</v>
      </c>
      <c r="P92">
        <v>6.9</v>
      </c>
      <c r="Q92">
        <v>0.63700000000000001</v>
      </c>
      <c r="R92">
        <v>0.60599999999999998</v>
      </c>
      <c r="S92">
        <v>1.9</v>
      </c>
      <c r="T92">
        <v>2.4</v>
      </c>
      <c r="U92">
        <v>0.78400000000000003</v>
      </c>
      <c r="V92">
        <v>2</v>
      </c>
      <c r="W92">
        <v>4.7</v>
      </c>
      <c r="X92">
        <v>6.7</v>
      </c>
      <c r="Y92">
        <v>1.3</v>
      </c>
      <c r="Z92">
        <v>0.5</v>
      </c>
      <c r="AA92">
        <v>2.5</v>
      </c>
      <c r="AB92">
        <v>1.4</v>
      </c>
      <c r="AC92">
        <v>2.6</v>
      </c>
      <c r="AD92">
        <v>15.9</v>
      </c>
      <c r="AE92">
        <v>2373</v>
      </c>
      <c r="AF92">
        <v>18.399999999999999</v>
      </c>
      <c r="AG92">
        <v>0.63</v>
      </c>
      <c r="AH92">
        <v>0.40500000000000003</v>
      </c>
      <c r="AI92">
        <v>0.21099999999999999</v>
      </c>
      <c r="AJ92">
        <v>7.2</v>
      </c>
      <c r="AK92">
        <v>15.3</v>
      </c>
      <c r="AL92">
        <v>11.4</v>
      </c>
      <c r="AM92">
        <v>6.1</v>
      </c>
      <c r="AN92">
        <v>0.7</v>
      </c>
      <c r="AO92">
        <v>6.7</v>
      </c>
      <c r="AP92">
        <v>9.8000000000000007</v>
      </c>
      <c r="AQ92">
        <v>19.3</v>
      </c>
      <c r="AR92">
        <v>4.0999999999999996</v>
      </c>
      <c r="AS92">
        <v>3.9</v>
      </c>
      <c r="AT92">
        <v>8</v>
      </c>
      <c r="AU92">
        <v>0.161</v>
      </c>
      <c r="AV92">
        <v>0.8</v>
      </c>
      <c r="AW92">
        <v>1.3</v>
      </c>
      <c r="AX92">
        <v>2.1</v>
      </c>
      <c r="AY92">
        <v>2.5</v>
      </c>
      <c r="AZ92" s="8">
        <f t="shared" si="2"/>
        <v>5.05</v>
      </c>
      <c r="BA92" s="8">
        <f t="shared" si="3"/>
        <v>0.36312710973255435</v>
      </c>
    </row>
    <row r="93" spans="1:53" x14ac:dyDescent="0.25">
      <c r="A93" t="s">
        <v>173</v>
      </c>
      <c r="B93" s="2">
        <v>13801614</v>
      </c>
      <c r="C93" t="s">
        <v>52</v>
      </c>
      <c r="D93">
        <v>34</v>
      </c>
      <c r="E93" t="s">
        <v>87</v>
      </c>
      <c r="F93">
        <v>67</v>
      </c>
      <c r="G93">
        <v>67</v>
      </c>
      <c r="H93">
        <v>27.1</v>
      </c>
      <c r="I93">
        <v>2.1</v>
      </c>
      <c r="J93">
        <v>5.4</v>
      </c>
      <c r="K93">
        <v>0.4</v>
      </c>
      <c r="L93">
        <v>1.2</v>
      </c>
      <c r="M93">
        <v>3.6</v>
      </c>
      <c r="N93">
        <v>0.33500000000000002</v>
      </c>
      <c r="O93">
        <v>1</v>
      </c>
      <c r="P93">
        <v>1.8</v>
      </c>
      <c r="Q93">
        <v>0.52900000000000003</v>
      </c>
      <c r="R93">
        <v>0.51100000000000001</v>
      </c>
      <c r="S93">
        <v>0.7</v>
      </c>
      <c r="T93">
        <v>1</v>
      </c>
      <c r="U93">
        <v>0.72299999999999998</v>
      </c>
      <c r="V93">
        <v>0.7</v>
      </c>
      <c r="W93">
        <v>3</v>
      </c>
      <c r="X93">
        <v>3.7</v>
      </c>
      <c r="Y93">
        <v>2.9</v>
      </c>
      <c r="Z93">
        <v>0.9</v>
      </c>
      <c r="AA93">
        <v>0.6</v>
      </c>
      <c r="AB93">
        <v>0.9</v>
      </c>
      <c r="AC93">
        <v>2.8</v>
      </c>
      <c r="AD93">
        <v>6.2</v>
      </c>
      <c r="AE93">
        <v>1816</v>
      </c>
      <c r="AF93">
        <v>8.9</v>
      </c>
      <c r="AG93">
        <v>0.53400000000000003</v>
      </c>
      <c r="AH93">
        <v>0.66400000000000003</v>
      </c>
      <c r="AI93">
        <v>0.18099999999999999</v>
      </c>
      <c r="AJ93">
        <v>2.7</v>
      </c>
      <c r="AK93">
        <v>12</v>
      </c>
      <c r="AL93">
        <v>7.5</v>
      </c>
      <c r="AM93">
        <v>13.3</v>
      </c>
      <c r="AN93">
        <v>1.7</v>
      </c>
      <c r="AO93">
        <v>2</v>
      </c>
      <c r="AP93">
        <v>13.4</v>
      </c>
      <c r="AQ93">
        <v>10.6</v>
      </c>
      <c r="AR93">
        <v>0.8</v>
      </c>
      <c r="AS93">
        <v>2.1</v>
      </c>
      <c r="AT93">
        <v>3</v>
      </c>
      <c r="AU93">
        <v>7.9000000000000001E-2</v>
      </c>
      <c r="AV93">
        <v>-2.9</v>
      </c>
      <c r="AW93">
        <v>1.7</v>
      </c>
      <c r="AX93">
        <v>-1.2</v>
      </c>
      <c r="AY93">
        <v>0.3</v>
      </c>
      <c r="AZ93" s="8">
        <f t="shared" si="2"/>
        <v>0.9</v>
      </c>
      <c r="BA93" s="8">
        <f t="shared" si="3"/>
        <v>6.5209764597097125E-2</v>
      </c>
    </row>
    <row r="94" spans="1:53" hidden="1" x14ac:dyDescent="0.25">
      <c r="A94" t="s">
        <v>174</v>
      </c>
      <c r="B94" s="2">
        <v>13750000</v>
      </c>
      <c r="C94" t="s">
        <v>65</v>
      </c>
      <c r="D94">
        <v>31</v>
      </c>
      <c r="E94" t="s">
        <v>175</v>
      </c>
      <c r="F94">
        <v>64</v>
      </c>
      <c r="G94">
        <v>0</v>
      </c>
      <c r="H94">
        <v>20.5</v>
      </c>
      <c r="I94">
        <v>3.7</v>
      </c>
      <c r="J94">
        <v>8.1999999999999993</v>
      </c>
      <c r="K94">
        <v>0.45700000000000002</v>
      </c>
      <c r="L94">
        <v>1.9</v>
      </c>
      <c r="M94">
        <v>4.7</v>
      </c>
      <c r="N94">
        <v>0.41299999999999998</v>
      </c>
      <c r="O94">
        <v>1.8</v>
      </c>
      <c r="P94">
        <v>3.5</v>
      </c>
      <c r="Q94">
        <v>0.51600000000000001</v>
      </c>
      <c r="R94">
        <v>0.57499999999999996</v>
      </c>
      <c r="S94">
        <v>0.8</v>
      </c>
      <c r="T94">
        <v>1.1000000000000001</v>
      </c>
      <c r="U94">
        <v>0.75700000000000001</v>
      </c>
      <c r="V94">
        <v>0.4</v>
      </c>
      <c r="W94">
        <v>1.8</v>
      </c>
      <c r="X94">
        <v>2.2000000000000002</v>
      </c>
      <c r="Y94">
        <v>1.4</v>
      </c>
      <c r="Z94">
        <v>0.2</v>
      </c>
      <c r="AA94">
        <v>0.1</v>
      </c>
      <c r="AB94">
        <v>0.9</v>
      </c>
      <c r="AC94">
        <v>1.8</v>
      </c>
      <c r="AD94">
        <v>10.199999999999999</v>
      </c>
      <c r="AE94">
        <v>1314</v>
      </c>
      <c r="AF94">
        <v>11.2</v>
      </c>
      <c r="AG94">
        <v>0.59</v>
      </c>
      <c r="AH94">
        <v>0.56999999999999995</v>
      </c>
      <c r="AI94">
        <v>0.13400000000000001</v>
      </c>
      <c r="AJ94">
        <v>1.9</v>
      </c>
      <c r="AK94">
        <v>9.9</v>
      </c>
      <c r="AL94">
        <v>5.8</v>
      </c>
      <c r="AM94">
        <v>9.8000000000000007</v>
      </c>
      <c r="AN94">
        <v>0.5</v>
      </c>
      <c r="AO94">
        <v>0.4</v>
      </c>
      <c r="AP94">
        <v>9.5</v>
      </c>
      <c r="AQ94">
        <v>19.2</v>
      </c>
      <c r="AR94">
        <v>1</v>
      </c>
      <c r="AS94">
        <v>0</v>
      </c>
      <c r="AT94">
        <v>1</v>
      </c>
      <c r="AU94">
        <v>3.5000000000000003E-2</v>
      </c>
      <c r="AV94">
        <v>-0.7</v>
      </c>
      <c r="AW94">
        <v>-2.5</v>
      </c>
      <c r="AX94">
        <v>-3.2</v>
      </c>
      <c r="AY94">
        <v>-0.4</v>
      </c>
      <c r="AZ94">
        <f t="shared" si="2"/>
        <v>-1.1000000000000001</v>
      </c>
      <c r="BA94">
        <f t="shared" si="3"/>
        <v>-0.08</v>
      </c>
    </row>
    <row r="95" spans="1:53" x14ac:dyDescent="0.25">
      <c r="A95" t="s">
        <v>176</v>
      </c>
      <c r="B95" s="2">
        <v>13745455</v>
      </c>
      <c r="C95" t="s">
        <v>62</v>
      </c>
      <c r="D95">
        <v>26</v>
      </c>
      <c r="E95" t="s">
        <v>150</v>
      </c>
      <c r="F95">
        <v>59</v>
      </c>
      <c r="G95">
        <v>14</v>
      </c>
      <c r="H95">
        <v>22.3</v>
      </c>
      <c r="I95">
        <v>3.2</v>
      </c>
      <c r="J95">
        <v>6.5</v>
      </c>
      <c r="K95">
        <v>0.49199999999999999</v>
      </c>
      <c r="L95">
        <v>2.2999999999999998</v>
      </c>
      <c r="M95">
        <v>4.5999999999999996</v>
      </c>
      <c r="N95">
        <v>0.49399999999999999</v>
      </c>
      <c r="O95">
        <v>0.9</v>
      </c>
      <c r="P95">
        <v>1.9</v>
      </c>
      <c r="Q95">
        <v>0.48699999999999999</v>
      </c>
      <c r="R95">
        <v>0.66600000000000004</v>
      </c>
      <c r="S95">
        <v>0.6</v>
      </c>
      <c r="T95">
        <v>0.7</v>
      </c>
      <c r="U95">
        <v>0.94899999999999995</v>
      </c>
      <c r="V95">
        <v>0.3</v>
      </c>
      <c r="W95">
        <v>2.4</v>
      </c>
      <c r="X95">
        <v>2.7</v>
      </c>
      <c r="Y95">
        <v>1.5</v>
      </c>
      <c r="Z95">
        <v>0.5</v>
      </c>
      <c r="AA95">
        <v>0.1</v>
      </c>
      <c r="AB95">
        <v>0.8</v>
      </c>
      <c r="AC95">
        <v>1.4</v>
      </c>
      <c r="AD95">
        <v>9.3000000000000007</v>
      </c>
      <c r="AE95">
        <v>1315</v>
      </c>
      <c r="AF95">
        <v>13</v>
      </c>
      <c r="AG95">
        <v>0.68400000000000005</v>
      </c>
      <c r="AH95">
        <v>0.70399999999999996</v>
      </c>
      <c r="AI95">
        <v>0.10199999999999999</v>
      </c>
      <c r="AJ95">
        <v>1.2</v>
      </c>
      <c r="AK95">
        <v>11.8</v>
      </c>
      <c r="AL95">
        <v>6.6</v>
      </c>
      <c r="AM95">
        <v>9.4</v>
      </c>
      <c r="AN95">
        <v>1.2</v>
      </c>
      <c r="AO95">
        <v>0.3</v>
      </c>
      <c r="AP95">
        <v>10.3</v>
      </c>
      <c r="AQ95">
        <v>14.5</v>
      </c>
      <c r="AR95">
        <v>2.2000000000000002</v>
      </c>
      <c r="AS95">
        <v>1.2</v>
      </c>
      <c r="AT95">
        <v>3.4</v>
      </c>
      <c r="AU95">
        <v>0.124</v>
      </c>
      <c r="AV95">
        <v>0.6</v>
      </c>
      <c r="AW95">
        <v>-0.1</v>
      </c>
      <c r="AX95">
        <v>0.5</v>
      </c>
      <c r="AY95">
        <v>0.8</v>
      </c>
      <c r="AZ95" s="8">
        <f t="shared" si="2"/>
        <v>1.95</v>
      </c>
      <c r="BA95" s="8">
        <f t="shared" si="3"/>
        <v>0.14186507467377399</v>
      </c>
    </row>
    <row r="96" spans="1:53" hidden="1" x14ac:dyDescent="0.25">
      <c r="A96" t="s">
        <v>177</v>
      </c>
      <c r="B96" s="2">
        <v>13534817</v>
      </c>
      <c r="C96" t="s">
        <v>28</v>
      </c>
      <c r="D96">
        <v>22</v>
      </c>
      <c r="E96" t="s">
        <v>100</v>
      </c>
      <c r="F96">
        <v>29</v>
      </c>
      <c r="G96">
        <v>29</v>
      </c>
      <c r="H96">
        <v>33</v>
      </c>
      <c r="I96">
        <v>9.8000000000000007</v>
      </c>
      <c r="J96">
        <v>16.2</v>
      </c>
      <c r="K96">
        <v>0.60799999999999998</v>
      </c>
      <c r="L96">
        <v>0.2</v>
      </c>
      <c r="M96">
        <v>0.7</v>
      </c>
      <c r="N96">
        <v>0.36799999999999999</v>
      </c>
      <c r="O96">
        <v>9.6</v>
      </c>
      <c r="P96">
        <v>15.5</v>
      </c>
      <c r="Q96">
        <v>0.61799999999999999</v>
      </c>
      <c r="R96">
        <v>0.61499999999999999</v>
      </c>
      <c r="S96">
        <v>6.1</v>
      </c>
      <c r="T96">
        <v>8.6</v>
      </c>
      <c r="U96">
        <v>0.71399999999999997</v>
      </c>
      <c r="V96">
        <v>2</v>
      </c>
      <c r="W96">
        <v>5</v>
      </c>
      <c r="X96">
        <v>7</v>
      </c>
      <c r="Y96">
        <v>4.5999999999999996</v>
      </c>
      <c r="Z96">
        <v>1.1000000000000001</v>
      </c>
      <c r="AA96">
        <v>0.6</v>
      </c>
      <c r="AB96">
        <v>3.4</v>
      </c>
      <c r="AC96">
        <v>2.2000000000000002</v>
      </c>
      <c r="AD96">
        <v>26</v>
      </c>
      <c r="AE96">
        <v>956</v>
      </c>
      <c r="AF96">
        <v>25.2</v>
      </c>
      <c r="AG96">
        <v>0.65200000000000002</v>
      </c>
      <c r="AH96">
        <v>4.1000000000000002E-2</v>
      </c>
      <c r="AI96">
        <v>0.52900000000000003</v>
      </c>
      <c r="AJ96">
        <v>6.9</v>
      </c>
      <c r="AK96">
        <v>17</v>
      </c>
      <c r="AL96">
        <v>12</v>
      </c>
      <c r="AM96">
        <v>24.4</v>
      </c>
      <c r="AN96">
        <v>1.6</v>
      </c>
      <c r="AO96">
        <v>1.6</v>
      </c>
      <c r="AP96">
        <v>14.6</v>
      </c>
      <c r="AQ96">
        <v>30.4</v>
      </c>
      <c r="AR96">
        <v>2.2999999999999998</v>
      </c>
      <c r="AS96">
        <v>1.2</v>
      </c>
      <c r="AT96">
        <v>3.6</v>
      </c>
      <c r="AU96">
        <v>0.18</v>
      </c>
      <c r="AV96">
        <v>4.8</v>
      </c>
      <c r="AW96">
        <v>1</v>
      </c>
      <c r="AX96">
        <v>5.8</v>
      </c>
      <c r="AY96">
        <v>1.9</v>
      </c>
      <c r="AZ96">
        <f t="shared" si="2"/>
        <v>4.7</v>
      </c>
      <c r="BA96">
        <f t="shared" si="3"/>
        <v>0.34725257090657374</v>
      </c>
    </row>
    <row r="97" spans="1:53" x14ac:dyDescent="0.25">
      <c r="A97" t="s">
        <v>178</v>
      </c>
      <c r="B97" s="2">
        <v>13340000</v>
      </c>
      <c r="C97" t="s">
        <v>62</v>
      </c>
      <c r="D97">
        <v>30</v>
      </c>
      <c r="E97" t="s">
        <v>130</v>
      </c>
      <c r="F97">
        <v>61</v>
      </c>
      <c r="G97">
        <v>61</v>
      </c>
      <c r="H97">
        <v>32.6</v>
      </c>
      <c r="I97">
        <v>7.5</v>
      </c>
      <c r="J97">
        <v>16.899999999999999</v>
      </c>
      <c r="K97">
        <v>0.44400000000000001</v>
      </c>
      <c r="L97">
        <v>2.5</v>
      </c>
      <c r="M97">
        <v>7.5</v>
      </c>
      <c r="N97">
        <v>0.33800000000000002</v>
      </c>
      <c r="O97">
        <v>5</v>
      </c>
      <c r="P97">
        <v>9.4</v>
      </c>
      <c r="Q97">
        <v>0.53</v>
      </c>
      <c r="R97">
        <v>0.51900000000000002</v>
      </c>
      <c r="S97">
        <v>3.3</v>
      </c>
      <c r="T97">
        <v>4</v>
      </c>
      <c r="U97">
        <v>0.81599999999999995</v>
      </c>
      <c r="V97">
        <v>1.2</v>
      </c>
      <c r="W97">
        <v>2.9</v>
      </c>
      <c r="X97">
        <v>4</v>
      </c>
      <c r="Y97">
        <v>4.4000000000000004</v>
      </c>
      <c r="Z97">
        <v>0.5</v>
      </c>
      <c r="AA97">
        <v>0.2</v>
      </c>
      <c r="AB97">
        <v>3</v>
      </c>
      <c r="AC97">
        <v>2</v>
      </c>
      <c r="AD97">
        <v>20.8</v>
      </c>
      <c r="AE97">
        <v>1988</v>
      </c>
      <c r="AF97">
        <v>14.7</v>
      </c>
      <c r="AG97">
        <v>0.55800000000000005</v>
      </c>
      <c r="AH97">
        <v>0.44500000000000001</v>
      </c>
      <c r="AI97">
        <v>0.23799999999999999</v>
      </c>
      <c r="AJ97">
        <v>4</v>
      </c>
      <c r="AK97">
        <v>9.3000000000000007</v>
      </c>
      <c r="AL97">
        <v>6.7</v>
      </c>
      <c r="AM97">
        <v>20.9</v>
      </c>
      <c r="AN97">
        <v>0.8</v>
      </c>
      <c r="AO97">
        <v>0.6</v>
      </c>
      <c r="AP97">
        <v>14</v>
      </c>
      <c r="AQ97">
        <v>27.8</v>
      </c>
      <c r="AR97">
        <v>0.9</v>
      </c>
      <c r="AS97">
        <v>0.8</v>
      </c>
      <c r="AT97">
        <v>1.7</v>
      </c>
      <c r="AU97">
        <v>4.2000000000000003E-2</v>
      </c>
      <c r="AV97">
        <v>1</v>
      </c>
      <c r="AW97">
        <v>-2.4</v>
      </c>
      <c r="AX97">
        <v>-1.4</v>
      </c>
      <c r="AY97">
        <v>0.3</v>
      </c>
      <c r="AZ97" s="8">
        <f t="shared" si="2"/>
        <v>0.15000000000000002</v>
      </c>
      <c r="BA97" s="8">
        <f t="shared" si="3"/>
        <v>1.1244377811094455E-2</v>
      </c>
    </row>
    <row r="98" spans="1:53" x14ac:dyDescent="0.25">
      <c r="A98" t="s">
        <v>179</v>
      </c>
      <c r="B98" s="2">
        <v>13000000</v>
      </c>
      <c r="C98" t="s">
        <v>62</v>
      </c>
      <c r="D98">
        <v>28</v>
      </c>
      <c r="E98" t="s">
        <v>152</v>
      </c>
      <c r="F98">
        <v>48</v>
      </c>
      <c r="G98">
        <v>42</v>
      </c>
      <c r="H98">
        <v>24.7</v>
      </c>
      <c r="I98">
        <v>2.9</v>
      </c>
      <c r="J98">
        <v>6.4</v>
      </c>
      <c r="K98">
        <v>0.45</v>
      </c>
      <c r="L98">
        <v>2</v>
      </c>
      <c r="M98">
        <v>4.5</v>
      </c>
      <c r="N98">
        <v>0.43099999999999999</v>
      </c>
      <c r="O98">
        <v>0.9</v>
      </c>
      <c r="P98">
        <v>1.9</v>
      </c>
      <c r="Q98">
        <v>0.49399999999999999</v>
      </c>
      <c r="R98">
        <v>0.60299999999999998</v>
      </c>
      <c r="S98">
        <v>0.6</v>
      </c>
      <c r="T98">
        <v>0.6</v>
      </c>
      <c r="U98">
        <v>0.9</v>
      </c>
      <c r="V98">
        <v>0.4</v>
      </c>
      <c r="W98">
        <v>1.6</v>
      </c>
      <c r="X98">
        <v>2</v>
      </c>
      <c r="Y98">
        <v>1.2</v>
      </c>
      <c r="Z98">
        <v>0.9</v>
      </c>
      <c r="AA98">
        <v>0.3</v>
      </c>
      <c r="AB98">
        <v>0.6</v>
      </c>
      <c r="AC98">
        <v>1.9</v>
      </c>
      <c r="AD98">
        <v>8.3000000000000007</v>
      </c>
      <c r="AE98">
        <v>1184</v>
      </c>
      <c r="AF98">
        <v>10.5</v>
      </c>
      <c r="AG98">
        <v>0.62</v>
      </c>
      <c r="AH98">
        <v>0.71</v>
      </c>
      <c r="AI98">
        <v>9.8000000000000004E-2</v>
      </c>
      <c r="AJ98">
        <v>2</v>
      </c>
      <c r="AK98">
        <v>7.4</v>
      </c>
      <c r="AL98">
        <v>4.7</v>
      </c>
      <c r="AM98">
        <v>6.9</v>
      </c>
      <c r="AN98">
        <v>1.8</v>
      </c>
      <c r="AO98">
        <v>1</v>
      </c>
      <c r="AP98">
        <v>8</v>
      </c>
      <c r="AQ98">
        <v>12.6</v>
      </c>
      <c r="AR98">
        <v>1.3</v>
      </c>
      <c r="AS98">
        <v>1.1000000000000001</v>
      </c>
      <c r="AT98">
        <v>2.2999999999999998</v>
      </c>
      <c r="AU98">
        <v>9.5000000000000001E-2</v>
      </c>
      <c r="AV98">
        <v>-1.4</v>
      </c>
      <c r="AW98">
        <v>0.7</v>
      </c>
      <c r="AX98">
        <v>-0.7</v>
      </c>
      <c r="AY98">
        <v>0.4</v>
      </c>
      <c r="AZ98" s="8">
        <f t="shared" si="2"/>
        <v>0.79999999999999993</v>
      </c>
      <c r="BA98" s="8">
        <f t="shared" si="3"/>
        <v>6.1538461538461528E-2</v>
      </c>
    </row>
    <row r="99" spans="1:53" hidden="1" x14ac:dyDescent="0.25">
      <c r="A99" t="s">
        <v>180</v>
      </c>
      <c r="B99" s="2">
        <v>13000000</v>
      </c>
      <c r="C99" t="s">
        <v>28</v>
      </c>
      <c r="D99">
        <v>27</v>
      </c>
      <c r="E99" t="s">
        <v>63</v>
      </c>
      <c r="F99">
        <v>64</v>
      </c>
      <c r="G99">
        <v>64</v>
      </c>
      <c r="H99">
        <v>35</v>
      </c>
      <c r="I99">
        <v>8</v>
      </c>
      <c r="J99">
        <v>17.8</v>
      </c>
      <c r="K99">
        <v>0.44800000000000001</v>
      </c>
      <c r="L99">
        <v>2.5</v>
      </c>
      <c r="M99">
        <v>7.5</v>
      </c>
      <c r="N99">
        <v>0.33300000000000002</v>
      </c>
      <c r="O99">
        <v>5.5</v>
      </c>
      <c r="P99">
        <v>10.3</v>
      </c>
      <c r="Q99">
        <v>0.53300000000000003</v>
      </c>
      <c r="R99">
        <v>0.51800000000000002</v>
      </c>
      <c r="S99">
        <v>2.7</v>
      </c>
      <c r="T99">
        <v>3.7</v>
      </c>
      <c r="U99">
        <v>0.73</v>
      </c>
      <c r="V99">
        <v>0.9</v>
      </c>
      <c r="W99">
        <v>6.4</v>
      </c>
      <c r="X99">
        <v>7.2</v>
      </c>
      <c r="Y99">
        <v>3.7</v>
      </c>
      <c r="Z99">
        <v>0.6</v>
      </c>
      <c r="AA99">
        <v>0.5</v>
      </c>
      <c r="AB99">
        <v>3</v>
      </c>
      <c r="AC99">
        <v>2.2999999999999998</v>
      </c>
      <c r="AD99">
        <v>21.2</v>
      </c>
      <c r="AE99">
        <v>2239</v>
      </c>
      <c r="AF99">
        <v>14.3</v>
      </c>
      <c r="AG99">
        <v>0.54400000000000004</v>
      </c>
      <c r="AH99">
        <v>0.42099999999999999</v>
      </c>
      <c r="AI99">
        <v>0.20799999999999999</v>
      </c>
      <c r="AJ99">
        <v>2.8</v>
      </c>
      <c r="AK99">
        <v>19.5</v>
      </c>
      <c r="AL99">
        <v>11.5</v>
      </c>
      <c r="AM99">
        <v>16.5</v>
      </c>
      <c r="AN99">
        <v>0.8</v>
      </c>
      <c r="AO99">
        <v>1.1000000000000001</v>
      </c>
      <c r="AP99">
        <v>13.2</v>
      </c>
      <c r="AQ99">
        <v>27.9</v>
      </c>
      <c r="AR99">
        <v>-1</v>
      </c>
      <c r="AS99">
        <v>1.9</v>
      </c>
      <c r="AT99">
        <v>0.9</v>
      </c>
      <c r="AU99">
        <v>1.9E-2</v>
      </c>
      <c r="AV99">
        <v>-0.2</v>
      </c>
      <c r="AW99">
        <v>-1.5</v>
      </c>
      <c r="AX99">
        <v>-1.7</v>
      </c>
      <c r="AY99">
        <v>0.2</v>
      </c>
      <c r="AZ99">
        <f t="shared" si="2"/>
        <v>-0.39999999999999997</v>
      </c>
      <c r="BA99">
        <f t="shared" si="3"/>
        <v>-3.0769230769230764E-2</v>
      </c>
    </row>
    <row r="100" spans="1:53" x14ac:dyDescent="0.25">
      <c r="A100" t="s">
        <v>181</v>
      </c>
      <c r="B100" s="2">
        <v>12960000</v>
      </c>
      <c r="C100" t="s">
        <v>65</v>
      </c>
      <c r="D100">
        <v>27</v>
      </c>
      <c r="E100" t="s">
        <v>70</v>
      </c>
      <c r="F100">
        <v>76</v>
      </c>
      <c r="G100">
        <v>52</v>
      </c>
      <c r="H100">
        <v>32.299999999999997</v>
      </c>
      <c r="I100">
        <v>3.6</v>
      </c>
      <c r="J100">
        <v>6.8</v>
      </c>
      <c r="K100">
        <v>0.52900000000000003</v>
      </c>
      <c r="L100">
        <v>0.8</v>
      </c>
      <c r="M100">
        <v>2.2000000000000002</v>
      </c>
      <c r="N100">
        <v>0.372</v>
      </c>
      <c r="O100">
        <v>2.8</v>
      </c>
      <c r="P100">
        <v>4.7</v>
      </c>
      <c r="Q100">
        <v>0.60099999999999998</v>
      </c>
      <c r="R100">
        <v>0.58799999999999997</v>
      </c>
      <c r="S100">
        <v>1.7</v>
      </c>
      <c r="T100">
        <v>2.2999999999999998</v>
      </c>
      <c r="U100">
        <v>0.75</v>
      </c>
      <c r="V100">
        <v>1.9</v>
      </c>
      <c r="W100">
        <v>5.9</v>
      </c>
      <c r="X100">
        <v>7.8</v>
      </c>
      <c r="Y100">
        <v>3.8</v>
      </c>
      <c r="Z100">
        <v>1.2</v>
      </c>
      <c r="AA100">
        <v>0.3</v>
      </c>
      <c r="AB100">
        <v>1.5</v>
      </c>
      <c r="AC100">
        <v>2.6</v>
      </c>
      <c r="AD100">
        <v>9.8000000000000007</v>
      </c>
      <c r="AE100">
        <v>2454</v>
      </c>
      <c r="AF100">
        <v>14.1</v>
      </c>
      <c r="AG100">
        <v>0.622</v>
      </c>
      <c r="AH100">
        <v>0.315</v>
      </c>
      <c r="AI100">
        <v>0.33800000000000002</v>
      </c>
      <c r="AJ100">
        <v>6.5</v>
      </c>
      <c r="AK100">
        <v>21</v>
      </c>
      <c r="AL100">
        <v>13.7</v>
      </c>
      <c r="AM100">
        <v>16.100000000000001</v>
      </c>
      <c r="AN100">
        <v>1.8</v>
      </c>
      <c r="AO100">
        <v>0.8</v>
      </c>
      <c r="AP100">
        <v>16.399999999999999</v>
      </c>
      <c r="AQ100">
        <v>12.6</v>
      </c>
      <c r="AR100">
        <v>3.8</v>
      </c>
      <c r="AS100">
        <v>2.2000000000000002</v>
      </c>
      <c r="AT100">
        <v>6</v>
      </c>
      <c r="AU100">
        <v>0.11799999999999999</v>
      </c>
      <c r="AV100">
        <v>-0.2</v>
      </c>
      <c r="AW100">
        <v>1.1000000000000001</v>
      </c>
      <c r="AX100">
        <v>0.9</v>
      </c>
      <c r="AY100">
        <v>1.8</v>
      </c>
      <c r="AZ100" s="8">
        <f t="shared" si="2"/>
        <v>3.45</v>
      </c>
      <c r="BA100" s="8">
        <f t="shared" si="3"/>
        <v>0.26620370370370372</v>
      </c>
    </row>
    <row r="101" spans="1:53" x14ac:dyDescent="0.25">
      <c r="A101" t="s">
        <v>182</v>
      </c>
      <c r="B101" s="2">
        <v>12939848</v>
      </c>
      <c r="C101" t="s">
        <v>28</v>
      </c>
      <c r="D101">
        <v>29</v>
      </c>
      <c r="E101" t="s">
        <v>73</v>
      </c>
      <c r="F101">
        <v>66</v>
      </c>
      <c r="G101">
        <v>66</v>
      </c>
      <c r="H101">
        <v>30.4</v>
      </c>
      <c r="I101">
        <v>3</v>
      </c>
      <c r="J101">
        <v>7.6</v>
      </c>
      <c r="K101">
        <v>0.39100000000000001</v>
      </c>
      <c r="L101">
        <v>1.7</v>
      </c>
      <c r="M101">
        <v>5.0999999999999996</v>
      </c>
      <c r="N101">
        <v>0.33700000000000002</v>
      </c>
      <c r="O101">
        <v>1.2</v>
      </c>
      <c r="P101">
        <v>2.5</v>
      </c>
      <c r="Q101">
        <v>0.503</v>
      </c>
      <c r="R101">
        <v>0.505</v>
      </c>
      <c r="S101">
        <v>0.7</v>
      </c>
      <c r="T101">
        <v>0.9</v>
      </c>
      <c r="U101">
        <v>0.76300000000000001</v>
      </c>
      <c r="V101">
        <v>1.7</v>
      </c>
      <c r="W101">
        <v>3.1</v>
      </c>
      <c r="X101">
        <v>4.8</v>
      </c>
      <c r="Y101">
        <v>1.5</v>
      </c>
      <c r="Z101">
        <v>0.8</v>
      </c>
      <c r="AA101">
        <v>0.5</v>
      </c>
      <c r="AB101">
        <v>0.9</v>
      </c>
      <c r="AC101">
        <v>2.2000000000000002</v>
      </c>
      <c r="AD101">
        <v>8.3000000000000007</v>
      </c>
      <c r="AE101">
        <v>2009</v>
      </c>
      <c r="AF101">
        <v>9.1999999999999993</v>
      </c>
      <c r="AG101">
        <v>0.52300000000000002</v>
      </c>
      <c r="AH101">
        <v>0.67500000000000004</v>
      </c>
      <c r="AI101">
        <v>0.11799999999999999</v>
      </c>
      <c r="AJ101">
        <v>6.5</v>
      </c>
      <c r="AK101">
        <v>11.5</v>
      </c>
      <c r="AL101">
        <v>9</v>
      </c>
      <c r="AM101">
        <v>6.7</v>
      </c>
      <c r="AN101">
        <v>1.4</v>
      </c>
      <c r="AO101">
        <v>1.6</v>
      </c>
      <c r="AP101">
        <v>10.5</v>
      </c>
      <c r="AQ101">
        <v>13.2</v>
      </c>
      <c r="AR101">
        <v>0.6</v>
      </c>
      <c r="AS101">
        <v>1.6</v>
      </c>
      <c r="AT101">
        <v>2.1</v>
      </c>
      <c r="AU101">
        <v>5.0999999999999997E-2</v>
      </c>
      <c r="AV101">
        <v>-1.7</v>
      </c>
      <c r="AW101">
        <v>-0.3</v>
      </c>
      <c r="AX101">
        <v>-2</v>
      </c>
      <c r="AY101">
        <v>0</v>
      </c>
      <c r="AZ101" s="8">
        <f t="shared" si="2"/>
        <v>5.0000000000000044E-2</v>
      </c>
      <c r="BA101" s="8">
        <f t="shared" si="3"/>
        <v>3.8640330241900868E-3</v>
      </c>
    </row>
    <row r="102" spans="1:53" x14ac:dyDescent="0.25">
      <c r="A102" t="s">
        <v>183</v>
      </c>
      <c r="B102" s="2">
        <v>12804878</v>
      </c>
      <c r="C102" t="s">
        <v>75</v>
      </c>
      <c r="D102">
        <v>31</v>
      </c>
      <c r="E102" t="s">
        <v>130</v>
      </c>
      <c r="F102">
        <v>68</v>
      </c>
      <c r="G102">
        <v>68</v>
      </c>
      <c r="H102">
        <v>28.6</v>
      </c>
      <c r="I102">
        <v>4.0999999999999996</v>
      </c>
      <c r="J102">
        <v>8.1999999999999993</v>
      </c>
      <c r="K102">
        <v>0.499</v>
      </c>
      <c r="L102">
        <v>1.4</v>
      </c>
      <c r="M102">
        <v>3.5</v>
      </c>
      <c r="N102">
        <v>0.39400000000000002</v>
      </c>
      <c r="O102">
        <v>2.7</v>
      </c>
      <c r="P102">
        <v>4.7</v>
      </c>
      <c r="Q102">
        <v>0.57599999999999996</v>
      </c>
      <c r="R102">
        <v>0.58299999999999996</v>
      </c>
      <c r="S102">
        <v>2.9</v>
      </c>
      <c r="T102">
        <v>3.4</v>
      </c>
      <c r="U102">
        <v>0.85299999999999998</v>
      </c>
      <c r="V102">
        <v>1.2</v>
      </c>
      <c r="W102">
        <v>5</v>
      </c>
      <c r="X102">
        <v>6.2</v>
      </c>
      <c r="Y102">
        <v>3.7</v>
      </c>
      <c r="Z102">
        <v>0.9</v>
      </c>
      <c r="AA102">
        <v>0.5</v>
      </c>
      <c r="AB102">
        <v>2.5</v>
      </c>
      <c r="AC102">
        <v>3.4</v>
      </c>
      <c r="AD102">
        <v>12.5</v>
      </c>
      <c r="AE102">
        <v>1942</v>
      </c>
      <c r="AF102">
        <v>14.4</v>
      </c>
      <c r="AG102">
        <v>0.64300000000000002</v>
      </c>
      <c r="AH102">
        <v>0.42399999999999999</v>
      </c>
      <c r="AI102">
        <v>0.41699999999999998</v>
      </c>
      <c r="AJ102">
        <v>4.5999999999999996</v>
      </c>
      <c r="AK102">
        <v>18.600000000000001</v>
      </c>
      <c r="AL102">
        <v>11.7</v>
      </c>
      <c r="AM102">
        <v>17.600000000000001</v>
      </c>
      <c r="AN102">
        <v>1.5</v>
      </c>
      <c r="AO102">
        <v>1.6</v>
      </c>
      <c r="AP102">
        <v>20.3</v>
      </c>
      <c r="AQ102">
        <v>17.8</v>
      </c>
      <c r="AR102">
        <v>2.4</v>
      </c>
      <c r="AS102">
        <v>1.9</v>
      </c>
      <c r="AT102">
        <v>4.3</v>
      </c>
      <c r="AU102">
        <v>0.106</v>
      </c>
      <c r="AV102">
        <v>-0.4</v>
      </c>
      <c r="AW102">
        <v>0.9</v>
      </c>
      <c r="AX102">
        <v>0.4</v>
      </c>
      <c r="AY102">
        <v>1.2</v>
      </c>
      <c r="AZ102" s="8">
        <f t="shared" si="2"/>
        <v>2.35</v>
      </c>
      <c r="BA102" s="8">
        <f t="shared" si="3"/>
        <v>0.18352381022294784</v>
      </c>
    </row>
    <row r="103" spans="1:53" x14ac:dyDescent="0.25">
      <c r="A103" t="s">
        <v>184</v>
      </c>
      <c r="B103" s="2">
        <v>12690000</v>
      </c>
      <c r="C103" t="s">
        <v>28</v>
      </c>
      <c r="D103">
        <v>30</v>
      </c>
      <c r="E103" t="s">
        <v>91</v>
      </c>
      <c r="F103">
        <v>76</v>
      </c>
      <c r="G103">
        <v>0</v>
      </c>
      <c r="H103">
        <v>20</v>
      </c>
      <c r="I103">
        <v>3.4</v>
      </c>
      <c r="J103">
        <v>7</v>
      </c>
      <c r="K103">
        <v>0.49299999999999999</v>
      </c>
      <c r="L103">
        <v>0.8</v>
      </c>
      <c r="M103">
        <v>2.5</v>
      </c>
      <c r="N103">
        <v>0.32800000000000001</v>
      </c>
      <c r="O103">
        <v>2.6</v>
      </c>
      <c r="P103">
        <v>4.5</v>
      </c>
      <c r="Q103">
        <v>0.58499999999999996</v>
      </c>
      <c r="R103">
        <v>0.55200000000000005</v>
      </c>
      <c r="S103">
        <v>1.7</v>
      </c>
      <c r="T103">
        <v>2.2000000000000002</v>
      </c>
      <c r="U103">
        <v>0.76200000000000001</v>
      </c>
      <c r="V103">
        <v>2.1</v>
      </c>
      <c r="W103">
        <v>3.5</v>
      </c>
      <c r="X103">
        <v>5.5</v>
      </c>
      <c r="Y103">
        <v>0.4</v>
      </c>
      <c r="Z103">
        <v>0.6</v>
      </c>
      <c r="AA103">
        <v>0.8</v>
      </c>
      <c r="AB103">
        <v>0.5</v>
      </c>
      <c r="AC103">
        <v>1.9</v>
      </c>
      <c r="AD103">
        <v>9.4</v>
      </c>
      <c r="AE103">
        <v>1523</v>
      </c>
      <c r="AF103">
        <v>18</v>
      </c>
      <c r="AG103">
        <v>0.59</v>
      </c>
      <c r="AH103">
        <v>0.35699999999999998</v>
      </c>
      <c r="AI103">
        <v>0.318</v>
      </c>
      <c r="AJ103">
        <v>10.9</v>
      </c>
      <c r="AK103">
        <v>21.2</v>
      </c>
      <c r="AL103">
        <v>15.7</v>
      </c>
      <c r="AM103">
        <v>2.7</v>
      </c>
      <c r="AN103">
        <v>1.5</v>
      </c>
      <c r="AO103">
        <v>4.0999999999999996</v>
      </c>
      <c r="AP103">
        <v>6.4</v>
      </c>
      <c r="AQ103">
        <v>18</v>
      </c>
      <c r="AR103">
        <v>3</v>
      </c>
      <c r="AS103">
        <v>2</v>
      </c>
      <c r="AT103">
        <v>5</v>
      </c>
      <c r="AU103">
        <v>0.156</v>
      </c>
      <c r="AV103">
        <v>0.7</v>
      </c>
      <c r="AW103">
        <v>-0.8</v>
      </c>
      <c r="AX103">
        <v>-0.1</v>
      </c>
      <c r="AY103">
        <v>0.7</v>
      </c>
      <c r="AZ103" s="8">
        <f t="shared" si="2"/>
        <v>2.4500000000000002</v>
      </c>
      <c r="BA103" s="8">
        <f t="shared" si="3"/>
        <v>0.19306540583136328</v>
      </c>
    </row>
    <row r="104" spans="1:53" hidden="1" x14ac:dyDescent="0.25">
      <c r="A104" t="s">
        <v>185</v>
      </c>
      <c r="B104" s="2">
        <v>12307692</v>
      </c>
      <c r="C104" t="s">
        <v>28</v>
      </c>
      <c r="D104">
        <v>32</v>
      </c>
      <c r="E104" t="s">
        <v>55</v>
      </c>
      <c r="F104">
        <v>48</v>
      </c>
      <c r="G104">
        <v>0</v>
      </c>
      <c r="H104">
        <v>16.2</v>
      </c>
      <c r="I104">
        <v>2.1</v>
      </c>
      <c r="J104">
        <v>4.8</v>
      </c>
      <c r="K104">
        <v>0.44500000000000001</v>
      </c>
      <c r="L104">
        <v>1.1000000000000001</v>
      </c>
      <c r="M104">
        <v>2.8</v>
      </c>
      <c r="N104">
        <v>0.39700000000000002</v>
      </c>
      <c r="O104">
        <v>1</v>
      </c>
      <c r="P104">
        <v>1.9</v>
      </c>
      <c r="Q104">
        <v>0.51600000000000001</v>
      </c>
      <c r="R104">
        <v>0.56299999999999994</v>
      </c>
      <c r="S104">
        <v>0.6</v>
      </c>
      <c r="T104">
        <v>0.8</v>
      </c>
      <c r="U104">
        <v>0.75</v>
      </c>
      <c r="V104">
        <v>0.6</v>
      </c>
      <c r="W104">
        <v>2.8</v>
      </c>
      <c r="X104">
        <v>3.5</v>
      </c>
      <c r="Y104">
        <v>1.2</v>
      </c>
      <c r="Z104">
        <v>0.8</v>
      </c>
      <c r="AA104">
        <v>0.7</v>
      </c>
      <c r="AB104">
        <v>0.7</v>
      </c>
      <c r="AC104">
        <v>1.8</v>
      </c>
      <c r="AD104">
        <v>6</v>
      </c>
      <c r="AE104">
        <v>779</v>
      </c>
      <c r="AF104">
        <v>14.2</v>
      </c>
      <c r="AG104">
        <v>0.58399999999999996</v>
      </c>
      <c r="AH104">
        <v>0.59399999999999997</v>
      </c>
      <c r="AI104">
        <v>0.17499999999999999</v>
      </c>
      <c r="AJ104">
        <v>4.5</v>
      </c>
      <c r="AK104">
        <v>19.2</v>
      </c>
      <c r="AL104">
        <v>11.9</v>
      </c>
      <c r="AM104">
        <v>10.199999999999999</v>
      </c>
      <c r="AN104">
        <v>2.4</v>
      </c>
      <c r="AO104">
        <v>3.7</v>
      </c>
      <c r="AP104">
        <v>11.5</v>
      </c>
      <c r="AQ104">
        <v>15.6</v>
      </c>
      <c r="AR104">
        <v>0.7</v>
      </c>
      <c r="AS104">
        <v>1.2</v>
      </c>
      <c r="AT104">
        <v>1.9</v>
      </c>
      <c r="AU104">
        <v>0.11700000000000001</v>
      </c>
      <c r="AV104">
        <v>-0.5</v>
      </c>
      <c r="AW104">
        <v>2.1</v>
      </c>
      <c r="AX104">
        <v>1.7</v>
      </c>
      <c r="AY104">
        <v>0.7</v>
      </c>
      <c r="AZ104">
        <f t="shared" si="2"/>
        <v>1.7999999999999998</v>
      </c>
      <c r="BA104">
        <f t="shared" si="3"/>
        <v>0.14625000365625007</v>
      </c>
    </row>
    <row r="105" spans="1:53" x14ac:dyDescent="0.25">
      <c r="A105" t="s">
        <v>186</v>
      </c>
      <c r="B105" s="2">
        <v>12196094</v>
      </c>
      <c r="C105" t="s">
        <v>62</v>
      </c>
      <c r="D105">
        <v>29</v>
      </c>
      <c r="E105" t="s">
        <v>175</v>
      </c>
      <c r="F105">
        <v>65</v>
      </c>
      <c r="G105">
        <v>10</v>
      </c>
      <c r="H105">
        <v>23.5</v>
      </c>
      <c r="I105">
        <v>3.7</v>
      </c>
      <c r="J105">
        <v>8.5</v>
      </c>
      <c r="K105">
        <v>0.43099999999999999</v>
      </c>
      <c r="L105">
        <v>1.6</v>
      </c>
      <c r="M105">
        <v>4.5</v>
      </c>
      <c r="N105">
        <v>0.36499999999999999</v>
      </c>
      <c r="O105">
        <v>2</v>
      </c>
      <c r="P105">
        <v>4</v>
      </c>
      <c r="Q105">
        <v>0.50600000000000001</v>
      </c>
      <c r="R105">
        <v>0.52800000000000002</v>
      </c>
      <c r="S105">
        <v>1.1000000000000001</v>
      </c>
      <c r="T105">
        <v>1.2</v>
      </c>
      <c r="U105">
        <v>0.85199999999999998</v>
      </c>
      <c r="V105">
        <v>0.6</v>
      </c>
      <c r="W105">
        <v>2.1</v>
      </c>
      <c r="X105">
        <v>2.7</v>
      </c>
      <c r="Y105">
        <v>2.7</v>
      </c>
      <c r="Z105">
        <v>1.1000000000000001</v>
      </c>
      <c r="AA105">
        <v>0.3</v>
      </c>
      <c r="AB105">
        <v>1.3</v>
      </c>
      <c r="AC105">
        <v>1.8</v>
      </c>
      <c r="AD105">
        <v>10.1</v>
      </c>
      <c r="AE105">
        <v>1530</v>
      </c>
      <c r="AF105">
        <v>12.3</v>
      </c>
      <c r="AG105">
        <v>0.55500000000000005</v>
      </c>
      <c r="AH105">
        <v>0.52900000000000003</v>
      </c>
      <c r="AI105">
        <v>0.14599999999999999</v>
      </c>
      <c r="AJ105">
        <v>2.9</v>
      </c>
      <c r="AK105">
        <v>9.9</v>
      </c>
      <c r="AL105">
        <v>6.3</v>
      </c>
      <c r="AM105">
        <v>15.8</v>
      </c>
      <c r="AN105">
        <v>2.2000000000000002</v>
      </c>
      <c r="AO105">
        <v>1.2</v>
      </c>
      <c r="AP105">
        <v>12.7</v>
      </c>
      <c r="AQ105">
        <v>18.399999999999999</v>
      </c>
      <c r="AR105">
        <v>0.6</v>
      </c>
      <c r="AS105">
        <v>1.1000000000000001</v>
      </c>
      <c r="AT105">
        <v>1.8</v>
      </c>
      <c r="AU105">
        <v>5.5E-2</v>
      </c>
      <c r="AV105">
        <v>-1</v>
      </c>
      <c r="AW105">
        <v>-0.1</v>
      </c>
      <c r="AX105">
        <v>-1.2</v>
      </c>
      <c r="AY105">
        <v>0.3</v>
      </c>
      <c r="AZ105" s="8">
        <f t="shared" si="2"/>
        <v>0.30000000000000004</v>
      </c>
      <c r="BA105" s="8">
        <f t="shared" si="3"/>
        <v>2.4598039339480335E-2</v>
      </c>
    </row>
    <row r="106" spans="1:53" x14ac:dyDescent="0.25">
      <c r="A106" t="s">
        <v>187</v>
      </c>
      <c r="B106" s="2">
        <v>12119440</v>
      </c>
      <c r="C106" t="s">
        <v>52</v>
      </c>
      <c r="D106">
        <v>23</v>
      </c>
      <c r="E106" t="s">
        <v>150</v>
      </c>
      <c r="F106">
        <v>61</v>
      </c>
      <c r="G106">
        <v>59</v>
      </c>
      <c r="H106">
        <v>31.9</v>
      </c>
      <c r="I106">
        <v>9.3000000000000007</v>
      </c>
      <c r="J106">
        <v>19.899999999999999</v>
      </c>
      <c r="K106">
        <v>0.46600000000000003</v>
      </c>
      <c r="L106">
        <v>1.5</v>
      </c>
      <c r="M106">
        <v>4.9000000000000004</v>
      </c>
      <c r="N106">
        <v>0.307</v>
      </c>
      <c r="O106">
        <v>7.8</v>
      </c>
      <c r="P106">
        <v>15</v>
      </c>
      <c r="Q106">
        <v>0.51900000000000002</v>
      </c>
      <c r="R106">
        <v>0.504</v>
      </c>
      <c r="S106">
        <v>6.1</v>
      </c>
      <c r="T106">
        <v>8.1</v>
      </c>
      <c r="U106">
        <v>0.748</v>
      </c>
      <c r="V106">
        <v>1</v>
      </c>
      <c r="W106">
        <v>4.9000000000000004</v>
      </c>
      <c r="X106">
        <v>5.9</v>
      </c>
      <c r="Y106">
        <v>8.1</v>
      </c>
      <c r="Z106">
        <v>1.1000000000000001</v>
      </c>
      <c r="AA106">
        <v>0.3</v>
      </c>
      <c r="AB106">
        <v>3.4</v>
      </c>
      <c r="AC106">
        <v>1.6</v>
      </c>
      <c r="AD106">
        <v>26.2</v>
      </c>
      <c r="AE106">
        <v>1948</v>
      </c>
      <c r="AF106">
        <v>23.3</v>
      </c>
      <c r="AG106">
        <v>0.55700000000000005</v>
      </c>
      <c r="AH106">
        <v>0.247</v>
      </c>
      <c r="AI106">
        <v>0.40899999999999997</v>
      </c>
      <c r="AJ106">
        <v>3.3</v>
      </c>
      <c r="AK106">
        <v>16.100000000000001</v>
      </c>
      <c r="AL106">
        <v>9.6999999999999993</v>
      </c>
      <c r="AM106">
        <v>41.1</v>
      </c>
      <c r="AN106">
        <v>1.6</v>
      </c>
      <c r="AO106">
        <v>0.7</v>
      </c>
      <c r="AP106">
        <v>12.6</v>
      </c>
      <c r="AQ106">
        <v>34.9</v>
      </c>
      <c r="AR106">
        <v>3.4</v>
      </c>
      <c r="AS106">
        <v>2.6</v>
      </c>
      <c r="AT106">
        <v>6</v>
      </c>
      <c r="AU106">
        <v>0.14799999999999999</v>
      </c>
      <c r="AV106">
        <v>5.2</v>
      </c>
      <c r="AW106">
        <v>0.5</v>
      </c>
      <c r="AX106">
        <v>5.7</v>
      </c>
      <c r="AY106">
        <v>3.8</v>
      </c>
      <c r="AZ106" s="8">
        <f t="shared" si="2"/>
        <v>5.85</v>
      </c>
      <c r="BA106" s="8">
        <f t="shared" si="3"/>
        <v>0.48269557009234748</v>
      </c>
    </row>
    <row r="107" spans="1:53" hidden="1" x14ac:dyDescent="0.25">
      <c r="A107" t="s">
        <v>188</v>
      </c>
      <c r="B107" s="2">
        <v>11710528</v>
      </c>
      <c r="C107" t="s">
        <v>62</v>
      </c>
      <c r="D107">
        <v>35</v>
      </c>
      <c r="E107" t="s">
        <v>150</v>
      </c>
      <c r="F107">
        <v>11</v>
      </c>
      <c r="G107">
        <v>0</v>
      </c>
      <c r="H107">
        <v>12.5</v>
      </c>
      <c r="I107">
        <v>2</v>
      </c>
      <c r="J107">
        <v>4.5</v>
      </c>
      <c r="K107">
        <v>0.44900000000000001</v>
      </c>
      <c r="L107">
        <v>1.5</v>
      </c>
      <c r="M107">
        <v>3.4</v>
      </c>
      <c r="N107">
        <v>0.432</v>
      </c>
      <c r="O107">
        <v>0.5</v>
      </c>
      <c r="P107">
        <v>1.1000000000000001</v>
      </c>
      <c r="Q107">
        <v>0.5</v>
      </c>
      <c r="R107">
        <v>0.61199999999999999</v>
      </c>
      <c r="S107">
        <v>0.1</v>
      </c>
      <c r="T107">
        <v>0.1</v>
      </c>
      <c r="U107">
        <v>1</v>
      </c>
      <c r="V107">
        <v>0.3</v>
      </c>
      <c r="W107">
        <v>1</v>
      </c>
      <c r="X107">
        <v>1.3</v>
      </c>
      <c r="Y107">
        <v>0.5</v>
      </c>
      <c r="Z107">
        <v>0.5</v>
      </c>
      <c r="AA107">
        <v>0.3</v>
      </c>
      <c r="AB107">
        <v>0.9</v>
      </c>
      <c r="AC107">
        <v>1.5</v>
      </c>
      <c r="AD107">
        <v>5.5</v>
      </c>
      <c r="AE107">
        <v>138</v>
      </c>
      <c r="AF107">
        <v>10.8</v>
      </c>
      <c r="AG107">
        <v>0.61699999999999999</v>
      </c>
      <c r="AH107">
        <v>0.755</v>
      </c>
      <c r="AI107">
        <v>0.02</v>
      </c>
      <c r="AJ107">
        <v>2.5</v>
      </c>
      <c r="AK107">
        <v>9.1</v>
      </c>
      <c r="AL107">
        <v>5.8</v>
      </c>
      <c r="AM107">
        <v>6.1</v>
      </c>
      <c r="AN107">
        <v>2.2000000000000002</v>
      </c>
      <c r="AO107">
        <v>2</v>
      </c>
      <c r="AP107">
        <v>16.8</v>
      </c>
      <c r="AQ107">
        <v>18.899999999999999</v>
      </c>
      <c r="AR107">
        <v>0</v>
      </c>
      <c r="AS107">
        <v>0.2</v>
      </c>
      <c r="AT107">
        <v>0.2</v>
      </c>
      <c r="AU107">
        <v>5.8999999999999997E-2</v>
      </c>
      <c r="AV107">
        <v>-2.1</v>
      </c>
      <c r="AW107">
        <v>0.2</v>
      </c>
      <c r="AX107">
        <v>-1.9</v>
      </c>
      <c r="AY107">
        <v>0</v>
      </c>
      <c r="AZ107">
        <f t="shared" si="2"/>
        <v>-0.85</v>
      </c>
      <c r="BA107">
        <f t="shared" si="3"/>
        <v>-7.2584259223836878E-2</v>
      </c>
    </row>
    <row r="108" spans="1:53" hidden="1" x14ac:dyDescent="0.25">
      <c r="A108" t="s">
        <v>189</v>
      </c>
      <c r="B108" s="2">
        <v>11500000</v>
      </c>
      <c r="C108" t="s">
        <v>62</v>
      </c>
      <c r="D108">
        <v>31</v>
      </c>
      <c r="E108" t="s">
        <v>60</v>
      </c>
      <c r="F108">
        <v>63</v>
      </c>
      <c r="G108">
        <v>9</v>
      </c>
      <c r="H108">
        <v>21.1</v>
      </c>
      <c r="I108">
        <v>3.2</v>
      </c>
      <c r="J108">
        <v>7.4</v>
      </c>
      <c r="K108">
        <v>0.43</v>
      </c>
      <c r="L108">
        <v>1.5</v>
      </c>
      <c r="M108">
        <v>4.0999999999999996</v>
      </c>
      <c r="N108">
        <v>0.36799999999999999</v>
      </c>
      <c r="O108">
        <v>1.7</v>
      </c>
      <c r="P108">
        <v>3.3</v>
      </c>
      <c r="Q108">
        <v>0.50700000000000001</v>
      </c>
      <c r="R108">
        <v>0.53200000000000003</v>
      </c>
      <c r="S108">
        <v>0.4</v>
      </c>
      <c r="T108">
        <v>0.5</v>
      </c>
      <c r="U108">
        <v>0.79400000000000004</v>
      </c>
      <c r="V108">
        <v>0.3</v>
      </c>
      <c r="W108">
        <v>2.1</v>
      </c>
      <c r="X108">
        <v>2.4</v>
      </c>
      <c r="Y108">
        <v>1.5</v>
      </c>
      <c r="Z108">
        <v>0.6</v>
      </c>
      <c r="AA108">
        <v>0.2</v>
      </c>
      <c r="AB108">
        <v>0.7</v>
      </c>
      <c r="AC108">
        <v>1.5</v>
      </c>
      <c r="AD108">
        <v>8.3000000000000007</v>
      </c>
      <c r="AE108">
        <v>1330</v>
      </c>
      <c r="AF108">
        <v>10.199999999999999</v>
      </c>
      <c r="AG108">
        <v>0.54400000000000004</v>
      </c>
      <c r="AH108">
        <v>0.55500000000000005</v>
      </c>
      <c r="AI108">
        <v>7.2999999999999995E-2</v>
      </c>
      <c r="AJ108">
        <v>1.8</v>
      </c>
      <c r="AK108">
        <v>11.2</v>
      </c>
      <c r="AL108">
        <v>6.5</v>
      </c>
      <c r="AM108">
        <v>10.199999999999999</v>
      </c>
      <c r="AN108">
        <v>1.3</v>
      </c>
      <c r="AO108">
        <v>0.7</v>
      </c>
      <c r="AP108">
        <v>8.1999999999999993</v>
      </c>
      <c r="AQ108">
        <v>16.8</v>
      </c>
      <c r="AR108">
        <v>0.5</v>
      </c>
      <c r="AS108">
        <v>1.2</v>
      </c>
      <c r="AT108">
        <v>1.6</v>
      </c>
      <c r="AU108">
        <v>5.8999999999999997E-2</v>
      </c>
      <c r="AV108">
        <v>-1.8</v>
      </c>
      <c r="AW108">
        <v>-0.3</v>
      </c>
      <c r="AX108">
        <v>-2.1</v>
      </c>
      <c r="AY108">
        <v>0</v>
      </c>
      <c r="AZ108">
        <f t="shared" si="2"/>
        <v>-0.25</v>
      </c>
      <c r="BA108">
        <f t="shared" si="3"/>
        <v>-2.1739130434782608E-2</v>
      </c>
    </row>
    <row r="109" spans="1:53" hidden="1" x14ac:dyDescent="0.25">
      <c r="A109" t="s">
        <v>190</v>
      </c>
      <c r="B109" s="2">
        <v>11457217</v>
      </c>
      <c r="C109" t="s">
        <v>52</v>
      </c>
      <c r="D109">
        <v>32</v>
      </c>
      <c r="E109" t="s">
        <v>55</v>
      </c>
      <c r="F109">
        <v>68</v>
      </c>
      <c r="G109">
        <v>40</v>
      </c>
      <c r="H109">
        <v>24.4</v>
      </c>
      <c r="I109">
        <v>3.9</v>
      </c>
      <c r="J109">
        <v>9.4</v>
      </c>
      <c r="K109">
        <v>0.41099999999999998</v>
      </c>
      <c r="L109">
        <v>1.4</v>
      </c>
      <c r="M109">
        <v>4.2</v>
      </c>
      <c r="N109">
        <v>0.33300000000000002</v>
      </c>
      <c r="O109">
        <v>2.5</v>
      </c>
      <c r="P109">
        <v>5.2</v>
      </c>
      <c r="Q109">
        <v>0.47399999999999998</v>
      </c>
      <c r="R109">
        <v>0.48599999999999999</v>
      </c>
      <c r="S109">
        <v>1</v>
      </c>
      <c r="T109">
        <v>1.1000000000000001</v>
      </c>
      <c r="U109">
        <v>0.91</v>
      </c>
      <c r="V109">
        <v>0.4</v>
      </c>
      <c r="W109">
        <v>1.8</v>
      </c>
      <c r="X109">
        <v>2.1</v>
      </c>
      <c r="Y109">
        <v>3.4</v>
      </c>
      <c r="Z109">
        <v>0.7</v>
      </c>
      <c r="AA109">
        <v>0.1</v>
      </c>
      <c r="AB109">
        <v>1.7</v>
      </c>
      <c r="AC109">
        <v>1.7</v>
      </c>
      <c r="AD109">
        <v>10.199999999999999</v>
      </c>
      <c r="AE109">
        <v>1657</v>
      </c>
      <c r="AF109">
        <v>10</v>
      </c>
      <c r="AG109">
        <v>0.51400000000000001</v>
      </c>
      <c r="AH109">
        <v>0.45</v>
      </c>
      <c r="AI109">
        <v>0.122</v>
      </c>
      <c r="AJ109">
        <v>1.7</v>
      </c>
      <c r="AK109">
        <v>8</v>
      </c>
      <c r="AL109">
        <v>4.9000000000000004</v>
      </c>
      <c r="AM109">
        <v>20</v>
      </c>
      <c r="AN109">
        <v>1.4</v>
      </c>
      <c r="AO109">
        <v>0.3</v>
      </c>
      <c r="AP109">
        <v>14.6</v>
      </c>
      <c r="AQ109">
        <v>20.8</v>
      </c>
      <c r="AR109">
        <v>-0.6</v>
      </c>
      <c r="AS109">
        <v>1.2</v>
      </c>
      <c r="AT109">
        <v>0.6</v>
      </c>
      <c r="AU109">
        <v>1.7999999999999999E-2</v>
      </c>
      <c r="AV109">
        <v>-2.9</v>
      </c>
      <c r="AW109">
        <v>-1.1000000000000001</v>
      </c>
      <c r="AX109">
        <v>-3.9</v>
      </c>
      <c r="AY109">
        <v>-0.8</v>
      </c>
      <c r="AZ109">
        <f t="shared" si="2"/>
        <v>-1.65</v>
      </c>
      <c r="BA109">
        <f t="shared" si="3"/>
        <v>-0.14401403063239529</v>
      </c>
    </row>
    <row r="110" spans="1:53" hidden="1" x14ac:dyDescent="0.25">
      <c r="A110" t="s">
        <v>191</v>
      </c>
      <c r="B110" s="2">
        <v>11400000</v>
      </c>
      <c r="C110" t="s">
        <v>65</v>
      </c>
      <c r="D110">
        <v>27</v>
      </c>
      <c r="E110" t="s">
        <v>150</v>
      </c>
      <c r="F110">
        <v>73</v>
      </c>
      <c r="G110">
        <v>73</v>
      </c>
      <c r="H110">
        <v>30.3</v>
      </c>
      <c r="I110">
        <v>5.4</v>
      </c>
      <c r="J110">
        <v>13.6</v>
      </c>
      <c r="K110">
        <v>0.39600000000000002</v>
      </c>
      <c r="L110">
        <v>2</v>
      </c>
      <c r="M110">
        <v>6</v>
      </c>
      <c r="N110">
        <v>0.32600000000000001</v>
      </c>
      <c r="O110">
        <v>3.4</v>
      </c>
      <c r="P110">
        <v>7.6</v>
      </c>
      <c r="Q110">
        <v>0.45100000000000001</v>
      </c>
      <c r="R110">
        <v>0.46800000000000003</v>
      </c>
      <c r="S110">
        <v>1.6</v>
      </c>
      <c r="T110">
        <v>2.1</v>
      </c>
      <c r="U110">
        <v>0.77900000000000003</v>
      </c>
      <c r="V110">
        <v>0.6</v>
      </c>
      <c r="W110">
        <v>2.7</v>
      </c>
      <c r="X110">
        <v>3.3</v>
      </c>
      <c r="Y110">
        <v>2.6</v>
      </c>
      <c r="Z110">
        <v>0.9</v>
      </c>
      <c r="AA110">
        <v>0.2</v>
      </c>
      <c r="AB110">
        <v>1.4</v>
      </c>
      <c r="AC110">
        <v>3.3</v>
      </c>
      <c r="AD110">
        <v>14.3</v>
      </c>
      <c r="AE110">
        <v>2214</v>
      </c>
      <c r="AF110">
        <v>9.4</v>
      </c>
      <c r="AG110">
        <v>0.49399999999999999</v>
      </c>
      <c r="AH110">
        <v>0.443</v>
      </c>
      <c r="AI110">
        <v>0.155</v>
      </c>
      <c r="AJ110">
        <v>2.2000000000000002</v>
      </c>
      <c r="AK110">
        <v>9.5</v>
      </c>
      <c r="AL110">
        <v>5.8</v>
      </c>
      <c r="AM110">
        <v>11.7</v>
      </c>
      <c r="AN110">
        <v>1.4</v>
      </c>
      <c r="AO110">
        <v>0.7</v>
      </c>
      <c r="AP110">
        <v>8.9</v>
      </c>
      <c r="AQ110">
        <v>21.8</v>
      </c>
      <c r="AR110">
        <v>-0.8</v>
      </c>
      <c r="AS110">
        <v>2.4</v>
      </c>
      <c r="AT110">
        <v>1.6</v>
      </c>
      <c r="AU110">
        <v>3.4000000000000002E-2</v>
      </c>
      <c r="AV110">
        <v>-3.4</v>
      </c>
      <c r="AW110">
        <v>-0.5</v>
      </c>
      <c r="AX110">
        <v>-3.9</v>
      </c>
      <c r="AY110">
        <v>-1.1000000000000001</v>
      </c>
      <c r="AZ110">
        <f t="shared" si="2"/>
        <v>-1.1499999999999999</v>
      </c>
      <c r="BA110">
        <f t="shared" si="3"/>
        <v>-0.10087719298245613</v>
      </c>
    </row>
    <row r="111" spans="1:53" hidden="1" x14ac:dyDescent="0.25">
      <c r="A111" t="s">
        <v>192</v>
      </c>
      <c r="B111" s="2">
        <v>11215260</v>
      </c>
      <c r="C111" t="s">
        <v>75</v>
      </c>
      <c r="D111">
        <v>29</v>
      </c>
      <c r="E111" t="s">
        <v>116</v>
      </c>
      <c r="F111">
        <v>42</v>
      </c>
      <c r="G111">
        <v>1</v>
      </c>
      <c r="H111">
        <v>8.3000000000000007</v>
      </c>
      <c r="I111">
        <v>1.3</v>
      </c>
      <c r="J111">
        <v>2.1</v>
      </c>
      <c r="K111">
        <v>0.61799999999999999</v>
      </c>
      <c r="L111">
        <v>0.1</v>
      </c>
      <c r="M111">
        <v>0.2</v>
      </c>
      <c r="N111">
        <v>0.625</v>
      </c>
      <c r="O111">
        <v>1.2</v>
      </c>
      <c r="P111">
        <v>1.9</v>
      </c>
      <c r="Q111">
        <v>0.61699999999999999</v>
      </c>
      <c r="R111">
        <v>0.64600000000000002</v>
      </c>
      <c r="S111">
        <v>0.4</v>
      </c>
      <c r="T111">
        <v>0.5</v>
      </c>
      <c r="U111">
        <v>0.78900000000000003</v>
      </c>
      <c r="V111">
        <v>0.7</v>
      </c>
      <c r="W111">
        <v>1.2</v>
      </c>
      <c r="X111">
        <v>1.9</v>
      </c>
      <c r="Y111">
        <v>0.2</v>
      </c>
      <c r="Z111">
        <v>0.1</v>
      </c>
      <c r="AA111">
        <v>0.3</v>
      </c>
      <c r="AB111">
        <v>0.3</v>
      </c>
      <c r="AC111">
        <v>1.2</v>
      </c>
      <c r="AD111">
        <v>3.1</v>
      </c>
      <c r="AE111">
        <v>348</v>
      </c>
      <c r="AF111">
        <v>12.9</v>
      </c>
      <c r="AG111">
        <v>0.66800000000000004</v>
      </c>
      <c r="AH111">
        <v>0.09</v>
      </c>
      <c r="AI111">
        <v>0.21299999999999999</v>
      </c>
      <c r="AJ111">
        <v>9.6</v>
      </c>
      <c r="AK111">
        <v>16.600000000000001</v>
      </c>
      <c r="AL111">
        <v>13.1</v>
      </c>
      <c r="AM111">
        <v>3.5</v>
      </c>
      <c r="AN111">
        <v>0.4</v>
      </c>
      <c r="AO111">
        <v>2.8</v>
      </c>
      <c r="AP111">
        <v>12.6</v>
      </c>
      <c r="AQ111">
        <v>13.7</v>
      </c>
      <c r="AR111">
        <v>0.6</v>
      </c>
      <c r="AS111">
        <v>0.3</v>
      </c>
      <c r="AT111">
        <v>0.8</v>
      </c>
      <c r="AU111">
        <v>0.113</v>
      </c>
      <c r="AV111">
        <v>-2</v>
      </c>
      <c r="AW111">
        <v>-0.9</v>
      </c>
      <c r="AX111">
        <v>-2.9</v>
      </c>
      <c r="AY111">
        <v>-0.1</v>
      </c>
      <c r="AZ111">
        <f t="shared" si="2"/>
        <v>-1.0499999999999998</v>
      </c>
      <c r="BA111">
        <f t="shared" si="3"/>
        <v>-9.3622439426281664E-2</v>
      </c>
    </row>
    <row r="112" spans="1:53" x14ac:dyDescent="0.25">
      <c r="A112" t="s">
        <v>193</v>
      </c>
      <c r="B112" s="2">
        <v>11080125</v>
      </c>
      <c r="C112" t="s">
        <v>75</v>
      </c>
      <c r="D112">
        <v>31</v>
      </c>
      <c r="E112" t="s">
        <v>73</v>
      </c>
      <c r="F112">
        <v>76</v>
      </c>
      <c r="G112">
        <v>64</v>
      </c>
      <c r="H112">
        <v>19.2</v>
      </c>
      <c r="I112">
        <v>2.6</v>
      </c>
      <c r="J112">
        <v>3.5</v>
      </c>
      <c r="K112">
        <v>0.73199999999999998</v>
      </c>
      <c r="L112">
        <v>0</v>
      </c>
      <c r="M112">
        <v>0.1</v>
      </c>
      <c r="N112">
        <v>0</v>
      </c>
      <c r="O112">
        <v>2.6</v>
      </c>
      <c r="P112">
        <v>3.5</v>
      </c>
      <c r="Q112">
        <v>0.746</v>
      </c>
      <c r="R112">
        <v>0.73199999999999998</v>
      </c>
      <c r="S112">
        <v>1.5</v>
      </c>
      <c r="T112">
        <v>2.2000000000000002</v>
      </c>
      <c r="U112">
        <v>0.66700000000000004</v>
      </c>
      <c r="V112">
        <v>2</v>
      </c>
      <c r="W112">
        <v>2.2000000000000002</v>
      </c>
      <c r="X112">
        <v>4.0999999999999996</v>
      </c>
      <c r="Y112">
        <v>0.9</v>
      </c>
      <c r="Z112">
        <v>0.6</v>
      </c>
      <c r="AA112">
        <v>0.3</v>
      </c>
      <c r="AB112">
        <v>0.9</v>
      </c>
      <c r="AC112">
        <v>2.8</v>
      </c>
      <c r="AD112">
        <v>6.7</v>
      </c>
      <c r="AE112">
        <v>1458</v>
      </c>
      <c r="AF112">
        <v>15.5</v>
      </c>
      <c r="AG112">
        <v>0.73799999999999999</v>
      </c>
      <c r="AH112">
        <v>1.9E-2</v>
      </c>
      <c r="AI112">
        <v>0.625</v>
      </c>
      <c r="AJ112">
        <v>11.8</v>
      </c>
      <c r="AK112">
        <v>13.3</v>
      </c>
      <c r="AL112">
        <v>12.5</v>
      </c>
      <c r="AM112">
        <v>6.9</v>
      </c>
      <c r="AN112">
        <v>1.6</v>
      </c>
      <c r="AO112">
        <v>1.6</v>
      </c>
      <c r="AP112">
        <v>15.9</v>
      </c>
      <c r="AQ112">
        <v>12.6</v>
      </c>
      <c r="AR112">
        <v>3.8</v>
      </c>
      <c r="AS112">
        <v>1.3</v>
      </c>
      <c r="AT112">
        <v>5.0999999999999996</v>
      </c>
      <c r="AU112">
        <v>0.16800000000000001</v>
      </c>
      <c r="AV112">
        <v>-1.2</v>
      </c>
      <c r="AW112">
        <v>0</v>
      </c>
      <c r="AX112">
        <v>-1.2</v>
      </c>
      <c r="AY112">
        <v>0.3</v>
      </c>
      <c r="AZ112" s="8">
        <f t="shared" si="2"/>
        <v>1.9499999999999997</v>
      </c>
      <c r="BA112" s="8">
        <f t="shared" si="3"/>
        <v>0.1759907943276813</v>
      </c>
    </row>
    <row r="113" spans="1:53" x14ac:dyDescent="0.25">
      <c r="A113" t="s">
        <v>194</v>
      </c>
      <c r="B113" s="2">
        <v>11055120</v>
      </c>
      <c r="C113" t="s">
        <v>28</v>
      </c>
      <c r="D113">
        <v>20</v>
      </c>
      <c r="E113" t="s">
        <v>152</v>
      </c>
      <c r="F113">
        <v>72</v>
      </c>
      <c r="G113">
        <v>72</v>
      </c>
      <c r="H113">
        <v>33.799999999999997</v>
      </c>
      <c r="I113">
        <v>6.7</v>
      </c>
      <c r="J113">
        <v>15.6</v>
      </c>
      <c r="K113">
        <v>0.42699999999999999</v>
      </c>
      <c r="L113">
        <v>1.2</v>
      </c>
      <c r="M113">
        <v>4</v>
      </c>
      <c r="N113">
        <v>0.29799999999999999</v>
      </c>
      <c r="O113">
        <v>5.5</v>
      </c>
      <c r="P113">
        <v>11.6</v>
      </c>
      <c r="Q113">
        <v>0.47099999999999997</v>
      </c>
      <c r="R113">
        <v>0.46500000000000002</v>
      </c>
      <c r="S113">
        <v>5.5</v>
      </c>
      <c r="T113">
        <v>7.4</v>
      </c>
      <c r="U113">
        <v>0.73799999999999999</v>
      </c>
      <c r="V113">
        <v>1.2</v>
      </c>
      <c r="W113">
        <v>5.7</v>
      </c>
      <c r="X113">
        <v>6.9</v>
      </c>
      <c r="Y113">
        <v>3.7</v>
      </c>
      <c r="Z113">
        <v>0.8</v>
      </c>
      <c r="AA113">
        <v>0.5</v>
      </c>
      <c r="AB113">
        <v>2.8</v>
      </c>
      <c r="AC113">
        <v>2.2000000000000002</v>
      </c>
      <c r="AD113">
        <v>20</v>
      </c>
      <c r="AE113">
        <v>2430</v>
      </c>
      <c r="AF113">
        <v>14.9</v>
      </c>
      <c r="AG113">
        <v>0.52900000000000003</v>
      </c>
      <c r="AH113">
        <v>0.254</v>
      </c>
      <c r="AI113">
        <v>0.47599999999999998</v>
      </c>
      <c r="AJ113">
        <v>3.9</v>
      </c>
      <c r="AK113">
        <v>19.3</v>
      </c>
      <c r="AL113">
        <v>11.6</v>
      </c>
      <c r="AM113">
        <v>17.2</v>
      </c>
      <c r="AN113">
        <v>1.2</v>
      </c>
      <c r="AO113">
        <v>1.5</v>
      </c>
      <c r="AP113">
        <v>12.8</v>
      </c>
      <c r="AQ113">
        <v>27.5</v>
      </c>
      <c r="AR113">
        <v>-0.3</v>
      </c>
      <c r="AS113">
        <v>2.6</v>
      </c>
      <c r="AT113">
        <v>2.4</v>
      </c>
      <c r="AU113">
        <v>4.7E-2</v>
      </c>
      <c r="AV113">
        <v>-0.7</v>
      </c>
      <c r="AW113">
        <v>-0.7</v>
      </c>
      <c r="AX113">
        <v>-1.5</v>
      </c>
      <c r="AY113">
        <v>0.3</v>
      </c>
      <c r="AZ113" s="8">
        <f t="shared" si="2"/>
        <v>0.44999999999999996</v>
      </c>
      <c r="BA113" s="8">
        <f t="shared" si="3"/>
        <v>4.0705121246987816E-2</v>
      </c>
    </row>
    <row r="114" spans="1:53" hidden="1" x14ac:dyDescent="0.25">
      <c r="A114" t="s">
        <v>195</v>
      </c>
      <c r="B114" s="2">
        <v>10900634</v>
      </c>
      <c r="C114" t="s">
        <v>62</v>
      </c>
      <c r="D114">
        <v>22</v>
      </c>
      <c r="E114" t="s">
        <v>123</v>
      </c>
      <c r="F114">
        <v>73</v>
      </c>
      <c r="G114">
        <v>73</v>
      </c>
      <c r="H114">
        <v>33.9</v>
      </c>
      <c r="I114">
        <v>7</v>
      </c>
      <c r="J114">
        <v>16.100000000000001</v>
      </c>
      <c r="K114">
        <v>0.434</v>
      </c>
      <c r="L114">
        <v>1.7</v>
      </c>
      <c r="M114">
        <v>5.3</v>
      </c>
      <c r="N114">
        <v>0.31</v>
      </c>
      <c r="O114">
        <v>5.3</v>
      </c>
      <c r="P114">
        <v>10.8</v>
      </c>
      <c r="Q114">
        <v>0.495</v>
      </c>
      <c r="R114">
        <v>0.48499999999999999</v>
      </c>
      <c r="S114">
        <v>4</v>
      </c>
      <c r="T114">
        <v>5.4</v>
      </c>
      <c r="U114">
        <v>0.74</v>
      </c>
      <c r="V114">
        <v>0.8</v>
      </c>
      <c r="W114">
        <v>4.2</v>
      </c>
      <c r="X114">
        <v>5</v>
      </c>
      <c r="Y114">
        <v>2.8</v>
      </c>
      <c r="Z114">
        <v>0.4</v>
      </c>
      <c r="AA114">
        <v>0.2</v>
      </c>
      <c r="AB114">
        <v>2.2000000000000002</v>
      </c>
      <c r="AC114">
        <v>2.5</v>
      </c>
      <c r="AD114">
        <v>19.600000000000001</v>
      </c>
      <c r="AE114">
        <v>2475</v>
      </c>
      <c r="AF114">
        <v>12.9</v>
      </c>
      <c r="AG114">
        <v>0.53100000000000003</v>
      </c>
      <c r="AH114">
        <v>0.33200000000000002</v>
      </c>
      <c r="AI114">
        <v>0.33300000000000002</v>
      </c>
      <c r="AJ114">
        <v>2.7</v>
      </c>
      <c r="AK114">
        <v>13.7</v>
      </c>
      <c r="AL114">
        <v>8.1999999999999993</v>
      </c>
      <c r="AM114">
        <v>12.4</v>
      </c>
      <c r="AN114">
        <v>0.6</v>
      </c>
      <c r="AO114">
        <v>0.6</v>
      </c>
      <c r="AP114">
        <v>10.8</v>
      </c>
      <c r="AQ114">
        <v>26.2</v>
      </c>
      <c r="AR114">
        <v>0.5</v>
      </c>
      <c r="AS114">
        <v>1.8</v>
      </c>
      <c r="AT114">
        <v>2.2000000000000002</v>
      </c>
      <c r="AU114">
        <v>4.2999999999999997E-2</v>
      </c>
      <c r="AV114">
        <v>-1.2</v>
      </c>
      <c r="AW114">
        <v>-1.9</v>
      </c>
      <c r="AX114">
        <v>-3.1</v>
      </c>
      <c r="AY114">
        <v>-0.7</v>
      </c>
      <c r="AZ114">
        <f t="shared" si="2"/>
        <v>-0.44999999999999996</v>
      </c>
      <c r="BA114">
        <f t="shared" si="3"/>
        <v>-4.1282002496368556E-2</v>
      </c>
    </row>
    <row r="115" spans="1:53" x14ac:dyDescent="0.25">
      <c r="A115" t="s">
        <v>196</v>
      </c>
      <c r="B115" s="2">
        <v>10843350</v>
      </c>
      <c r="C115" t="s">
        <v>28</v>
      </c>
      <c r="D115">
        <v>27</v>
      </c>
      <c r="E115" t="s">
        <v>68</v>
      </c>
      <c r="F115">
        <v>70</v>
      </c>
      <c r="G115">
        <v>22</v>
      </c>
      <c r="H115">
        <v>26</v>
      </c>
      <c r="I115">
        <v>5.7</v>
      </c>
      <c r="J115">
        <v>11.5</v>
      </c>
      <c r="K115">
        <v>0.496</v>
      </c>
      <c r="L115">
        <v>1.4</v>
      </c>
      <c r="M115">
        <v>3.7</v>
      </c>
      <c r="N115">
        <v>0.37</v>
      </c>
      <c r="O115">
        <v>4.3</v>
      </c>
      <c r="P115">
        <v>7.8</v>
      </c>
      <c r="Q115">
        <v>0.55500000000000005</v>
      </c>
      <c r="R115">
        <v>0.55500000000000005</v>
      </c>
      <c r="S115">
        <v>1.4</v>
      </c>
      <c r="T115">
        <v>1.8</v>
      </c>
      <c r="U115">
        <v>0.76800000000000002</v>
      </c>
      <c r="V115">
        <v>2.2000000000000002</v>
      </c>
      <c r="W115">
        <v>7.4</v>
      </c>
      <c r="X115">
        <v>9.6</v>
      </c>
      <c r="Y115">
        <v>1.5</v>
      </c>
      <c r="Z115">
        <v>0.4</v>
      </c>
      <c r="AA115">
        <v>0.2</v>
      </c>
      <c r="AB115">
        <v>1.2</v>
      </c>
      <c r="AC115">
        <v>1.6</v>
      </c>
      <c r="AD115">
        <v>14.1</v>
      </c>
      <c r="AE115">
        <v>1818</v>
      </c>
      <c r="AF115">
        <v>17.8</v>
      </c>
      <c r="AG115">
        <v>0.57499999999999996</v>
      </c>
      <c r="AH115">
        <v>0.32</v>
      </c>
      <c r="AI115">
        <v>0.156</v>
      </c>
      <c r="AJ115">
        <v>9.1999999999999993</v>
      </c>
      <c r="AK115">
        <v>28.6</v>
      </c>
      <c r="AL115">
        <v>19.3</v>
      </c>
      <c r="AM115">
        <v>8.6999999999999993</v>
      </c>
      <c r="AN115">
        <v>0.8</v>
      </c>
      <c r="AO115">
        <v>0.7</v>
      </c>
      <c r="AP115">
        <v>8.6</v>
      </c>
      <c r="AQ115">
        <v>21.7</v>
      </c>
      <c r="AR115">
        <v>2.5</v>
      </c>
      <c r="AS115">
        <v>2.8</v>
      </c>
      <c r="AT115">
        <v>5.3</v>
      </c>
      <c r="AU115">
        <v>0.13900000000000001</v>
      </c>
      <c r="AV115">
        <v>1.2</v>
      </c>
      <c r="AW115">
        <v>-0.6</v>
      </c>
      <c r="AX115">
        <v>0.7</v>
      </c>
      <c r="AY115">
        <v>1.2</v>
      </c>
      <c r="AZ115" s="8">
        <f t="shared" si="2"/>
        <v>3</v>
      </c>
      <c r="BA115" s="8">
        <f t="shared" si="3"/>
        <v>0.27666726611240994</v>
      </c>
    </row>
    <row r="116" spans="1:53" hidden="1" x14ac:dyDescent="0.25">
      <c r="A116" t="s">
        <v>197</v>
      </c>
      <c r="B116" s="2">
        <v>10733758</v>
      </c>
      <c r="C116" t="s">
        <v>75</v>
      </c>
      <c r="D116">
        <v>34</v>
      </c>
      <c r="E116" t="s">
        <v>103</v>
      </c>
      <c r="F116">
        <v>39</v>
      </c>
      <c r="G116">
        <v>8</v>
      </c>
      <c r="H116">
        <v>15</v>
      </c>
      <c r="I116">
        <v>2.2999999999999998</v>
      </c>
      <c r="J116">
        <v>2.9</v>
      </c>
      <c r="K116">
        <v>0.76500000000000001</v>
      </c>
      <c r="L116">
        <v>0</v>
      </c>
      <c r="M116">
        <v>0</v>
      </c>
      <c r="N116">
        <v>1</v>
      </c>
      <c r="O116">
        <v>2.2000000000000002</v>
      </c>
      <c r="P116">
        <v>2.9</v>
      </c>
      <c r="Q116">
        <v>0.76300000000000001</v>
      </c>
      <c r="R116">
        <v>0.77</v>
      </c>
      <c r="S116">
        <v>0.6</v>
      </c>
      <c r="T116">
        <v>1.2</v>
      </c>
      <c r="U116">
        <v>0.45800000000000002</v>
      </c>
      <c r="V116">
        <v>1.3</v>
      </c>
      <c r="W116">
        <v>3.8</v>
      </c>
      <c r="X116">
        <v>5.2</v>
      </c>
      <c r="Y116">
        <v>0.9</v>
      </c>
      <c r="Z116">
        <v>0.3</v>
      </c>
      <c r="AA116">
        <v>0.6</v>
      </c>
      <c r="AB116">
        <v>1.2</v>
      </c>
      <c r="AC116">
        <v>1.8</v>
      </c>
      <c r="AD116">
        <v>5.0999999999999996</v>
      </c>
      <c r="AE116">
        <v>586</v>
      </c>
      <c r="AF116">
        <v>14.7</v>
      </c>
      <c r="AG116">
        <v>0.73099999999999998</v>
      </c>
      <c r="AH116">
        <v>8.9999999999999993E-3</v>
      </c>
      <c r="AI116">
        <v>0.41699999999999998</v>
      </c>
      <c r="AJ116">
        <v>10.5</v>
      </c>
      <c r="AK116">
        <v>28.6</v>
      </c>
      <c r="AL116">
        <v>19.8</v>
      </c>
      <c r="AM116">
        <v>7.7</v>
      </c>
      <c r="AN116">
        <v>1</v>
      </c>
      <c r="AO116">
        <v>3.5</v>
      </c>
      <c r="AP116">
        <v>26.1</v>
      </c>
      <c r="AQ116">
        <v>13.7</v>
      </c>
      <c r="AR116">
        <v>0.5</v>
      </c>
      <c r="AS116">
        <v>0.9</v>
      </c>
      <c r="AT116">
        <v>1.4</v>
      </c>
      <c r="AU116">
        <v>0.112</v>
      </c>
      <c r="AV116">
        <v>-2.4</v>
      </c>
      <c r="AW116">
        <v>0.7</v>
      </c>
      <c r="AX116">
        <v>-1.8</v>
      </c>
      <c r="AY116">
        <v>0</v>
      </c>
      <c r="AZ116">
        <f t="shared" si="2"/>
        <v>-0.20000000000000007</v>
      </c>
      <c r="BA116">
        <f t="shared" si="3"/>
        <v>-1.863280316176311E-2</v>
      </c>
    </row>
    <row r="117" spans="1:53" x14ac:dyDescent="0.25">
      <c r="A117" t="s">
        <v>198</v>
      </c>
      <c r="B117" s="2">
        <v>10733400</v>
      </c>
      <c r="C117" t="s">
        <v>62</v>
      </c>
      <c r="D117">
        <v>21</v>
      </c>
      <c r="E117" t="s">
        <v>76</v>
      </c>
      <c r="F117">
        <v>79</v>
      </c>
      <c r="G117">
        <v>79</v>
      </c>
      <c r="H117">
        <v>36</v>
      </c>
      <c r="I117">
        <v>8.9</v>
      </c>
      <c r="J117">
        <v>19.5</v>
      </c>
      <c r="K117">
        <v>0.45900000000000002</v>
      </c>
      <c r="L117">
        <v>2.7</v>
      </c>
      <c r="M117">
        <v>7.3</v>
      </c>
      <c r="N117">
        <v>0.36899999999999999</v>
      </c>
      <c r="O117">
        <v>6.3</v>
      </c>
      <c r="P117">
        <v>12.2</v>
      </c>
      <c r="Q117">
        <v>0.51300000000000001</v>
      </c>
      <c r="R117">
        <v>0.52800000000000002</v>
      </c>
      <c r="S117">
        <v>4</v>
      </c>
      <c r="T117">
        <v>5.3</v>
      </c>
      <c r="U117">
        <v>0.75600000000000001</v>
      </c>
      <c r="V117">
        <v>0.6</v>
      </c>
      <c r="W117">
        <v>5.2</v>
      </c>
      <c r="X117">
        <v>5.8</v>
      </c>
      <c r="Y117">
        <v>4.4000000000000004</v>
      </c>
      <c r="Z117">
        <v>1.6</v>
      </c>
      <c r="AA117">
        <v>0.7</v>
      </c>
      <c r="AB117">
        <v>3.3</v>
      </c>
      <c r="AC117">
        <v>2.4</v>
      </c>
      <c r="AD117">
        <v>24.6</v>
      </c>
      <c r="AE117">
        <v>2842</v>
      </c>
      <c r="AF117">
        <v>17.399999999999999</v>
      </c>
      <c r="AG117">
        <v>0.56399999999999995</v>
      </c>
      <c r="AH117">
        <v>0.375</v>
      </c>
      <c r="AI117">
        <v>0.27400000000000002</v>
      </c>
      <c r="AJ117">
        <v>1.9</v>
      </c>
      <c r="AK117">
        <v>15.9</v>
      </c>
      <c r="AL117">
        <v>9</v>
      </c>
      <c r="AM117">
        <v>19.3</v>
      </c>
      <c r="AN117">
        <v>2.1</v>
      </c>
      <c r="AO117">
        <v>1.8</v>
      </c>
      <c r="AP117">
        <v>13</v>
      </c>
      <c r="AQ117">
        <v>29.9</v>
      </c>
      <c r="AR117">
        <v>0.2</v>
      </c>
      <c r="AS117">
        <v>3.6</v>
      </c>
      <c r="AT117">
        <v>3.8</v>
      </c>
      <c r="AU117">
        <v>6.4000000000000001E-2</v>
      </c>
      <c r="AV117">
        <v>1</v>
      </c>
      <c r="AW117">
        <v>0</v>
      </c>
      <c r="AX117">
        <v>1</v>
      </c>
      <c r="AY117">
        <v>2.1</v>
      </c>
      <c r="AZ117" s="8">
        <f t="shared" si="2"/>
        <v>2.4</v>
      </c>
      <c r="BA117" s="8">
        <f t="shared" si="3"/>
        <v>0.22360109564536867</v>
      </c>
    </row>
    <row r="118" spans="1:53" hidden="1" x14ac:dyDescent="0.25">
      <c r="A118" t="s">
        <v>199</v>
      </c>
      <c r="B118" s="2">
        <v>10714287</v>
      </c>
      <c r="C118" t="s">
        <v>75</v>
      </c>
      <c r="D118">
        <v>25</v>
      </c>
      <c r="E118" t="s">
        <v>113</v>
      </c>
      <c r="F118">
        <v>35</v>
      </c>
      <c r="G118">
        <v>20</v>
      </c>
      <c r="H118">
        <v>23.5</v>
      </c>
      <c r="I118">
        <v>3.6</v>
      </c>
      <c r="J118">
        <v>4.9000000000000004</v>
      </c>
      <c r="K118">
        <v>0.747</v>
      </c>
      <c r="L118">
        <v>0</v>
      </c>
      <c r="M118">
        <v>0</v>
      </c>
      <c r="N118">
        <v>0</v>
      </c>
      <c r="O118">
        <v>3.6</v>
      </c>
      <c r="P118">
        <v>4.8</v>
      </c>
      <c r="Q118">
        <v>0.751</v>
      </c>
      <c r="R118">
        <v>0.747</v>
      </c>
      <c r="S118">
        <v>0.7</v>
      </c>
      <c r="T118">
        <v>1.2</v>
      </c>
      <c r="U118">
        <v>0.61</v>
      </c>
      <c r="V118">
        <v>3</v>
      </c>
      <c r="W118">
        <v>5.4</v>
      </c>
      <c r="X118">
        <v>8.3000000000000007</v>
      </c>
      <c r="Y118">
        <v>1.4</v>
      </c>
      <c r="Z118">
        <v>0.6</v>
      </c>
      <c r="AA118">
        <v>1.4</v>
      </c>
      <c r="AB118">
        <v>1</v>
      </c>
      <c r="AC118">
        <v>1.9</v>
      </c>
      <c r="AD118">
        <v>8</v>
      </c>
      <c r="AE118">
        <v>824</v>
      </c>
      <c r="AF118">
        <v>19.8</v>
      </c>
      <c r="AG118">
        <v>0.74199999999999999</v>
      </c>
      <c r="AH118">
        <v>6.0000000000000001E-3</v>
      </c>
      <c r="AI118">
        <v>0.24099999999999999</v>
      </c>
      <c r="AJ118">
        <v>14</v>
      </c>
      <c r="AK118">
        <v>24.5</v>
      </c>
      <c r="AL118">
        <v>19.3</v>
      </c>
      <c r="AM118">
        <v>8.5</v>
      </c>
      <c r="AN118">
        <v>1.3</v>
      </c>
      <c r="AO118">
        <v>5</v>
      </c>
      <c r="AP118">
        <v>15.3</v>
      </c>
      <c r="AQ118">
        <v>11.8</v>
      </c>
      <c r="AR118">
        <v>2.2999999999999998</v>
      </c>
      <c r="AS118">
        <v>1.6</v>
      </c>
      <c r="AT118">
        <v>3.8</v>
      </c>
      <c r="AU118">
        <v>0.224</v>
      </c>
      <c r="AV118">
        <v>1</v>
      </c>
      <c r="AW118">
        <v>2.4</v>
      </c>
      <c r="AX118">
        <v>3.3</v>
      </c>
      <c r="AY118">
        <v>1.1000000000000001</v>
      </c>
      <c r="AZ118">
        <f t="shared" si="2"/>
        <v>3.55</v>
      </c>
      <c r="BA118">
        <f t="shared" si="3"/>
        <v>0.33133329357333813</v>
      </c>
    </row>
    <row r="119" spans="1:53" hidden="1" x14ac:dyDescent="0.25">
      <c r="A119" t="s">
        <v>200</v>
      </c>
      <c r="B119" s="2">
        <v>10552800</v>
      </c>
      <c r="C119" t="s">
        <v>52</v>
      </c>
      <c r="D119">
        <v>21</v>
      </c>
      <c r="E119" t="s">
        <v>201</v>
      </c>
      <c r="F119">
        <v>12</v>
      </c>
      <c r="G119">
        <v>12</v>
      </c>
      <c r="H119">
        <v>33.299999999999997</v>
      </c>
      <c r="I119">
        <v>7.8</v>
      </c>
      <c r="J119">
        <v>18.7</v>
      </c>
      <c r="K119">
        <v>0.41499999999999998</v>
      </c>
      <c r="L119">
        <v>1.4</v>
      </c>
      <c r="M119">
        <v>5.0999999999999996</v>
      </c>
      <c r="N119">
        <v>0.27900000000000003</v>
      </c>
      <c r="O119">
        <v>6.3</v>
      </c>
      <c r="P119">
        <v>13.6</v>
      </c>
      <c r="Q119">
        <v>0.46600000000000003</v>
      </c>
      <c r="R119">
        <v>0.45300000000000001</v>
      </c>
      <c r="S119">
        <v>3</v>
      </c>
      <c r="T119">
        <v>3.6</v>
      </c>
      <c r="U119">
        <v>0.83699999999999997</v>
      </c>
      <c r="V119">
        <v>1</v>
      </c>
      <c r="W119">
        <v>5.2</v>
      </c>
      <c r="X119">
        <v>6.2</v>
      </c>
      <c r="Y119">
        <v>6</v>
      </c>
      <c r="Z119">
        <v>0.8</v>
      </c>
      <c r="AA119">
        <v>0.6</v>
      </c>
      <c r="AB119">
        <v>3.3</v>
      </c>
      <c r="AC119">
        <v>2.8</v>
      </c>
      <c r="AD119">
        <v>19.899999999999999</v>
      </c>
      <c r="AE119">
        <v>400</v>
      </c>
      <c r="AF119">
        <v>14</v>
      </c>
      <c r="AG119">
        <v>0.49199999999999999</v>
      </c>
      <c r="AH119">
        <v>0.27200000000000002</v>
      </c>
      <c r="AI119">
        <v>0.192</v>
      </c>
      <c r="AJ119">
        <v>3.2</v>
      </c>
      <c r="AK119">
        <v>17.7</v>
      </c>
      <c r="AL119">
        <v>10.3</v>
      </c>
      <c r="AM119">
        <v>30.7</v>
      </c>
      <c r="AN119">
        <v>1.2</v>
      </c>
      <c r="AO119">
        <v>1.5</v>
      </c>
      <c r="AP119">
        <v>13.8</v>
      </c>
      <c r="AQ119">
        <v>30</v>
      </c>
      <c r="AR119">
        <v>-0.4</v>
      </c>
      <c r="AS119">
        <v>0.2</v>
      </c>
      <c r="AT119">
        <v>-0.1</v>
      </c>
      <c r="AU119">
        <v>-1.7999999999999999E-2</v>
      </c>
      <c r="AV119">
        <v>-0.1</v>
      </c>
      <c r="AW119">
        <v>-0.6</v>
      </c>
      <c r="AX119">
        <v>-0.7</v>
      </c>
      <c r="AY119">
        <v>0.1</v>
      </c>
      <c r="AZ119">
        <f t="shared" si="2"/>
        <v>-0.39999999999999997</v>
      </c>
      <c r="BA119">
        <f t="shared" si="3"/>
        <v>-3.7904631946023795E-2</v>
      </c>
    </row>
    <row r="120" spans="1:53" hidden="1" x14ac:dyDescent="0.25">
      <c r="A120" t="s">
        <v>202</v>
      </c>
      <c r="B120" s="2">
        <v>10300000</v>
      </c>
      <c r="C120" t="s">
        <v>75</v>
      </c>
      <c r="D120">
        <v>24</v>
      </c>
      <c r="E120" t="s">
        <v>152</v>
      </c>
      <c r="F120">
        <v>49</v>
      </c>
      <c r="G120">
        <v>7</v>
      </c>
      <c r="H120">
        <v>15.7</v>
      </c>
      <c r="I120">
        <v>2.4</v>
      </c>
      <c r="J120">
        <v>4.9000000000000004</v>
      </c>
      <c r="K120">
        <v>0.48499999999999999</v>
      </c>
      <c r="L120">
        <v>1</v>
      </c>
      <c r="M120">
        <v>2.5</v>
      </c>
      <c r="N120">
        <v>0.38700000000000001</v>
      </c>
      <c r="O120">
        <v>1.4</v>
      </c>
      <c r="P120">
        <v>2.4</v>
      </c>
      <c r="Q120">
        <v>0.59</v>
      </c>
      <c r="R120">
        <v>0.58499999999999996</v>
      </c>
      <c r="S120">
        <v>0.8</v>
      </c>
      <c r="T120">
        <v>1.3</v>
      </c>
      <c r="U120">
        <v>0.66100000000000003</v>
      </c>
      <c r="V120">
        <v>1.2</v>
      </c>
      <c r="W120">
        <v>3.4</v>
      </c>
      <c r="X120">
        <v>4.5999999999999996</v>
      </c>
      <c r="Y120">
        <v>0.9</v>
      </c>
      <c r="Z120">
        <v>0.3</v>
      </c>
      <c r="AA120">
        <v>0.9</v>
      </c>
      <c r="AB120">
        <v>0.6</v>
      </c>
      <c r="AC120">
        <v>2.1</v>
      </c>
      <c r="AD120">
        <v>6.6</v>
      </c>
      <c r="AE120">
        <v>769</v>
      </c>
      <c r="AF120">
        <v>15.7</v>
      </c>
      <c r="AG120">
        <v>0.60199999999999998</v>
      </c>
      <c r="AH120">
        <v>0.51500000000000001</v>
      </c>
      <c r="AI120">
        <v>0.25700000000000001</v>
      </c>
      <c r="AJ120">
        <v>8.5</v>
      </c>
      <c r="AK120">
        <v>24.2</v>
      </c>
      <c r="AL120">
        <v>16.399999999999999</v>
      </c>
      <c r="AM120">
        <v>8.6999999999999993</v>
      </c>
      <c r="AN120">
        <v>0.8</v>
      </c>
      <c r="AO120">
        <v>5.3</v>
      </c>
      <c r="AP120">
        <v>10.1</v>
      </c>
      <c r="AQ120">
        <v>16.600000000000001</v>
      </c>
      <c r="AR120">
        <v>1.1000000000000001</v>
      </c>
      <c r="AS120">
        <v>1.1000000000000001</v>
      </c>
      <c r="AT120">
        <v>2.2000000000000002</v>
      </c>
      <c r="AU120">
        <v>0.13900000000000001</v>
      </c>
      <c r="AV120">
        <v>-0.2</v>
      </c>
      <c r="AW120">
        <v>0.7</v>
      </c>
      <c r="AX120">
        <v>0.5</v>
      </c>
      <c r="AY120">
        <v>0.5</v>
      </c>
      <c r="AZ120">
        <f t="shared" si="2"/>
        <v>1.35</v>
      </c>
      <c r="BA120">
        <f t="shared" si="3"/>
        <v>0.13106796116504854</v>
      </c>
    </row>
    <row r="121" spans="1:53" hidden="1" x14ac:dyDescent="0.25">
      <c r="A121" t="s">
        <v>203</v>
      </c>
      <c r="B121" s="2">
        <v>10260000</v>
      </c>
      <c r="C121" t="s">
        <v>62</v>
      </c>
      <c r="D121">
        <v>22</v>
      </c>
      <c r="E121" t="s">
        <v>130</v>
      </c>
      <c r="F121">
        <v>65</v>
      </c>
      <c r="G121">
        <v>20</v>
      </c>
      <c r="H121">
        <v>20.2</v>
      </c>
      <c r="I121">
        <v>4</v>
      </c>
      <c r="J121">
        <v>9.4</v>
      </c>
      <c r="K121">
        <v>0.41899999999999998</v>
      </c>
      <c r="L121">
        <v>0.9</v>
      </c>
      <c r="M121">
        <v>3.1</v>
      </c>
      <c r="N121">
        <v>0.28599999999999998</v>
      </c>
      <c r="O121">
        <v>3.1</v>
      </c>
      <c r="P121">
        <v>6.3</v>
      </c>
      <c r="Q121">
        <v>0.48499999999999999</v>
      </c>
      <c r="R121">
        <v>0.46700000000000003</v>
      </c>
      <c r="S121">
        <v>1.9</v>
      </c>
      <c r="T121">
        <v>2.6</v>
      </c>
      <c r="U121">
        <v>0.75</v>
      </c>
      <c r="V121">
        <v>0.6</v>
      </c>
      <c r="W121">
        <v>2.6</v>
      </c>
      <c r="X121">
        <v>3.2</v>
      </c>
      <c r="Y121">
        <v>3.8</v>
      </c>
      <c r="Z121">
        <v>0.6</v>
      </c>
      <c r="AA121">
        <v>0.4</v>
      </c>
      <c r="AB121">
        <v>1.9</v>
      </c>
      <c r="AC121">
        <v>1.7</v>
      </c>
      <c r="AD121">
        <v>10.7</v>
      </c>
      <c r="AE121">
        <v>1313</v>
      </c>
      <c r="AF121">
        <v>13.7</v>
      </c>
      <c r="AG121">
        <v>0.50800000000000001</v>
      </c>
      <c r="AH121">
        <v>0.33100000000000002</v>
      </c>
      <c r="AI121">
        <v>0.27400000000000002</v>
      </c>
      <c r="AJ121">
        <v>3.4</v>
      </c>
      <c r="AK121">
        <v>13.7</v>
      </c>
      <c r="AL121">
        <v>8.6</v>
      </c>
      <c r="AM121">
        <v>27.4</v>
      </c>
      <c r="AN121">
        <v>1.5</v>
      </c>
      <c r="AO121">
        <v>1.9</v>
      </c>
      <c r="AP121">
        <v>15.5</v>
      </c>
      <c r="AQ121">
        <v>25.9</v>
      </c>
      <c r="AR121">
        <v>-0.3</v>
      </c>
      <c r="AS121">
        <v>1.1000000000000001</v>
      </c>
      <c r="AT121">
        <v>0.8</v>
      </c>
      <c r="AU121">
        <v>2.9000000000000001E-2</v>
      </c>
      <c r="AV121">
        <v>-1.1000000000000001</v>
      </c>
      <c r="AW121">
        <v>-0.5</v>
      </c>
      <c r="AX121">
        <v>-1.6</v>
      </c>
      <c r="AY121">
        <v>0.2</v>
      </c>
      <c r="AZ121">
        <f t="shared" si="2"/>
        <v>-0.4</v>
      </c>
      <c r="BA121">
        <f t="shared" si="3"/>
        <v>-3.8986354775828458E-2</v>
      </c>
    </row>
    <row r="122" spans="1:53" hidden="1" x14ac:dyDescent="0.25">
      <c r="A122" t="s">
        <v>204</v>
      </c>
      <c r="B122" s="2">
        <v>10183800</v>
      </c>
      <c r="C122" t="s">
        <v>28</v>
      </c>
      <c r="D122">
        <v>32</v>
      </c>
      <c r="E122" t="s">
        <v>68</v>
      </c>
      <c r="F122">
        <v>18</v>
      </c>
      <c r="G122">
        <v>3</v>
      </c>
      <c r="H122">
        <v>18.899999999999999</v>
      </c>
      <c r="I122">
        <v>2.5</v>
      </c>
      <c r="J122">
        <v>5.2</v>
      </c>
      <c r="K122">
        <v>0.47899999999999998</v>
      </c>
      <c r="L122">
        <v>1.3</v>
      </c>
      <c r="M122">
        <v>3.1</v>
      </c>
      <c r="N122">
        <v>0.436</v>
      </c>
      <c r="O122">
        <v>1.2</v>
      </c>
      <c r="P122">
        <v>2.2000000000000002</v>
      </c>
      <c r="Q122">
        <v>0.53800000000000003</v>
      </c>
      <c r="R122">
        <v>0.60599999999999998</v>
      </c>
      <c r="S122">
        <v>0.6</v>
      </c>
      <c r="T122">
        <v>0.7</v>
      </c>
      <c r="U122">
        <v>0.83299999999999996</v>
      </c>
      <c r="V122">
        <v>0.9</v>
      </c>
      <c r="W122">
        <v>2.9</v>
      </c>
      <c r="X122">
        <v>3.8</v>
      </c>
      <c r="Y122">
        <v>1.5</v>
      </c>
      <c r="Z122">
        <v>0.7</v>
      </c>
      <c r="AA122">
        <v>0.3</v>
      </c>
      <c r="AB122">
        <v>0.4</v>
      </c>
      <c r="AC122">
        <v>1.5</v>
      </c>
      <c r="AD122">
        <v>6.9</v>
      </c>
      <c r="AE122">
        <v>340</v>
      </c>
      <c r="AF122">
        <v>14.6</v>
      </c>
      <c r="AG122">
        <v>0.624</v>
      </c>
      <c r="AH122">
        <v>0.58499999999999996</v>
      </c>
      <c r="AI122">
        <v>0.128</v>
      </c>
      <c r="AJ122">
        <v>5.4</v>
      </c>
      <c r="AK122">
        <v>15.3</v>
      </c>
      <c r="AL122">
        <v>10.6</v>
      </c>
      <c r="AM122">
        <v>10.6</v>
      </c>
      <c r="AN122">
        <v>1.7</v>
      </c>
      <c r="AO122">
        <v>1.4</v>
      </c>
      <c r="AP122">
        <v>6.6</v>
      </c>
      <c r="AQ122">
        <v>13.2</v>
      </c>
      <c r="AR122">
        <v>0.7</v>
      </c>
      <c r="AS122">
        <v>0.5</v>
      </c>
      <c r="AT122">
        <v>1.2</v>
      </c>
      <c r="AU122">
        <v>0.16500000000000001</v>
      </c>
      <c r="AV122">
        <v>0.1</v>
      </c>
      <c r="AW122">
        <v>1.1000000000000001</v>
      </c>
      <c r="AX122">
        <v>1.2</v>
      </c>
      <c r="AY122">
        <v>0.3</v>
      </c>
      <c r="AZ122">
        <f t="shared" si="2"/>
        <v>1.2</v>
      </c>
      <c r="BA122">
        <f t="shared" si="3"/>
        <v>0.11783420727037058</v>
      </c>
    </row>
    <row r="123" spans="1:53" x14ac:dyDescent="0.25">
      <c r="A123" t="s">
        <v>205</v>
      </c>
      <c r="B123" s="2">
        <v>10123457</v>
      </c>
      <c r="C123" t="s">
        <v>75</v>
      </c>
      <c r="D123">
        <v>25</v>
      </c>
      <c r="E123" t="s">
        <v>55</v>
      </c>
      <c r="F123">
        <v>76</v>
      </c>
      <c r="G123">
        <v>76</v>
      </c>
      <c r="H123">
        <v>28.6</v>
      </c>
      <c r="I123">
        <v>4.3</v>
      </c>
      <c r="J123">
        <v>6.8</v>
      </c>
      <c r="K123">
        <v>0.63400000000000001</v>
      </c>
      <c r="L123">
        <v>0</v>
      </c>
      <c r="M123">
        <v>0</v>
      </c>
      <c r="N123">
        <v>0</v>
      </c>
      <c r="O123">
        <v>4.3</v>
      </c>
      <c r="P123">
        <v>6.7</v>
      </c>
      <c r="Q123">
        <v>0.63700000000000001</v>
      </c>
      <c r="R123">
        <v>0.63400000000000001</v>
      </c>
      <c r="S123">
        <v>2.2000000000000002</v>
      </c>
      <c r="T123">
        <v>3.1</v>
      </c>
      <c r="U123">
        <v>0.69699999999999995</v>
      </c>
      <c r="V123">
        <v>3.1</v>
      </c>
      <c r="W123">
        <v>6.8</v>
      </c>
      <c r="X123">
        <v>9.9</v>
      </c>
      <c r="Y123">
        <v>1</v>
      </c>
      <c r="Z123">
        <v>0.4</v>
      </c>
      <c r="AA123">
        <v>1.3</v>
      </c>
      <c r="AB123">
        <v>1.5</v>
      </c>
      <c r="AC123">
        <v>2.9</v>
      </c>
      <c r="AD123">
        <v>10.8</v>
      </c>
      <c r="AE123">
        <v>2170</v>
      </c>
      <c r="AF123">
        <v>16.7</v>
      </c>
      <c r="AG123">
        <v>0.66100000000000003</v>
      </c>
      <c r="AH123">
        <v>4.0000000000000001E-3</v>
      </c>
      <c r="AI123">
        <v>0.46300000000000002</v>
      </c>
      <c r="AJ123">
        <v>12.3</v>
      </c>
      <c r="AK123">
        <v>26.5</v>
      </c>
      <c r="AL123">
        <v>19.5</v>
      </c>
      <c r="AM123">
        <v>5.0999999999999996</v>
      </c>
      <c r="AN123">
        <v>0.7</v>
      </c>
      <c r="AO123">
        <v>4</v>
      </c>
      <c r="AP123">
        <v>15.9</v>
      </c>
      <c r="AQ123">
        <v>14.8</v>
      </c>
      <c r="AR123">
        <v>3.8</v>
      </c>
      <c r="AS123">
        <v>2.9</v>
      </c>
      <c r="AT123">
        <v>6.7</v>
      </c>
      <c r="AU123">
        <v>0.14899999999999999</v>
      </c>
      <c r="AV123">
        <v>-1.1000000000000001</v>
      </c>
      <c r="AW123">
        <v>0.2</v>
      </c>
      <c r="AX123">
        <v>-0.9</v>
      </c>
      <c r="AY123">
        <v>0.6</v>
      </c>
      <c r="AZ123" s="8">
        <f t="shared" si="2"/>
        <v>2.9</v>
      </c>
      <c r="BA123" s="8">
        <f t="shared" si="3"/>
        <v>0.28646340869527082</v>
      </c>
    </row>
    <row r="124" spans="1:53" x14ac:dyDescent="0.25">
      <c r="A124" t="s">
        <v>206</v>
      </c>
      <c r="B124" s="2">
        <v>10012800</v>
      </c>
      <c r="C124" t="s">
        <v>65</v>
      </c>
      <c r="D124">
        <v>31</v>
      </c>
      <c r="E124" t="s">
        <v>73</v>
      </c>
      <c r="F124">
        <v>78</v>
      </c>
      <c r="G124">
        <v>55</v>
      </c>
      <c r="H124">
        <v>30.3</v>
      </c>
      <c r="I124">
        <v>2.5</v>
      </c>
      <c r="J124">
        <v>6</v>
      </c>
      <c r="K124">
        <v>0.40899999999999997</v>
      </c>
      <c r="L124">
        <v>1.9</v>
      </c>
      <c r="M124">
        <v>5.0999999999999996</v>
      </c>
      <c r="N124">
        <v>0.38</v>
      </c>
      <c r="O124">
        <v>0.5</v>
      </c>
      <c r="P124">
        <v>0.9</v>
      </c>
      <c r="Q124">
        <v>0.56200000000000006</v>
      </c>
      <c r="R124">
        <v>0.56899999999999995</v>
      </c>
      <c r="S124">
        <v>0.3</v>
      </c>
      <c r="T124">
        <v>0.5</v>
      </c>
      <c r="U124">
        <v>0.70299999999999996</v>
      </c>
      <c r="V124">
        <v>0.4</v>
      </c>
      <c r="W124">
        <v>3.2</v>
      </c>
      <c r="X124">
        <v>3.6</v>
      </c>
      <c r="Y124">
        <v>1.4</v>
      </c>
      <c r="Z124">
        <v>0.7</v>
      </c>
      <c r="AA124">
        <v>0.2</v>
      </c>
      <c r="AB124">
        <v>0.5</v>
      </c>
      <c r="AC124">
        <v>2.1</v>
      </c>
      <c r="AD124">
        <v>7.2</v>
      </c>
      <c r="AE124">
        <v>2364</v>
      </c>
      <c r="AF124">
        <v>7.7</v>
      </c>
      <c r="AG124">
        <v>0.57699999999999996</v>
      </c>
      <c r="AH124">
        <v>0.84499999999999997</v>
      </c>
      <c r="AI124">
        <v>7.9000000000000001E-2</v>
      </c>
      <c r="AJ124">
        <v>1.6</v>
      </c>
      <c r="AK124">
        <v>12.5</v>
      </c>
      <c r="AL124">
        <v>7</v>
      </c>
      <c r="AM124">
        <v>6.2</v>
      </c>
      <c r="AN124">
        <v>1.1000000000000001</v>
      </c>
      <c r="AO124">
        <v>0.5</v>
      </c>
      <c r="AP124">
        <v>6.9</v>
      </c>
      <c r="AQ124">
        <v>10</v>
      </c>
      <c r="AR124">
        <v>1.3</v>
      </c>
      <c r="AS124">
        <v>1.4</v>
      </c>
      <c r="AT124">
        <v>2.8</v>
      </c>
      <c r="AU124">
        <v>5.6000000000000001E-2</v>
      </c>
      <c r="AV124">
        <v>-2.2999999999999998</v>
      </c>
      <c r="AW124">
        <v>-0.3</v>
      </c>
      <c r="AX124">
        <v>-2.6</v>
      </c>
      <c r="AY124">
        <v>-0.4</v>
      </c>
      <c r="AZ124" s="8">
        <f t="shared" si="2"/>
        <v>9.9999999999999867E-2</v>
      </c>
      <c r="BA124" s="8">
        <f t="shared" si="3"/>
        <v>9.987216363055277E-3</v>
      </c>
    </row>
    <row r="125" spans="1:53" x14ac:dyDescent="0.25">
      <c r="A125" t="s">
        <v>207</v>
      </c>
      <c r="B125" s="2">
        <v>10012800</v>
      </c>
      <c r="C125" t="s">
        <v>62</v>
      </c>
      <c r="D125">
        <v>31</v>
      </c>
      <c r="E125" t="s">
        <v>201</v>
      </c>
      <c r="F125">
        <v>51</v>
      </c>
      <c r="G125">
        <v>8</v>
      </c>
      <c r="H125">
        <v>22</v>
      </c>
      <c r="I125">
        <v>3.9</v>
      </c>
      <c r="J125">
        <v>9</v>
      </c>
      <c r="K125">
        <v>0.436</v>
      </c>
      <c r="L125">
        <v>1.9</v>
      </c>
      <c r="M125">
        <v>4.7</v>
      </c>
      <c r="N125">
        <v>0.41399999999999998</v>
      </c>
      <c r="O125">
        <v>2</v>
      </c>
      <c r="P125">
        <v>4.3</v>
      </c>
      <c r="Q125">
        <v>0.45900000000000002</v>
      </c>
      <c r="R125">
        <v>0.54400000000000004</v>
      </c>
      <c r="S125">
        <v>3</v>
      </c>
      <c r="T125">
        <v>3.7</v>
      </c>
      <c r="U125">
        <v>0.81399999999999995</v>
      </c>
      <c r="V125">
        <v>0.4</v>
      </c>
      <c r="W125">
        <v>2.7</v>
      </c>
      <c r="X125">
        <v>3.1</v>
      </c>
      <c r="Y125">
        <v>2.2000000000000002</v>
      </c>
      <c r="Z125">
        <v>0.7</v>
      </c>
      <c r="AA125">
        <v>0.2</v>
      </c>
      <c r="AB125">
        <v>1.1000000000000001</v>
      </c>
      <c r="AC125">
        <v>1.9</v>
      </c>
      <c r="AD125">
        <v>12.8</v>
      </c>
      <c r="AE125">
        <v>1122</v>
      </c>
      <c r="AF125">
        <v>16.5</v>
      </c>
      <c r="AG125">
        <v>0.60199999999999998</v>
      </c>
      <c r="AH125">
        <v>0.52100000000000002</v>
      </c>
      <c r="AI125">
        <v>0.41</v>
      </c>
      <c r="AJ125">
        <v>1.8</v>
      </c>
      <c r="AK125">
        <v>14.2</v>
      </c>
      <c r="AL125">
        <v>7.8</v>
      </c>
      <c r="AM125">
        <v>15.9</v>
      </c>
      <c r="AN125">
        <v>1.6</v>
      </c>
      <c r="AO125">
        <v>0.6</v>
      </c>
      <c r="AP125">
        <v>9.6999999999999993</v>
      </c>
      <c r="AQ125">
        <v>22.8</v>
      </c>
      <c r="AR125">
        <v>1.9</v>
      </c>
      <c r="AS125">
        <v>0.6</v>
      </c>
      <c r="AT125">
        <v>2.5</v>
      </c>
      <c r="AU125">
        <v>0.109</v>
      </c>
      <c r="AV125">
        <v>1.8</v>
      </c>
      <c r="AW125">
        <v>-0.5</v>
      </c>
      <c r="AX125">
        <v>1.2</v>
      </c>
      <c r="AY125">
        <v>0.9</v>
      </c>
      <c r="AZ125" s="8">
        <f t="shared" si="2"/>
        <v>1.85</v>
      </c>
      <c r="BA125" s="8">
        <f t="shared" si="3"/>
        <v>0.18476350271652284</v>
      </c>
    </row>
    <row r="126" spans="1:53" hidden="1" x14ac:dyDescent="0.25">
      <c r="A126" t="s">
        <v>208</v>
      </c>
      <c r="B126" s="2">
        <v>9835881</v>
      </c>
      <c r="C126" t="s">
        <v>65</v>
      </c>
      <c r="D126">
        <v>25</v>
      </c>
      <c r="E126" t="s">
        <v>85</v>
      </c>
      <c r="F126">
        <v>67</v>
      </c>
      <c r="G126">
        <v>67</v>
      </c>
      <c r="H126">
        <v>31.7</v>
      </c>
      <c r="I126">
        <v>5.7</v>
      </c>
      <c r="J126">
        <v>12.3</v>
      </c>
      <c r="K126">
        <v>0.46100000000000002</v>
      </c>
      <c r="L126">
        <v>1.5</v>
      </c>
      <c r="M126">
        <v>4.3</v>
      </c>
      <c r="N126">
        <v>0.35</v>
      </c>
      <c r="O126">
        <v>4.2</v>
      </c>
      <c r="P126">
        <v>8</v>
      </c>
      <c r="Q126">
        <v>0.52100000000000002</v>
      </c>
      <c r="R126">
        <v>0.52200000000000002</v>
      </c>
      <c r="S126">
        <v>2.6</v>
      </c>
      <c r="T126">
        <v>3.1</v>
      </c>
      <c r="U126">
        <v>0.82599999999999996</v>
      </c>
      <c r="V126">
        <v>0.7</v>
      </c>
      <c r="W126">
        <v>3.6</v>
      </c>
      <c r="X126">
        <v>4.2</v>
      </c>
      <c r="Y126">
        <v>1.4</v>
      </c>
      <c r="Z126">
        <v>0.5</v>
      </c>
      <c r="AA126">
        <v>0.3</v>
      </c>
      <c r="AB126">
        <v>1.2</v>
      </c>
      <c r="AC126">
        <v>3</v>
      </c>
      <c r="AD126">
        <v>15.4</v>
      </c>
      <c r="AE126">
        <v>2126</v>
      </c>
      <c r="AF126">
        <v>11.5</v>
      </c>
      <c r="AG126">
        <v>0.56299999999999994</v>
      </c>
      <c r="AH126">
        <v>0.34799999999999998</v>
      </c>
      <c r="AI126">
        <v>0.252</v>
      </c>
      <c r="AJ126">
        <v>2.2999999999999998</v>
      </c>
      <c r="AK126">
        <v>12.4</v>
      </c>
      <c r="AL126">
        <v>7.3</v>
      </c>
      <c r="AM126">
        <v>6</v>
      </c>
      <c r="AN126">
        <v>0.8</v>
      </c>
      <c r="AO126">
        <v>0.7</v>
      </c>
      <c r="AP126">
        <v>8.1999999999999993</v>
      </c>
      <c r="AQ126">
        <v>19.7</v>
      </c>
      <c r="AR126">
        <v>1.4</v>
      </c>
      <c r="AS126">
        <v>1.2</v>
      </c>
      <c r="AT126">
        <v>2.5</v>
      </c>
      <c r="AU126">
        <v>5.7000000000000002E-2</v>
      </c>
      <c r="AV126">
        <v>-1.9</v>
      </c>
      <c r="AW126">
        <v>-1.4</v>
      </c>
      <c r="AX126">
        <v>-3.3</v>
      </c>
      <c r="AY126">
        <v>-0.7</v>
      </c>
      <c r="AZ126">
        <f t="shared" si="2"/>
        <v>-0.39999999999999991</v>
      </c>
      <c r="BA126">
        <f t="shared" si="3"/>
        <v>-4.0667429790986684E-2</v>
      </c>
    </row>
    <row r="127" spans="1:53" hidden="1" x14ac:dyDescent="0.25">
      <c r="A127" t="s">
        <v>209</v>
      </c>
      <c r="B127" s="2">
        <v>9603360</v>
      </c>
      <c r="C127" t="s">
        <v>75</v>
      </c>
      <c r="D127">
        <v>21</v>
      </c>
      <c r="E127" t="s">
        <v>201</v>
      </c>
      <c r="F127">
        <v>45</v>
      </c>
      <c r="G127">
        <v>22</v>
      </c>
      <c r="H127">
        <v>19.3</v>
      </c>
      <c r="I127">
        <v>4.2</v>
      </c>
      <c r="J127">
        <v>7.5</v>
      </c>
      <c r="K127">
        <v>0.55800000000000005</v>
      </c>
      <c r="L127">
        <v>0.1</v>
      </c>
      <c r="M127">
        <v>0.4</v>
      </c>
      <c r="N127">
        <v>0.2</v>
      </c>
      <c r="O127">
        <v>4.0999999999999996</v>
      </c>
      <c r="P127">
        <v>7.1</v>
      </c>
      <c r="Q127">
        <v>0.57999999999999996</v>
      </c>
      <c r="R127">
        <v>0.56299999999999994</v>
      </c>
      <c r="S127">
        <v>1.5</v>
      </c>
      <c r="T127">
        <v>2.2000000000000002</v>
      </c>
      <c r="U127">
        <v>0.70099999999999996</v>
      </c>
      <c r="V127">
        <v>1.6</v>
      </c>
      <c r="W127">
        <v>4.3</v>
      </c>
      <c r="X127">
        <v>5.9</v>
      </c>
      <c r="Y127">
        <v>0.7</v>
      </c>
      <c r="Z127">
        <v>0.2</v>
      </c>
      <c r="AA127">
        <v>0.6</v>
      </c>
      <c r="AB127">
        <v>1.1000000000000001</v>
      </c>
      <c r="AC127">
        <v>2.4</v>
      </c>
      <c r="AD127">
        <v>10</v>
      </c>
      <c r="AE127">
        <v>867</v>
      </c>
      <c r="AF127">
        <v>15.6</v>
      </c>
      <c r="AG127">
        <v>0.58899999999999997</v>
      </c>
      <c r="AH127">
        <v>5.8999999999999997E-2</v>
      </c>
      <c r="AI127">
        <v>0.28599999999999998</v>
      </c>
      <c r="AJ127">
        <v>9.1999999999999993</v>
      </c>
      <c r="AK127">
        <v>25.2</v>
      </c>
      <c r="AL127">
        <v>17</v>
      </c>
      <c r="AM127">
        <v>5.5</v>
      </c>
      <c r="AN127">
        <v>0.4</v>
      </c>
      <c r="AO127">
        <v>2.7</v>
      </c>
      <c r="AP127">
        <v>11.8</v>
      </c>
      <c r="AQ127">
        <v>21.2</v>
      </c>
      <c r="AR127">
        <v>0.7</v>
      </c>
      <c r="AS127">
        <v>0.7</v>
      </c>
      <c r="AT127">
        <v>1.4</v>
      </c>
      <c r="AU127">
        <v>7.6999999999999999E-2</v>
      </c>
      <c r="AV127">
        <v>-2.1</v>
      </c>
      <c r="AW127">
        <v>-1.4</v>
      </c>
      <c r="AX127">
        <v>-3.5</v>
      </c>
      <c r="AY127">
        <v>-0.3</v>
      </c>
      <c r="AZ127">
        <f t="shared" si="2"/>
        <v>-1.05</v>
      </c>
      <c r="BA127">
        <f t="shared" si="3"/>
        <v>-0.10933673214374968</v>
      </c>
    </row>
    <row r="128" spans="1:53" hidden="1" x14ac:dyDescent="0.25">
      <c r="A128" t="s">
        <v>210</v>
      </c>
      <c r="B128" s="2">
        <v>9500000</v>
      </c>
      <c r="C128" t="s">
        <v>62</v>
      </c>
      <c r="D128">
        <v>25</v>
      </c>
      <c r="E128" t="s">
        <v>60</v>
      </c>
      <c r="F128">
        <v>40</v>
      </c>
      <c r="G128">
        <v>9</v>
      </c>
      <c r="H128">
        <v>20.2</v>
      </c>
      <c r="I128">
        <v>2.8</v>
      </c>
      <c r="J128">
        <v>7.5</v>
      </c>
      <c r="K128">
        <v>0.377</v>
      </c>
      <c r="L128">
        <v>1.9</v>
      </c>
      <c r="M128">
        <v>5</v>
      </c>
      <c r="N128">
        <v>0.377</v>
      </c>
      <c r="O128">
        <v>1</v>
      </c>
      <c r="P128">
        <v>2.5</v>
      </c>
      <c r="Q128">
        <v>0.376</v>
      </c>
      <c r="R128">
        <v>0.502</v>
      </c>
      <c r="S128">
        <v>1.1000000000000001</v>
      </c>
      <c r="T128">
        <v>1.3</v>
      </c>
      <c r="U128">
        <v>0.88200000000000001</v>
      </c>
      <c r="V128">
        <v>0.3</v>
      </c>
      <c r="W128">
        <v>1.4</v>
      </c>
      <c r="X128">
        <v>1.7</v>
      </c>
      <c r="Y128">
        <v>2.2999999999999998</v>
      </c>
      <c r="Z128">
        <v>0.7</v>
      </c>
      <c r="AA128">
        <v>0.1</v>
      </c>
      <c r="AB128">
        <v>0.9</v>
      </c>
      <c r="AC128">
        <v>1.5</v>
      </c>
      <c r="AD128">
        <v>8.6999999999999993</v>
      </c>
      <c r="AE128">
        <v>807</v>
      </c>
      <c r="AF128">
        <v>10.9</v>
      </c>
      <c r="AG128">
        <v>0.53700000000000003</v>
      </c>
      <c r="AH128">
        <v>0.66300000000000003</v>
      </c>
      <c r="AI128">
        <v>0.17</v>
      </c>
      <c r="AJ128">
        <v>1.5</v>
      </c>
      <c r="AK128">
        <v>7.9</v>
      </c>
      <c r="AL128">
        <v>4.5999999999999996</v>
      </c>
      <c r="AM128">
        <v>15.7</v>
      </c>
      <c r="AN128">
        <v>1.6</v>
      </c>
      <c r="AO128">
        <v>0.6</v>
      </c>
      <c r="AP128">
        <v>10</v>
      </c>
      <c r="AQ128">
        <v>18.899999999999999</v>
      </c>
      <c r="AR128">
        <v>0.5</v>
      </c>
      <c r="AS128">
        <v>0.7</v>
      </c>
      <c r="AT128">
        <v>1.2</v>
      </c>
      <c r="AU128">
        <v>7.0999999999999994E-2</v>
      </c>
      <c r="AV128">
        <v>-1.1000000000000001</v>
      </c>
      <c r="AW128">
        <v>-0.3</v>
      </c>
      <c r="AX128">
        <v>-1.4</v>
      </c>
      <c r="AY128">
        <v>0.1</v>
      </c>
      <c r="AZ128">
        <f t="shared" si="2"/>
        <v>-9.9999999999999978E-2</v>
      </c>
      <c r="BA128">
        <f t="shared" si="3"/>
        <v>-1.0526315789473681E-2</v>
      </c>
    </row>
    <row r="129" spans="1:53" x14ac:dyDescent="0.25">
      <c r="A129" t="s">
        <v>211</v>
      </c>
      <c r="B129" s="2">
        <v>9472219</v>
      </c>
      <c r="C129" t="s">
        <v>62</v>
      </c>
      <c r="D129">
        <v>24</v>
      </c>
      <c r="E129" t="s">
        <v>116</v>
      </c>
      <c r="F129">
        <v>77</v>
      </c>
      <c r="G129">
        <v>0</v>
      </c>
      <c r="H129">
        <v>22.3</v>
      </c>
      <c r="I129">
        <v>4.5999999999999996</v>
      </c>
      <c r="J129">
        <v>10.3</v>
      </c>
      <c r="K129">
        <v>0.44800000000000001</v>
      </c>
      <c r="L129">
        <v>1.9</v>
      </c>
      <c r="M129">
        <v>5.2</v>
      </c>
      <c r="N129">
        <v>0.35899999999999999</v>
      </c>
      <c r="O129">
        <v>2.8</v>
      </c>
      <c r="P129">
        <v>5.2</v>
      </c>
      <c r="Q129">
        <v>0.53800000000000003</v>
      </c>
      <c r="R129">
        <v>0.53800000000000003</v>
      </c>
      <c r="S129">
        <v>2.4</v>
      </c>
      <c r="T129">
        <v>2.7</v>
      </c>
      <c r="U129">
        <v>0.88900000000000001</v>
      </c>
      <c r="V129">
        <v>0.4</v>
      </c>
      <c r="W129">
        <v>2.2000000000000002</v>
      </c>
      <c r="X129">
        <v>2.6</v>
      </c>
      <c r="Y129">
        <v>3.9</v>
      </c>
      <c r="Z129">
        <v>0.6</v>
      </c>
      <c r="AA129">
        <v>0.3</v>
      </c>
      <c r="AB129">
        <v>1.9</v>
      </c>
      <c r="AC129">
        <v>1.6</v>
      </c>
      <c r="AD129">
        <v>13.5</v>
      </c>
      <c r="AE129">
        <v>1719</v>
      </c>
      <c r="AF129">
        <v>16.600000000000001</v>
      </c>
      <c r="AG129">
        <v>0.58699999999999997</v>
      </c>
      <c r="AH129">
        <v>0.5</v>
      </c>
      <c r="AI129">
        <v>0.26</v>
      </c>
      <c r="AJ129">
        <v>2.1</v>
      </c>
      <c r="AK129">
        <v>11.3</v>
      </c>
      <c r="AL129">
        <v>6.7</v>
      </c>
      <c r="AM129">
        <v>25</v>
      </c>
      <c r="AN129">
        <v>1.4</v>
      </c>
      <c r="AO129">
        <v>1</v>
      </c>
      <c r="AP129">
        <v>14.1</v>
      </c>
      <c r="AQ129">
        <v>25.8</v>
      </c>
      <c r="AR129">
        <v>2.1</v>
      </c>
      <c r="AS129">
        <v>1.2</v>
      </c>
      <c r="AT129">
        <v>3.2</v>
      </c>
      <c r="AU129">
        <v>9.0999999999999998E-2</v>
      </c>
      <c r="AV129">
        <v>1.6</v>
      </c>
      <c r="AW129">
        <v>-1.4</v>
      </c>
      <c r="AX129">
        <v>0.3</v>
      </c>
      <c r="AY129">
        <v>1</v>
      </c>
      <c r="AZ129" s="8">
        <f t="shared" si="2"/>
        <v>1.75</v>
      </c>
      <c r="BA129" s="8">
        <f t="shared" si="3"/>
        <v>0.18475079598560801</v>
      </c>
    </row>
    <row r="130" spans="1:53" hidden="1" x14ac:dyDescent="0.25">
      <c r="A130" t="s">
        <v>212</v>
      </c>
      <c r="B130" s="2">
        <v>9441840</v>
      </c>
      <c r="C130" t="s">
        <v>62</v>
      </c>
      <c r="D130">
        <v>20</v>
      </c>
      <c r="E130" t="s">
        <v>213</v>
      </c>
      <c r="F130">
        <v>76</v>
      </c>
      <c r="G130">
        <v>76</v>
      </c>
      <c r="H130">
        <v>34.200000000000003</v>
      </c>
      <c r="I130">
        <v>7.4</v>
      </c>
      <c r="J130">
        <v>17.899999999999999</v>
      </c>
      <c r="K130">
        <v>0.41599999999999998</v>
      </c>
      <c r="L130">
        <v>2.5</v>
      </c>
      <c r="M130">
        <v>7.3</v>
      </c>
      <c r="N130">
        <v>0.33800000000000002</v>
      </c>
      <c r="O130">
        <v>5</v>
      </c>
      <c r="P130">
        <v>10.6</v>
      </c>
      <c r="Q130">
        <v>0.47099999999999997</v>
      </c>
      <c r="R130">
        <v>0.48499999999999999</v>
      </c>
      <c r="S130">
        <v>4.8</v>
      </c>
      <c r="T130">
        <v>6.1</v>
      </c>
      <c r="U130">
        <v>0.78600000000000003</v>
      </c>
      <c r="V130">
        <v>0.6</v>
      </c>
      <c r="W130">
        <v>3.2</v>
      </c>
      <c r="X130">
        <v>3.7</v>
      </c>
      <c r="Y130">
        <v>3.7</v>
      </c>
      <c r="Z130">
        <v>0.8</v>
      </c>
      <c r="AA130">
        <v>0.2</v>
      </c>
      <c r="AB130">
        <v>2.6</v>
      </c>
      <c r="AC130">
        <v>1.7</v>
      </c>
      <c r="AD130">
        <v>22.1</v>
      </c>
      <c r="AE130">
        <v>2602</v>
      </c>
      <c r="AF130">
        <v>14.5</v>
      </c>
      <c r="AG130">
        <v>0.53800000000000003</v>
      </c>
      <c r="AH130">
        <v>0.40799999999999997</v>
      </c>
      <c r="AI130">
        <v>0.34100000000000003</v>
      </c>
      <c r="AJ130">
        <v>1.8</v>
      </c>
      <c r="AK130">
        <v>10.3</v>
      </c>
      <c r="AL130">
        <v>6</v>
      </c>
      <c r="AM130">
        <v>17.3</v>
      </c>
      <c r="AN130">
        <v>1.1000000000000001</v>
      </c>
      <c r="AO130">
        <v>0.7</v>
      </c>
      <c r="AP130">
        <v>11.3</v>
      </c>
      <c r="AQ130">
        <v>28.1</v>
      </c>
      <c r="AR130">
        <v>1.4</v>
      </c>
      <c r="AS130">
        <v>0.5</v>
      </c>
      <c r="AT130">
        <v>1.8</v>
      </c>
      <c r="AU130">
        <v>3.4000000000000002E-2</v>
      </c>
      <c r="AV130">
        <v>0.5</v>
      </c>
      <c r="AW130">
        <v>-2.6</v>
      </c>
      <c r="AX130">
        <v>-2.1</v>
      </c>
      <c r="AY130">
        <v>0</v>
      </c>
      <c r="AZ130">
        <f t="shared" si="2"/>
        <v>-0.15000000000000002</v>
      </c>
      <c r="BA130">
        <f t="shared" si="3"/>
        <v>-1.5886733941689334E-2</v>
      </c>
    </row>
    <row r="131" spans="1:53" x14ac:dyDescent="0.25">
      <c r="A131" t="s">
        <v>214</v>
      </c>
      <c r="B131" s="2">
        <v>9398148</v>
      </c>
      <c r="C131" t="s">
        <v>75</v>
      </c>
      <c r="D131">
        <v>27</v>
      </c>
      <c r="E131" t="s">
        <v>91</v>
      </c>
      <c r="F131">
        <v>72</v>
      </c>
      <c r="G131">
        <v>71</v>
      </c>
      <c r="H131">
        <v>26.5</v>
      </c>
      <c r="I131">
        <v>5.4</v>
      </c>
      <c r="J131">
        <v>8.6</v>
      </c>
      <c r="K131">
        <v>0.629</v>
      </c>
      <c r="L131">
        <v>0</v>
      </c>
      <c r="M131">
        <v>0</v>
      </c>
      <c r="N131">
        <v>0</v>
      </c>
      <c r="O131">
        <v>5.4</v>
      </c>
      <c r="P131">
        <v>8.6</v>
      </c>
      <c r="Q131">
        <v>0.63</v>
      </c>
      <c r="R131">
        <v>0.629</v>
      </c>
      <c r="S131">
        <v>1.7</v>
      </c>
      <c r="T131">
        <v>2.8</v>
      </c>
      <c r="U131">
        <v>0.59199999999999997</v>
      </c>
      <c r="V131">
        <v>3.3</v>
      </c>
      <c r="W131">
        <v>5.8</v>
      </c>
      <c r="X131">
        <v>9.1</v>
      </c>
      <c r="Y131">
        <v>2.7</v>
      </c>
      <c r="Z131">
        <v>0.9</v>
      </c>
      <c r="AA131">
        <v>1.2</v>
      </c>
      <c r="AB131">
        <v>1.7</v>
      </c>
      <c r="AC131">
        <v>2.7</v>
      </c>
      <c r="AD131">
        <v>12.5</v>
      </c>
      <c r="AE131">
        <v>1906</v>
      </c>
      <c r="AF131">
        <v>21</v>
      </c>
      <c r="AG131">
        <v>0.63500000000000001</v>
      </c>
      <c r="AH131">
        <v>2E-3</v>
      </c>
      <c r="AI131">
        <v>0.32500000000000001</v>
      </c>
      <c r="AJ131">
        <v>13</v>
      </c>
      <c r="AK131">
        <v>25.5</v>
      </c>
      <c r="AL131">
        <v>19</v>
      </c>
      <c r="AM131">
        <v>15.2</v>
      </c>
      <c r="AN131">
        <v>1.7</v>
      </c>
      <c r="AO131">
        <v>4</v>
      </c>
      <c r="AP131">
        <v>15</v>
      </c>
      <c r="AQ131">
        <v>18.2</v>
      </c>
      <c r="AR131">
        <v>3.7</v>
      </c>
      <c r="AS131">
        <v>2.2000000000000002</v>
      </c>
      <c r="AT131">
        <v>6</v>
      </c>
      <c r="AU131">
        <v>0.15</v>
      </c>
      <c r="AV131">
        <v>1.1000000000000001</v>
      </c>
      <c r="AW131">
        <v>0.8</v>
      </c>
      <c r="AX131">
        <v>1.9</v>
      </c>
      <c r="AY131">
        <v>1.9</v>
      </c>
      <c r="AZ131" s="8">
        <f t="shared" ref="AZ131:AZ194" si="4">0.5*AX131 + 0.5*AT131</f>
        <v>3.95</v>
      </c>
      <c r="BA131" s="8">
        <f t="shared" ref="BA131:BA194" si="5">IF(B131&gt;0, AZ131*1000000/B131, 0)</f>
        <v>0.42029557312781202</v>
      </c>
    </row>
    <row r="132" spans="1:53" hidden="1" x14ac:dyDescent="0.25">
      <c r="A132" t="s">
        <v>215</v>
      </c>
      <c r="B132" s="2">
        <v>9391069</v>
      </c>
      <c r="C132" t="s">
        <v>75</v>
      </c>
      <c r="D132">
        <v>28</v>
      </c>
      <c r="E132" t="s">
        <v>201</v>
      </c>
      <c r="F132">
        <v>17</v>
      </c>
      <c r="G132">
        <v>4</v>
      </c>
      <c r="H132">
        <v>11.5</v>
      </c>
      <c r="I132">
        <v>0.8</v>
      </c>
      <c r="J132">
        <v>2.1</v>
      </c>
      <c r="K132">
        <v>0.36099999999999999</v>
      </c>
      <c r="L132">
        <v>0.1</v>
      </c>
      <c r="M132">
        <v>0.1</v>
      </c>
      <c r="N132">
        <v>0.5</v>
      </c>
      <c r="O132">
        <v>0.7</v>
      </c>
      <c r="P132">
        <v>2</v>
      </c>
      <c r="Q132">
        <v>0.35299999999999998</v>
      </c>
      <c r="R132">
        <v>0.375</v>
      </c>
      <c r="S132">
        <v>0.5</v>
      </c>
      <c r="T132">
        <v>0.7</v>
      </c>
      <c r="U132">
        <v>0.66700000000000004</v>
      </c>
      <c r="V132">
        <v>0.6</v>
      </c>
      <c r="W132">
        <v>2.1</v>
      </c>
      <c r="X132">
        <v>2.7</v>
      </c>
      <c r="Y132">
        <v>0.6</v>
      </c>
      <c r="Z132">
        <v>0.9</v>
      </c>
      <c r="AA132">
        <v>0.6</v>
      </c>
      <c r="AB132">
        <v>0.8</v>
      </c>
      <c r="AC132">
        <v>1.9</v>
      </c>
      <c r="AD132">
        <v>2.1</v>
      </c>
      <c r="AE132">
        <v>195</v>
      </c>
      <c r="AF132">
        <v>7.9</v>
      </c>
      <c r="AG132">
        <v>0.42399999999999999</v>
      </c>
      <c r="AH132">
        <v>5.6000000000000001E-2</v>
      </c>
      <c r="AI132">
        <v>0.33300000000000002</v>
      </c>
      <c r="AJ132">
        <v>5.6</v>
      </c>
      <c r="AK132">
        <v>21</v>
      </c>
      <c r="AL132">
        <v>13.1</v>
      </c>
      <c r="AM132">
        <v>6.7</v>
      </c>
      <c r="AN132">
        <v>4</v>
      </c>
      <c r="AO132">
        <v>4.5</v>
      </c>
      <c r="AP132">
        <v>23.9</v>
      </c>
      <c r="AQ132">
        <v>12</v>
      </c>
      <c r="AR132">
        <v>-0.3</v>
      </c>
      <c r="AS132">
        <v>0.3</v>
      </c>
      <c r="AT132">
        <v>0</v>
      </c>
      <c r="AU132">
        <v>7.0000000000000001E-3</v>
      </c>
      <c r="AV132">
        <v>-6.5</v>
      </c>
      <c r="AW132">
        <v>2.6</v>
      </c>
      <c r="AX132">
        <v>-3.8</v>
      </c>
      <c r="AY132">
        <v>-0.1</v>
      </c>
      <c r="AZ132">
        <f t="shared" si="4"/>
        <v>-1.9</v>
      </c>
      <c r="BA132">
        <f t="shared" si="5"/>
        <v>-0.20231988498859926</v>
      </c>
    </row>
    <row r="133" spans="1:53" x14ac:dyDescent="0.25">
      <c r="A133" t="s">
        <v>216</v>
      </c>
      <c r="B133" s="2">
        <v>9200000</v>
      </c>
      <c r="C133" t="s">
        <v>65</v>
      </c>
      <c r="D133">
        <v>29</v>
      </c>
      <c r="E133" t="s">
        <v>89</v>
      </c>
      <c r="F133">
        <v>76</v>
      </c>
      <c r="G133">
        <v>53</v>
      </c>
      <c r="H133">
        <v>31.7</v>
      </c>
      <c r="I133">
        <v>3</v>
      </c>
      <c r="J133">
        <v>7.8</v>
      </c>
      <c r="K133">
        <v>0.38600000000000001</v>
      </c>
      <c r="L133">
        <v>2.1</v>
      </c>
      <c r="M133">
        <v>5.5</v>
      </c>
      <c r="N133">
        <v>0.38900000000000001</v>
      </c>
      <c r="O133">
        <v>0.9</v>
      </c>
      <c r="P133">
        <v>2.2999999999999998</v>
      </c>
      <c r="Q133">
        <v>0.379</v>
      </c>
      <c r="R133">
        <v>0.52400000000000002</v>
      </c>
      <c r="S133">
        <v>0.7</v>
      </c>
      <c r="T133">
        <v>0.9</v>
      </c>
      <c r="U133">
        <v>0.72499999999999998</v>
      </c>
      <c r="V133">
        <v>0.7</v>
      </c>
      <c r="W133">
        <v>4.3</v>
      </c>
      <c r="X133">
        <v>5.0999999999999996</v>
      </c>
      <c r="Y133">
        <v>3.7</v>
      </c>
      <c r="Z133">
        <v>0.9</v>
      </c>
      <c r="AA133">
        <v>0.6</v>
      </c>
      <c r="AB133">
        <v>1.5</v>
      </c>
      <c r="AC133">
        <v>3.1</v>
      </c>
      <c r="AD133">
        <v>8.8000000000000007</v>
      </c>
      <c r="AE133">
        <v>2409</v>
      </c>
      <c r="AF133">
        <v>9.1999999999999993</v>
      </c>
      <c r="AG133">
        <v>0.53800000000000003</v>
      </c>
      <c r="AH133">
        <v>0.70699999999999996</v>
      </c>
      <c r="AI133">
        <v>0.11600000000000001</v>
      </c>
      <c r="AJ133">
        <v>2.6</v>
      </c>
      <c r="AK133">
        <v>15</v>
      </c>
      <c r="AL133">
        <v>9</v>
      </c>
      <c r="AM133">
        <v>15.3</v>
      </c>
      <c r="AN133">
        <v>1.3</v>
      </c>
      <c r="AO133">
        <v>1.7</v>
      </c>
      <c r="AP133">
        <v>15.5</v>
      </c>
      <c r="AQ133">
        <v>13.6</v>
      </c>
      <c r="AR133">
        <v>0.4</v>
      </c>
      <c r="AS133">
        <v>2.5</v>
      </c>
      <c r="AT133">
        <v>2.9</v>
      </c>
      <c r="AU133">
        <v>5.7000000000000002E-2</v>
      </c>
      <c r="AV133">
        <v>-1.7</v>
      </c>
      <c r="AW133">
        <v>0.6</v>
      </c>
      <c r="AX133">
        <v>-1.1000000000000001</v>
      </c>
      <c r="AY133">
        <v>0.5</v>
      </c>
      <c r="AZ133" s="8">
        <f t="shared" si="4"/>
        <v>0.89999999999999991</v>
      </c>
      <c r="BA133" s="8">
        <f t="shared" si="5"/>
        <v>9.7826086956521729E-2</v>
      </c>
    </row>
    <row r="134" spans="1:53" x14ac:dyDescent="0.25">
      <c r="A134" t="s">
        <v>217</v>
      </c>
      <c r="B134" s="2">
        <v>9125000</v>
      </c>
      <c r="C134" t="s">
        <v>52</v>
      </c>
      <c r="D134">
        <v>27</v>
      </c>
      <c r="E134" t="s">
        <v>63</v>
      </c>
      <c r="F134">
        <v>62</v>
      </c>
      <c r="G134">
        <v>61</v>
      </c>
      <c r="H134">
        <v>27.3</v>
      </c>
      <c r="I134">
        <v>4</v>
      </c>
      <c r="J134">
        <v>8.3000000000000007</v>
      </c>
      <c r="K134">
        <v>0.48</v>
      </c>
      <c r="L134">
        <v>1.3</v>
      </c>
      <c r="M134">
        <v>3.3</v>
      </c>
      <c r="N134">
        <v>0.38200000000000001</v>
      </c>
      <c r="O134">
        <v>2.7</v>
      </c>
      <c r="P134">
        <v>5</v>
      </c>
      <c r="Q134">
        <v>0.54300000000000004</v>
      </c>
      <c r="R134">
        <v>0.55500000000000005</v>
      </c>
      <c r="S134">
        <v>1</v>
      </c>
      <c r="T134">
        <v>1.2</v>
      </c>
      <c r="U134">
        <v>0.83099999999999996</v>
      </c>
      <c r="V134">
        <v>0.4</v>
      </c>
      <c r="W134">
        <v>3</v>
      </c>
      <c r="X134">
        <v>3.4</v>
      </c>
      <c r="Y134">
        <v>5.3</v>
      </c>
      <c r="Z134">
        <v>0.7</v>
      </c>
      <c r="AA134">
        <v>0.2</v>
      </c>
      <c r="AB134">
        <v>1</v>
      </c>
      <c r="AC134">
        <v>1.2</v>
      </c>
      <c r="AD134">
        <v>10.3</v>
      </c>
      <c r="AE134">
        <v>1695</v>
      </c>
      <c r="AF134">
        <v>15</v>
      </c>
      <c r="AG134">
        <v>0.57899999999999996</v>
      </c>
      <c r="AH134">
        <v>0.39600000000000002</v>
      </c>
      <c r="AI134">
        <v>0.15</v>
      </c>
      <c r="AJ134">
        <v>1.8</v>
      </c>
      <c r="AK134">
        <v>11.6</v>
      </c>
      <c r="AL134">
        <v>6.9</v>
      </c>
      <c r="AM134">
        <v>26.4</v>
      </c>
      <c r="AN134">
        <v>1.2</v>
      </c>
      <c r="AO134">
        <v>0.6</v>
      </c>
      <c r="AP134">
        <v>9.9</v>
      </c>
      <c r="AQ134">
        <v>15.6</v>
      </c>
      <c r="AR134">
        <v>3.1</v>
      </c>
      <c r="AS134">
        <v>1.1000000000000001</v>
      </c>
      <c r="AT134">
        <v>4.2</v>
      </c>
      <c r="AU134">
        <v>0.12</v>
      </c>
      <c r="AV134">
        <v>0.8</v>
      </c>
      <c r="AW134">
        <v>-0.4</v>
      </c>
      <c r="AX134">
        <v>0.5</v>
      </c>
      <c r="AY134">
        <v>1.1000000000000001</v>
      </c>
      <c r="AZ134" s="8">
        <f t="shared" si="4"/>
        <v>2.35</v>
      </c>
      <c r="BA134" s="8">
        <f t="shared" si="5"/>
        <v>0.25753424657534246</v>
      </c>
    </row>
    <row r="135" spans="1:53" x14ac:dyDescent="0.25">
      <c r="A135" t="s">
        <v>218</v>
      </c>
      <c r="B135" s="2">
        <v>9080417</v>
      </c>
      <c r="C135" t="s">
        <v>75</v>
      </c>
      <c r="D135">
        <v>32</v>
      </c>
      <c r="E135" t="s">
        <v>118</v>
      </c>
      <c r="F135">
        <v>79</v>
      </c>
      <c r="G135">
        <v>60</v>
      </c>
      <c r="H135">
        <v>26</v>
      </c>
      <c r="I135">
        <v>4.2</v>
      </c>
      <c r="J135">
        <v>6.1</v>
      </c>
      <c r="K135">
        <v>0.68</v>
      </c>
      <c r="L135">
        <v>0</v>
      </c>
      <c r="M135">
        <v>0</v>
      </c>
      <c r="O135">
        <v>4.2</v>
      </c>
      <c r="P135">
        <v>6.1</v>
      </c>
      <c r="Q135">
        <v>0.68</v>
      </c>
      <c r="R135">
        <v>0.68</v>
      </c>
      <c r="S135">
        <v>2.5</v>
      </c>
      <c r="T135">
        <v>4</v>
      </c>
      <c r="U135">
        <v>0.63600000000000001</v>
      </c>
      <c r="V135">
        <v>2.9</v>
      </c>
      <c r="W135">
        <v>6</v>
      </c>
      <c r="X135">
        <v>8.9</v>
      </c>
      <c r="Y135">
        <v>3.1</v>
      </c>
      <c r="Z135">
        <v>0.6</v>
      </c>
      <c r="AA135">
        <v>0.6</v>
      </c>
      <c r="AB135">
        <v>1.5</v>
      </c>
      <c r="AC135">
        <v>2.7</v>
      </c>
      <c r="AD135">
        <v>10.8</v>
      </c>
      <c r="AE135">
        <v>2054</v>
      </c>
      <c r="AF135">
        <v>19.600000000000001</v>
      </c>
      <c r="AG135">
        <v>0.68899999999999995</v>
      </c>
      <c r="AH135">
        <v>0</v>
      </c>
      <c r="AI135">
        <v>0.64700000000000002</v>
      </c>
      <c r="AJ135">
        <v>11.8</v>
      </c>
      <c r="AK135">
        <v>25.1</v>
      </c>
      <c r="AL135">
        <v>18.399999999999999</v>
      </c>
      <c r="AM135">
        <v>17.3</v>
      </c>
      <c r="AN135">
        <v>1.1000000000000001</v>
      </c>
      <c r="AO135">
        <v>2</v>
      </c>
      <c r="AP135">
        <v>15.8</v>
      </c>
      <c r="AQ135">
        <v>15.2</v>
      </c>
      <c r="AR135">
        <v>5.5</v>
      </c>
      <c r="AS135">
        <v>2.4</v>
      </c>
      <c r="AT135">
        <v>7.9</v>
      </c>
      <c r="AU135">
        <v>0.185</v>
      </c>
      <c r="AV135">
        <v>1.2</v>
      </c>
      <c r="AW135">
        <v>1</v>
      </c>
      <c r="AX135">
        <v>2.2000000000000002</v>
      </c>
      <c r="AY135">
        <v>2.2000000000000002</v>
      </c>
      <c r="AZ135" s="8">
        <f t="shared" si="4"/>
        <v>5.0500000000000007</v>
      </c>
      <c r="BA135" s="8">
        <f t="shared" si="5"/>
        <v>0.55614186000488752</v>
      </c>
    </row>
    <row r="136" spans="1:53" x14ac:dyDescent="0.25">
      <c r="A136" t="s">
        <v>219</v>
      </c>
      <c r="B136" s="2">
        <v>9030000</v>
      </c>
      <c r="C136" t="s">
        <v>52</v>
      </c>
      <c r="D136">
        <v>28</v>
      </c>
      <c r="E136" t="s">
        <v>87</v>
      </c>
      <c r="F136">
        <v>67</v>
      </c>
      <c r="G136">
        <v>36</v>
      </c>
      <c r="H136">
        <v>23.5</v>
      </c>
      <c r="I136">
        <v>1.9</v>
      </c>
      <c r="J136">
        <v>4.3</v>
      </c>
      <c r="K136">
        <v>0.45500000000000002</v>
      </c>
      <c r="L136">
        <v>0.8</v>
      </c>
      <c r="M136">
        <v>2.2999999999999998</v>
      </c>
      <c r="N136">
        <v>0.36399999999999999</v>
      </c>
      <c r="O136">
        <v>1.1000000000000001</v>
      </c>
      <c r="P136">
        <v>2</v>
      </c>
      <c r="Q136">
        <v>0.55600000000000005</v>
      </c>
      <c r="R136">
        <v>0.55100000000000005</v>
      </c>
      <c r="S136">
        <v>0.9</v>
      </c>
      <c r="T136">
        <v>1.1000000000000001</v>
      </c>
      <c r="U136">
        <v>0.80800000000000005</v>
      </c>
      <c r="V136">
        <v>0.6</v>
      </c>
      <c r="W136">
        <v>2.2999999999999998</v>
      </c>
      <c r="X136">
        <v>2.9</v>
      </c>
      <c r="Y136">
        <v>2.9</v>
      </c>
      <c r="Z136">
        <v>1.5</v>
      </c>
      <c r="AA136">
        <v>0.7</v>
      </c>
      <c r="AB136">
        <v>1.1000000000000001</v>
      </c>
      <c r="AC136">
        <v>2.4</v>
      </c>
      <c r="AD136">
        <v>5.6</v>
      </c>
      <c r="AE136">
        <v>1575</v>
      </c>
      <c r="AF136">
        <v>11.5</v>
      </c>
      <c r="AG136">
        <v>0.58799999999999997</v>
      </c>
      <c r="AH136">
        <v>0.52800000000000002</v>
      </c>
      <c r="AI136">
        <v>0.255</v>
      </c>
      <c r="AJ136">
        <v>3.1</v>
      </c>
      <c r="AK136">
        <v>10.9</v>
      </c>
      <c r="AL136">
        <v>7.1</v>
      </c>
      <c r="AM136">
        <v>15.4</v>
      </c>
      <c r="AN136">
        <v>3</v>
      </c>
      <c r="AO136">
        <v>2.8</v>
      </c>
      <c r="AP136">
        <v>19.5</v>
      </c>
      <c r="AQ136">
        <v>11.1</v>
      </c>
      <c r="AR136">
        <v>1</v>
      </c>
      <c r="AS136">
        <v>2.6</v>
      </c>
      <c r="AT136">
        <v>3.6</v>
      </c>
      <c r="AU136">
        <v>0.109</v>
      </c>
      <c r="AV136">
        <v>-2.2000000000000002</v>
      </c>
      <c r="AW136">
        <v>3.3</v>
      </c>
      <c r="AX136">
        <v>1.1000000000000001</v>
      </c>
      <c r="AY136">
        <v>1.2</v>
      </c>
      <c r="AZ136" s="8">
        <f t="shared" si="4"/>
        <v>2.35</v>
      </c>
      <c r="BA136" s="8">
        <f t="shared" si="5"/>
        <v>0.26024363233665559</v>
      </c>
    </row>
    <row r="137" spans="1:53" hidden="1" x14ac:dyDescent="0.25">
      <c r="A137" t="s">
        <v>220</v>
      </c>
      <c r="B137" s="2">
        <v>9000000</v>
      </c>
      <c r="C137" t="s">
        <v>28</v>
      </c>
      <c r="D137">
        <v>31</v>
      </c>
      <c r="E137" t="s">
        <v>73</v>
      </c>
      <c r="F137">
        <v>37</v>
      </c>
      <c r="G137">
        <v>5</v>
      </c>
      <c r="H137">
        <v>25.1</v>
      </c>
      <c r="I137">
        <v>2.1</v>
      </c>
      <c r="J137">
        <v>4.5999999999999996</v>
      </c>
      <c r="K137">
        <v>0.45600000000000002</v>
      </c>
      <c r="L137">
        <v>1.1000000000000001</v>
      </c>
      <c r="M137">
        <v>3</v>
      </c>
      <c r="N137">
        <v>0.34799999999999998</v>
      </c>
      <c r="O137">
        <v>1</v>
      </c>
      <c r="P137">
        <v>1.5</v>
      </c>
      <c r="Q137">
        <v>0.66700000000000004</v>
      </c>
      <c r="R137">
        <v>0.57099999999999995</v>
      </c>
      <c r="S137">
        <v>0.7</v>
      </c>
      <c r="T137">
        <v>1</v>
      </c>
      <c r="U137">
        <v>0.71099999999999997</v>
      </c>
      <c r="V137">
        <v>0.8</v>
      </c>
      <c r="W137">
        <v>2.8</v>
      </c>
      <c r="X137">
        <v>3.6</v>
      </c>
      <c r="Y137">
        <v>1.4</v>
      </c>
      <c r="Z137">
        <v>0.3</v>
      </c>
      <c r="AA137">
        <v>0.8</v>
      </c>
      <c r="AB137">
        <v>0.7</v>
      </c>
      <c r="AC137">
        <v>2.2999999999999998</v>
      </c>
      <c r="AD137">
        <v>5.9</v>
      </c>
      <c r="AE137">
        <v>930</v>
      </c>
      <c r="AF137">
        <v>8.6999999999999993</v>
      </c>
      <c r="AG137">
        <v>0.59199999999999997</v>
      </c>
      <c r="AH137">
        <v>0.66300000000000003</v>
      </c>
      <c r="AI137">
        <v>0.22500000000000001</v>
      </c>
      <c r="AJ137">
        <v>3.7</v>
      </c>
      <c r="AK137">
        <v>13.3</v>
      </c>
      <c r="AL137">
        <v>8.4</v>
      </c>
      <c r="AM137">
        <v>7.5</v>
      </c>
      <c r="AN137">
        <v>0.6</v>
      </c>
      <c r="AO137">
        <v>2.9</v>
      </c>
      <c r="AP137">
        <v>12.7</v>
      </c>
      <c r="AQ137">
        <v>10.3</v>
      </c>
      <c r="AR137">
        <v>0.7</v>
      </c>
      <c r="AS137">
        <v>0.6</v>
      </c>
      <c r="AT137">
        <v>1.3</v>
      </c>
      <c r="AU137">
        <v>6.7000000000000004E-2</v>
      </c>
      <c r="AV137">
        <v>-2.2000000000000002</v>
      </c>
      <c r="AW137">
        <v>0</v>
      </c>
      <c r="AX137">
        <v>-2.2000000000000002</v>
      </c>
      <c r="AY137">
        <v>0</v>
      </c>
      <c r="AZ137">
        <f t="shared" si="4"/>
        <v>-0.45000000000000007</v>
      </c>
      <c r="BA137">
        <f t="shared" si="5"/>
        <v>-5.000000000000001E-2</v>
      </c>
    </row>
    <row r="138" spans="1:53" x14ac:dyDescent="0.25">
      <c r="A138" t="s">
        <v>221</v>
      </c>
      <c r="B138" s="2">
        <v>8925000</v>
      </c>
      <c r="C138" t="s">
        <v>62</v>
      </c>
      <c r="D138">
        <v>27</v>
      </c>
      <c r="E138" t="s">
        <v>68</v>
      </c>
      <c r="F138">
        <v>72</v>
      </c>
      <c r="G138">
        <v>70</v>
      </c>
      <c r="H138">
        <v>27.4</v>
      </c>
      <c r="I138">
        <v>3.4</v>
      </c>
      <c r="J138">
        <v>7.7</v>
      </c>
      <c r="K138">
        <v>0.44</v>
      </c>
      <c r="L138">
        <v>2</v>
      </c>
      <c r="M138">
        <v>5.0999999999999996</v>
      </c>
      <c r="N138">
        <v>0.39900000000000002</v>
      </c>
      <c r="O138">
        <v>1.4</v>
      </c>
      <c r="P138">
        <v>2.7</v>
      </c>
      <c r="Q138">
        <v>0.51800000000000002</v>
      </c>
      <c r="R138">
        <v>0.57099999999999995</v>
      </c>
      <c r="S138">
        <v>1.6</v>
      </c>
      <c r="T138">
        <v>1.8</v>
      </c>
      <c r="U138">
        <v>0.90500000000000003</v>
      </c>
      <c r="V138">
        <v>0.8</v>
      </c>
      <c r="W138">
        <v>2.4</v>
      </c>
      <c r="X138">
        <v>3.3</v>
      </c>
      <c r="Y138">
        <v>2.2999999999999998</v>
      </c>
      <c r="Z138">
        <v>0.9</v>
      </c>
      <c r="AA138">
        <v>0.2</v>
      </c>
      <c r="AB138">
        <v>1</v>
      </c>
      <c r="AC138">
        <v>1.6</v>
      </c>
      <c r="AD138">
        <v>10.4</v>
      </c>
      <c r="AE138">
        <v>1972</v>
      </c>
      <c r="AF138">
        <v>12.3</v>
      </c>
      <c r="AG138">
        <v>0.61199999999999999</v>
      </c>
      <c r="AH138">
        <v>0.65700000000000003</v>
      </c>
      <c r="AI138">
        <v>0.22600000000000001</v>
      </c>
      <c r="AJ138">
        <v>3.4</v>
      </c>
      <c r="AK138">
        <v>9</v>
      </c>
      <c r="AL138">
        <v>6.3</v>
      </c>
      <c r="AM138">
        <v>10.9</v>
      </c>
      <c r="AN138">
        <v>1.5</v>
      </c>
      <c r="AO138">
        <v>0.6</v>
      </c>
      <c r="AP138">
        <v>10.5</v>
      </c>
      <c r="AQ138">
        <v>14.6</v>
      </c>
      <c r="AR138">
        <v>2.8</v>
      </c>
      <c r="AS138">
        <v>2.2000000000000002</v>
      </c>
      <c r="AT138">
        <v>5.0999999999999996</v>
      </c>
      <c r="AU138">
        <v>0.123</v>
      </c>
      <c r="AV138">
        <v>-0.6</v>
      </c>
      <c r="AW138">
        <v>0.7</v>
      </c>
      <c r="AX138">
        <v>0.1</v>
      </c>
      <c r="AY138">
        <v>1</v>
      </c>
      <c r="AZ138" s="8">
        <f t="shared" si="4"/>
        <v>2.5999999999999996</v>
      </c>
      <c r="BA138" s="8">
        <f t="shared" si="5"/>
        <v>0.29131652661064422</v>
      </c>
    </row>
    <row r="139" spans="1:53" x14ac:dyDescent="0.25">
      <c r="A139" t="s">
        <v>222</v>
      </c>
      <c r="B139" s="2">
        <v>8920794</v>
      </c>
      <c r="C139" t="s">
        <v>52</v>
      </c>
      <c r="D139">
        <v>23</v>
      </c>
      <c r="E139" t="s">
        <v>107</v>
      </c>
      <c r="F139">
        <v>69</v>
      </c>
      <c r="G139">
        <v>69</v>
      </c>
      <c r="H139">
        <v>35.5</v>
      </c>
      <c r="I139">
        <v>7.6</v>
      </c>
      <c r="J139">
        <v>16.399999999999999</v>
      </c>
      <c r="K139">
        <v>0.46200000000000002</v>
      </c>
      <c r="L139">
        <v>2.4</v>
      </c>
      <c r="M139">
        <v>6</v>
      </c>
      <c r="N139">
        <v>0.41</v>
      </c>
      <c r="O139">
        <v>5.0999999999999996</v>
      </c>
      <c r="P139">
        <v>10.4</v>
      </c>
      <c r="Q139">
        <v>0.49199999999999999</v>
      </c>
      <c r="R139">
        <v>0.53700000000000003</v>
      </c>
      <c r="S139">
        <v>4</v>
      </c>
      <c r="T139">
        <v>4.7</v>
      </c>
      <c r="U139">
        <v>0.86299999999999999</v>
      </c>
      <c r="V139">
        <v>0.4</v>
      </c>
      <c r="W139">
        <v>2.2999999999999998</v>
      </c>
      <c r="X139">
        <v>2.7</v>
      </c>
      <c r="Y139">
        <v>7.8</v>
      </c>
      <c r="Z139">
        <v>1.2</v>
      </c>
      <c r="AA139">
        <v>0.1</v>
      </c>
      <c r="AB139">
        <v>2.9</v>
      </c>
      <c r="AC139">
        <v>2.1</v>
      </c>
      <c r="AD139">
        <v>21.6</v>
      </c>
      <c r="AE139">
        <v>2447</v>
      </c>
      <c r="AF139">
        <v>18.8</v>
      </c>
      <c r="AG139">
        <v>0.58699999999999997</v>
      </c>
      <c r="AH139">
        <v>0.36499999999999999</v>
      </c>
      <c r="AI139">
        <v>0.28399999999999997</v>
      </c>
      <c r="AJ139">
        <v>1.3</v>
      </c>
      <c r="AK139">
        <v>7.6</v>
      </c>
      <c r="AL139">
        <v>4.5</v>
      </c>
      <c r="AM139">
        <v>34.1</v>
      </c>
      <c r="AN139">
        <v>1.7</v>
      </c>
      <c r="AO139">
        <v>0.3</v>
      </c>
      <c r="AP139">
        <v>13.5</v>
      </c>
      <c r="AQ139">
        <v>26.9</v>
      </c>
      <c r="AR139">
        <v>4.5</v>
      </c>
      <c r="AS139">
        <v>3</v>
      </c>
      <c r="AT139">
        <v>7.6</v>
      </c>
      <c r="AU139">
        <v>0.14799999999999999</v>
      </c>
      <c r="AV139">
        <v>3.2</v>
      </c>
      <c r="AW139">
        <v>-0.7</v>
      </c>
      <c r="AX139">
        <v>2.4</v>
      </c>
      <c r="AY139">
        <v>2.7</v>
      </c>
      <c r="AZ139" s="8">
        <f t="shared" si="4"/>
        <v>5</v>
      </c>
      <c r="BA139" s="8">
        <f t="shared" si="5"/>
        <v>0.5604882255996495</v>
      </c>
    </row>
    <row r="140" spans="1:53" x14ac:dyDescent="0.25">
      <c r="A140" t="s">
        <v>223</v>
      </c>
      <c r="B140" s="2">
        <v>8854879</v>
      </c>
      <c r="C140" t="s">
        <v>75</v>
      </c>
      <c r="D140">
        <v>24</v>
      </c>
      <c r="E140" t="s">
        <v>123</v>
      </c>
      <c r="F140">
        <v>82</v>
      </c>
      <c r="G140">
        <v>8</v>
      </c>
      <c r="H140">
        <v>19.8</v>
      </c>
      <c r="I140">
        <v>2.1</v>
      </c>
      <c r="J140">
        <v>4</v>
      </c>
      <c r="K140">
        <v>0.53500000000000003</v>
      </c>
      <c r="L140">
        <v>0.1</v>
      </c>
      <c r="M140">
        <v>0.5</v>
      </c>
      <c r="N140">
        <v>0.216</v>
      </c>
      <c r="O140">
        <v>2</v>
      </c>
      <c r="P140">
        <v>3.5</v>
      </c>
      <c r="Q140">
        <v>0.57599999999999996</v>
      </c>
      <c r="R140">
        <v>0.54700000000000004</v>
      </c>
      <c r="S140">
        <v>0.6</v>
      </c>
      <c r="T140">
        <v>0.9</v>
      </c>
      <c r="U140">
        <v>0.67600000000000005</v>
      </c>
      <c r="V140">
        <v>2.5</v>
      </c>
      <c r="W140">
        <v>4</v>
      </c>
      <c r="X140">
        <v>6.5</v>
      </c>
      <c r="Y140">
        <v>1.2</v>
      </c>
      <c r="Z140">
        <v>0.6</v>
      </c>
      <c r="AA140">
        <v>0.8</v>
      </c>
      <c r="AB140">
        <v>0.8</v>
      </c>
      <c r="AC140">
        <v>2.6</v>
      </c>
      <c r="AD140">
        <v>5</v>
      </c>
      <c r="AE140">
        <v>1626</v>
      </c>
      <c r="AF140">
        <v>14.2</v>
      </c>
      <c r="AG140">
        <v>0.56699999999999995</v>
      </c>
      <c r="AH140">
        <v>0.113</v>
      </c>
      <c r="AI140">
        <v>0.217</v>
      </c>
      <c r="AJ140">
        <v>14.1</v>
      </c>
      <c r="AK140">
        <v>22.2</v>
      </c>
      <c r="AL140">
        <v>18.100000000000001</v>
      </c>
      <c r="AM140">
        <v>8.3000000000000007</v>
      </c>
      <c r="AN140">
        <v>1.6</v>
      </c>
      <c r="AO140">
        <v>3.7</v>
      </c>
      <c r="AP140">
        <v>15.6</v>
      </c>
      <c r="AQ140">
        <v>11.2</v>
      </c>
      <c r="AR140">
        <v>2.2000000000000002</v>
      </c>
      <c r="AS140">
        <v>2.4</v>
      </c>
      <c r="AT140">
        <v>4.5999999999999996</v>
      </c>
      <c r="AU140">
        <v>0.13600000000000001</v>
      </c>
      <c r="AV140">
        <v>-1.5</v>
      </c>
      <c r="AW140">
        <v>1.2</v>
      </c>
      <c r="AX140">
        <v>-0.3</v>
      </c>
      <c r="AY140">
        <v>0.7</v>
      </c>
      <c r="AZ140" s="8">
        <f t="shared" si="4"/>
        <v>2.15</v>
      </c>
      <c r="BA140" s="8">
        <f t="shared" si="5"/>
        <v>0.24280399540185699</v>
      </c>
    </row>
    <row r="141" spans="1:53" x14ac:dyDescent="0.25">
      <c r="A141" t="s">
        <v>224</v>
      </c>
      <c r="B141" s="2">
        <v>8780488</v>
      </c>
      <c r="C141" t="s">
        <v>28</v>
      </c>
      <c r="D141">
        <v>29</v>
      </c>
      <c r="E141" t="s">
        <v>76</v>
      </c>
      <c r="F141">
        <v>69</v>
      </c>
      <c r="G141">
        <v>46</v>
      </c>
      <c r="H141">
        <v>28.4</v>
      </c>
      <c r="I141">
        <v>3.7</v>
      </c>
      <c r="J141">
        <v>7.2</v>
      </c>
      <c r="K141">
        <v>0.50900000000000001</v>
      </c>
      <c r="L141">
        <v>0.6</v>
      </c>
      <c r="M141">
        <v>1.5</v>
      </c>
      <c r="N141">
        <v>0.41</v>
      </c>
      <c r="O141">
        <v>3</v>
      </c>
      <c r="P141">
        <v>5.7</v>
      </c>
      <c r="Q141">
        <v>0.53600000000000003</v>
      </c>
      <c r="R141">
        <v>0.55300000000000005</v>
      </c>
      <c r="S141">
        <v>1.4</v>
      </c>
      <c r="T141">
        <v>2</v>
      </c>
      <c r="U141">
        <v>0.73499999999999999</v>
      </c>
      <c r="V141">
        <v>1</v>
      </c>
      <c r="W141">
        <v>4.4000000000000004</v>
      </c>
      <c r="X141">
        <v>5.3</v>
      </c>
      <c r="Y141">
        <v>4.9000000000000004</v>
      </c>
      <c r="Z141">
        <v>1.1000000000000001</v>
      </c>
      <c r="AA141">
        <v>0.9</v>
      </c>
      <c r="AB141">
        <v>1.5</v>
      </c>
      <c r="AC141">
        <v>2.1</v>
      </c>
      <c r="AD141">
        <v>9.4</v>
      </c>
      <c r="AE141">
        <v>1957</v>
      </c>
      <c r="AF141">
        <v>14.8</v>
      </c>
      <c r="AG141">
        <v>0.58299999999999996</v>
      </c>
      <c r="AH141">
        <v>0.21199999999999999</v>
      </c>
      <c r="AI141">
        <v>0.27500000000000002</v>
      </c>
      <c r="AJ141">
        <v>3.8</v>
      </c>
      <c r="AK141">
        <v>16.899999999999999</v>
      </c>
      <c r="AL141">
        <v>10.5</v>
      </c>
      <c r="AM141">
        <v>22.6</v>
      </c>
      <c r="AN141">
        <v>1.9</v>
      </c>
      <c r="AO141">
        <v>2.8</v>
      </c>
      <c r="AP141">
        <v>15.7</v>
      </c>
      <c r="AQ141">
        <v>14.4</v>
      </c>
      <c r="AR141">
        <v>2.5</v>
      </c>
      <c r="AS141">
        <v>2.6</v>
      </c>
      <c r="AT141">
        <v>5.0999999999999996</v>
      </c>
      <c r="AU141">
        <v>0.125</v>
      </c>
      <c r="AV141">
        <v>0.2</v>
      </c>
      <c r="AW141">
        <v>2.2999999999999998</v>
      </c>
      <c r="AX141">
        <v>2.5</v>
      </c>
      <c r="AY141">
        <v>2.2000000000000002</v>
      </c>
      <c r="AZ141" s="8">
        <f t="shared" si="4"/>
        <v>3.8</v>
      </c>
      <c r="BA141" s="8">
        <f t="shared" si="5"/>
        <v>0.43277776816049401</v>
      </c>
    </row>
    <row r="142" spans="1:53" hidden="1" x14ac:dyDescent="0.25">
      <c r="A142" t="s">
        <v>225</v>
      </c>
      <c r="B142" s="2">
        <v>8750000</v>
      </c>
      <c r="C142" t="s">
        <v>62</v>
      </c>
      <c r="D142">
        <v>30</v>
      </c>
      <c r="E142" t="s">
        <v>80</v>
      </c>
      <c r="F142">
        <v>42</v>
      </c>
      <c r="G142">
        <v>2</v>
      </c>
      <c r="H142">
        <v>26.3</v>
      </c>
      <c r="I142">
        <v>3.8</v>
      </c>
      <c r="J142">
        <v>9.6</v>
      </c>
      <c r="K142">
        <v>0.39700000000000002</v>
      </c>
      <c r="L142">
        <v>1.7</v>
      </c>
      <c r="M142">
        <v>5</v>
      </c>
      <c r="N142">
        <v>0.33</v>
      </c>
      <c r="O142">
        <v>2.1</v>
      </c>
      <c r="P142">
        <v>4.5</v>
      </c>
      <c r="Q142">
        <v>0.47099999999999997</v>
      </c>
      <c r="R142">
        <v>0.48399999999999999</v>
      </c>
      <c r="S142">
        <v>1.4</v>
      </c>
      <c r="T142">
        <v>1.9</v>
      </c>
      <c r="U142">
        <v>0.747</v>
      </c>
      <c r="V142">
        <v>0.4</v>
      </c>
      <c r="W142">
        <v>2.7</v>
      </c>
      <c r="X142">
        <v>3</v>
      </c>
      <c r="Y142">
        <v>3.5</v>
      </c>
      <c r="Z142">
        <v>1.4</v>
      </c>
      <c r="AA142">
        <v>0.3</v>
      </c>
      <c r="AB142">
        <v>2.1</v>
      </c>
      <c r="AC142">
        <v>2.4</v>
      </c>
      <c r="AD142">
        <v>10.7</v>
      </c>
      <c r="AE142">
        <v>1106</v>
      </c>
      <c r="AF142">
        <v>10.6</v>
      </c>
      <c r="AG142">
        <v>0.51300000000000001</v>
      </c>
      <c r="AH142">
        <v>0.52600000000000002</v>
      </c>
      <c r="AI142">
        <v>0.19600000000000001</v>
      </c>
      <c r="AJ142">
        <v>1.6</v>
      </c>
      <c r="AK142">
        <v>12.3</v>
      </c>
      <c r="AL142">
        <v>6.8</v>
      </c>
      <c r="AM142">
        <v>19.8</v>
      </c>
      <c r="AN142">
        <v>2.6</v>
      </c>
      <c r="AO142">
        <v>1.1000000000000001</v>
      </c>
      <c r="AP142">
        <v>16.600000000000001</v>
      </c>
      <c r="AQ142">
        <v>21.1</v>
      </c>
      <c r="AR142">
        <v>-0.9</v>
      </c>
      <c r="AS142">
        <v>1.5</v>
      </c>
      <c r="AT142">
        <v>0.6</v>
      </c>
      <c r="AU142">
        <v>2.4E-2</v>
      </c>
      <c r="AV142">
        <v>-2.9</v>
      </c>
      <c r="AW142">
        <v>0.8</v>
      </c>
      <c r="AX142">
        <v>-2.1</v>
      </c>
      <c r="AY142">
        <v>0</v>
      </c>
      <c r="AZ142">
        <f t="shared" si="4"/>
        <v>-0.75</v>
      </c>
      <c r="BA142">
        <f t="shared" si="5"/>
        <v>-8.5714285714285715E-2</v>
      </c>
    </row>
    <row r="143" spans="1:53" hidden="1" x14ac:dyDescent="0.25">
      <c r="A143" t="s">
        <v>226</v>
      </c>
      <c r="B143" s="2">
        <v>8694369</v>
      </c>
      <c r="C143" t="s">
        <v>75</v>
      </c>
      <c r="D143">
        <v>30</v>
      </c>
      <c r="E143" t="s">
        <v>93</v>
      </c>
      <c r="F143">
        <v>7</v>
      </c>
      <c r="G143">
        <v>1</v>
      </c>
      <c r="H143">
        <v>15.6</v>
      </c>
      <c r="I143">
        <v>3</v>
      </c>
      <c r="J143">
        <v>6.3</v>
      </c>
      <c r="K143">
        <v>0.47699999999999998</v>
      </c>
      <c r="L143">
        <v>0.3</v>
      </c>
      <c r="M143">
        <v>1.6</v>
      </c>
      <c r="N143">
        <v>0.182</v>
      </c>
      <c r="O143">
        <v>2.7</v>
      </c>
      <c r="P143">
        <v>4.7</v>
      </c>
      <c r="Q143">
        <v>0.57599999999999996</v>
      </c>
      <c r="R143">
        <v>0.5</v>
      </c>
      <c r="S143">
        <v>0.7</v>
      </c>
      <c r="T143">
        <v>1.7</v>
      </c>
      <c r="U143">
        <v>0.41699999999999998</v>
      </c>
      <c r="V143">
        <v>1</v>
      </c>
      <c r="W143">
        <v>2.1</v>
      </c>
      <c r="X143">
        <v>3.1</v>
      </c>
      <c r="Y143">
        <v>1.3</v>
      </c>
      <c r="Z143">
        <v>0.3</v>
      </c>
      <c r="AA143">
        <v>0.9</v>
      </c>
      <c r="AB143">
        <v>0.4</v>
      </c>
      <c r="AC143">
        <v>1</v>
      </c>
      <c r="AD143">
        <v>7</v>
      </c>
      <c r="AE143">
        <v>109</v>
      </c>
      <c r="AF143">
        <v>14.2</v>
      </c>
      <c r="AG143">
        <v>0.497</v>
      </c>
      <c r="AH143">
        <v>0.25</v>
      </c>
      <c r="AI143">
        <v>0.27300000000000002</v>
      </c>
      <c r="AJ143">
        <v>7.1</v>
      </c>
      <c r="AK143">
        <v>15.2</v>
      </c>
      <c r="AL143">
        <v>11.2</v>
      </c>
      <c r="AM143">
        <v>12.2</v>
      </c>
      <c r="AN143">
        <v>0.9</v>
      </c>
      <c r="AO143">
        <v>4.7</v>
      </c>
      <c r="AP143">
        <v>5.7</v>
      </c>
      <c r="AQ143">
        <v>20.100000000000001</v>
      </c>
      <c r="AR143">
        <v>0</v>
      </c>
      <c r="AS143">
        <v>0.1</v>
      </c>
      <c r="AT143">
        <v>0.1</v>
      </c>
      <c r="AU143">
        <v>4.5999999999999999E-2</v>
      </c>
      <c r="AV143">
        <v>-0.9</v>
      </c>
      <c r="AW143">
        <v>-0.5</v>
      </c>
      <c r="AX143">
        <v>-1.4</v>
      </c>
      <c r="AY143">
        <v>0</v>
      </c>
      <c r="AZ143">
        <f t="shared" si="4"/>
        <v>-0.64999999999999991</v>
      </c>
      <c r="BA143">
        <f t="shared" si="5"/>
        <v>-7.4761032111703554E-2</v>
      </c>
    </row>
    <row r="144" spans="1:53" x14ac:dyDescent="0.25">
      <c r="A144" t="s">
        <v>227</v>
      </c>
      <c r="B144" s="2">
        <v>8623920</v>
      </c>
      <c r="C144" t="s">
        <v>52</v>
      </c>
      <c r="D144">
        <v>21</v>
      </c>
      <c r="E144" t="s">
        <v>118</v>
      </c>
      <c r="F144">
        <v>36</v>
      </c>
      <c r="G144">
        <v>36</v>
      </c>
      <c r="H144">
        <v>35.200000000000003</v>
      </c>
      <c r="I144">
        <v>8.1999999999999993</v>
      </c>
      <c r="J144">
        <v>20</v>
      </c>
      <c r="K144">
        <v>0.41099999999999998</v>
      </c>
      <c r="L144">
        <v>4</v>
      </c>
      <c r="M144">
        <v>10.6</v>
      </c>
      <c r="N144">
        <v>0.376</v>
      </c>
      <c r="O144">
        <v>4.2</v>
      </c>
      <c r="P144">
        <v>9.4</v>
      </c>
      <c r="Q144">
        <v>0.45</v>
      </c>
      <c r="R144">
        <v>0.51</v>
      </c>
      <c r="S144">
        <v>2.8</v>
      </c>
      <c r="T144">
        <v>3.4</v>
      </c>
      <c r="U144">
        <v>0.83599999999999997</v>
      </c>
      <c r="V144">
        <v>1.2</v>
      </c>
      <c r="W144">
        <v>5.3</v>
      </c>
      <c r="X144">
        <v>6.4</v>
      </c>
      <c r="Y144">
        <v>8.4</v>
      </c>
      <c r="Z144">
        <v>1.3</v>
      </c>
      <c r="AA144">
        <v>0.3</v>
      </c>
      <c r="AB144">
        <v>3.6</v>
      </c>
      <c r="AC144">
        <v>3.3</v>
      </c>
      <c r="AD144">
        <v>23.3</v>
      </c>
      <c r="AE144">
        <v>1268</v>
      </c>
      <c r="AF144">
        <v>17.899999999999999</v>
      </c>
      <c r="AG144">
        <v>0.54100000000000004</v>
      </c>
      <c r="AH144">
        <v>0.53100000000000003</v>
      </c>
      <c r="AI144">
        <v>0.16900000000000001</v>
      </c>
      <c r="AJ144">
        <v>3.5</v>
      </c>
      <c r="AK144">
        <v>16.2</v>
      </c>
      <c r="AL144">
        <v>9.6999999999999993</v>
      </c>
      <c r="AM144">
        <v>38.700000000000003</v>
      </c>
      <c r="AN144">
        <v>1.7</v>
      </c>
      <c r="AO144">
        <v>0.8</v>
      </c>
      <c r="AP144">
        <v>14.3</v>
      </c>
      <c r="AQ144">
        <v>30</v>
      </c>
      <c r="AR144">
        <v>0.6</v>
      </c>
      <c r="AS144">
        <v>1.2</v>
      </c>
      <c r="AT144">
        <v>1.8</v>
      </c>
      <c r="AU144">
        <v>6.8000000000000005E-2</v>
      </c>
      <c r="AV144">
        <v>3.2</v>
      </c>
      <c r="AW144">
        <v>-0.8</v>
      </c>
      <c r="AX144">
        <v>2.4</v>
      </c>
      <c r="AY144">
        <v>1.4</v>
      </c>
      <c r="AZ144" s="8">
        <f t="shared" si="4"/>
        <v>2.1</v>
      </c>
      <c r="BA144" s="8">
        <f t="shared" si="5"/>
        <v>0.24350875240030057</v>
      </c>
    </row>
    <row r="145" spans="1:53" hidden="1" x14ac:dyDescent="0.25">
      <c r="A145" t="s">
        <v>228</v>
      </c>
      <c r="B145" s="2">
        <v>8496653</v>
      </c>
      <c r="C145" t="s">
        <v>62</v>
      </c>
      <c r="D145">
        <v>32</v>
      </c>
      <c r="E145" t="s">
        <v>89</v>
      </c>
      <c r="F145">
        <v>61</v>
      </c>
      <c r="G145">
        <v>7</v>
      </c>
      <c r="H145">
        <v>19.899999999999999</v>
      </c>
      <c r="I145">
        <v>3.4</v>
      </c>
      <c r="J145">
        <v>7.4</v>
      </c>
      <c r="K145">
        <v>0.46300000000000002</v>
      </c>
      <c r="L145">
        <v>1.5</v>
      </c>
      <c r="M145">
        <v>3.8</v>
      </c>
      <c r="N145">
        <v>0.40500000000000003</v>
      </c>
      <c r="O145">
        <v>1.9</v>
      </c>
      <c r="P145">
        <v>3.6</v>
      </c>
      <c r="Q145">
        <v>0.52500000000000002</v>
      </c>
      <c r="R145">
        <v>0.56799999999999995</v>
      </c>
      <c r="S145">
        <v>0.8</v>
      </c>
      <c r="T145">
        <v>0.9</v>
      </c>
      <c r="U145">
        <v>0.92700000000000005</v>
      </c>
      <c r="V145">
        <v>0.2</v>
      </c>
      <c r="W145">
        <v>1.4</v>
      </c>
      <c r="X145">
        <v>1.6</v>
      </c>
      <c r="Y145">
        <v>1.6</v>
      </c>
      <c r="Z145">
        <v>0.6</v>
      </c>
      <c r="AA145">
        <v>0.1</v>
      </c>
      <c r="AB145">
        <v>0.8</v>
      </c>
      <c r="AC145">
        <v>1.6</v>
      </c>
      <c r="AD145">
        <v>9.1999999999999993</v>
      </c>
      <c r="AE145">
        <v>1211</v>
      </c>
      <c r="AF145">
        <v>12.3</v>
      </c>
      <c r="AG145">
        <v>0.59299999999999997</v>
      </c>
      <c r="AH145">
        <v>0.51700000000000002</v>
      </c>
      <c r="AI145">
        <v>0.122</v>
      </c>
      <c r="AJ145">
        <v>1.2</v>
      </c>
      <c r="AK145">
        <v>7.9</v>
      </c>
      <c r="AL145">
        <v>4.5999999999999996</v>
      </c>
      <c r="AM145">
        <v>11.9</v>
      </c>
      <c r="AN145">
        <v>1.5</v>
      </c>
      <c r="AO145">
        <v>0.5</v>
      </c>
      <c r="AP145">
        <v>9.6999999999999993</v>
      </c>
      <c r="AQ145">
        <v>19.2</v>
      </c>
      <c r="AR145">
        <v>0.9</v>
      </c>
      <c r="AS145">
        <v>0.9</v>
      </c>
      <c r="AT145">
        <v>1.8</v>
      </c>
      <c r="AU145">
        <v>7.0000000000000007E-2</v>
      </c>
      <c r="AV145">
        <v>-1.2</v>
      </c>
      <c r="AW145">
        <v>-0.9</v>
      </c>
      <c r="AX145">
        <v>-2.1</v>
      </c>
      <c r="AY145">
        <v>0</v>
      </c>
      <c r="AZ145">
        <f t="shared" si="4"/>
        <v>-0.15000000000000002</v>
      </c>
      <c r="BA145">
        <f t="shared" si="5"/>
        <v>-1.7654010349722419E-2</v>
      </c>
    </row>
    <row r="146" spans="1:53" x14ac:dyDescent="0.25">
      <c r="A146" t="s">
        <v>229</v>
      </c>
      <c r="B146" s="2">
        <v>8478720</v>
      </c>
      <c r="C146" t="s">
        <v>28</v>
      </c>
      <c r="D146">
        <v>21</v>
      </c>
      <c r="E146" t="s">
        <v>107</v>
      </c>
      <c r="F146">
        <v>79</v>
      </c>
      <c r="G146">
        <v>79</v>
      </c>
      <c r="H146">
        <v>34.4</v>
      </c>
      <c r="I146">
        <v>6.6</v>
      </c>
      <c r="J146">
        <v>12</v>
      </c>
      <c r="K146">
        <v>0.55400000000000005</v>
      </c>
      <c r="L146">
        <v>0.3</v>
      </c>
      <c r="M146">
        <v>1.3</v>
      </c>
      <c r="N146">
        <v>0.216</v>
      </c>
      <c r="O146">
        <v>6.4</v>
      </c>
      <c r="P146">
        <v>10.7</v>
      </c>
      <c r="Q146">
        <v>0.59499999999999997</v>
      </c>
      <c r="R146">
        <v>0.56599999999999995</v>
      </c>
      <c r="S146">
        <v>2.6</v>
      </c>
      <c r="T146">
        <v>3.8</v>
      </c>
      <c r="U146">
        <v>0.67400000000000004</v>
      </c>
      <c r="V146">
        <v>2.4</v>
      </c>
      <c r="W146">
        <v>6.6</v>
      </c>
      <c r="X146">
        <v>9</v>
      </c>
      <c r="Y146">
        <v>2.8</v>
      </c>
      <c r="Z146">
        <v>0.8</v>
      </c>
      <c r="AA146">
        <v>1.5</v>
      </c>
      <c r="AB146">
        <v>1.8</v>
      </c>
      <c r="AC146">
        <v>2.8</v>
      </c>
      <c r="AD146">
        <v>16.2</v>
      </c>
      <c r="AE146">
        <v>2715</v>
      </c>
      <c r="AF146">
        <v>17.899999999999999</v>
      </c>
      <c r="AG146">
        <v>0.59099999999999997</v>
      </c>
      <c r="AH146">
        <v>0.108</v>
      </c>
      <c r="AI146">
        <v>0.32100000000000001</v>
      </c>
      <c r="AJ146">
        <v>8.1</v>
      </c>
      <c r="AK146">
        <v>22.7</v>
      </c>
      <c r="AL146">
        <v>15.4</v>
      </c>
      <c r="AM146">
        <v>12.4</v>
      </c>
      <c r="AN146">
        <v>1.1000000000000001</v>
      </c>
      <c r="AO146">
        <v>4</v>
      </c>
      <c r="AP146">
        <v>11.9</v>
      </c>
      <c r="AQ146">
        <v>20.2</v>
      </c>
      <c r="AR146">
        <v>3.7</v>
      </c>
      <c r="AS146">
        <v>4.8</v>
      </c>
      <c r="AT146">
        <v>8.5</v>
      </c>
      <c r="AU146">
        <v>0.151</v>
      </c>
      <c r="AV146">
        <v>0</v>
      </c>
      <c r="AW146">
        <v>1.6</v>
      </c>
      <c r="AX146">
        <v>1.7</v>
      </c>
      <c r="AY146">
        <v>2.5</v>
      </c>
      <c r="AZ146" s="8">
        <f t="shared" si="4"/>
        <v>5.0999999999999996</v>
      </c>
      <c r="BA146" s="8">
        <f t="shared" si="5"/>
        <v>0.60150588768115942</v>
      </c>
    </row>
    <row r="147" spans="1:53" hidden="1" x14ac:dyDescent="0.25">
      <c r="A147" t="s">
        <v>230</v>
      </c>
      <c r="B147" s="2">
        <v>8300000</v>
      </c>
      <c r="C147" t="s">
        <v>62</v>
      </c>
      <c r="D147">
        <v>30</v>
      </c>
      <c r="E147" t="s">
        <v>70</v>
      </c>
      <c r="F147">
        <v>22</v>
      </c>
      <c r="G147">
        <v>1</v>
      </c>
      <c r="H147">
        <v>16.7</v>
      </c>
      <c r="I147">
        <v>1.9</v>
      </c>
      <c r="J147">
        <v>3.1</v>
      </c>
      <c r="K147">
        <v>0.59399999999999997</v>
      </c>
      <c r="L147">
        <v>0.6</v>
      </c>
      <c r="M147">
        <v>1.2</v>
      </c>
      <c r="N147">
        <v>0.5</v>
      </c>
      <c r="O147">
        <v>1.3</v>
      </c>
      <c r="P147">
        <v>2</v>
      </c>
      <c r="Q147">
        <v>0.65100000000000002</v>
      </c>
      <c r="R147">
        <v>0.68799999999999994</v>
      </c>
      <c r="S147">
        <v>0.3</v>
      </c>
      <c r="T147">
        <v>0.3</v>
      </c>
      <c r="U147">
        <v>0.85699999999999998</v>
      </c>
      <c r="V147">
        <v>1.1000000000000001</v>
      </c>
      <c r="W147">
        <v>2</v>
      </c>
      <c r="X147">
        <v>3.1</v>
      </c>
      <c r="Y147">
        <v>1.4</v>
      </c>
      <c r="Z147">
        <v>1</v>
      </c>
      <c r="AA147">
        <v>0.2</v>
      </c>
      <c r="AB147">
        <v>0.7</v>
      </c>
      <c r="AC147">
        <v>2</v>
      </c>
      <c r="AD147">
        <v>4.5999999999999996</v>
      </c>
      <c r="AE147">
        <v>367</v>
      </c>
      <c r="AF147">
        <v>13.3</v>
      </c>
      <c r="AG147">
        <v>0.70099999999999996</v>
      </c>
      <c r="AH147">
        <v>0.377</v>
      </c>
      <c r="AI147">
        <v>0.10100000000000001</v>
      </c>
      <c r="AJ147">
        <v>7.4</v>
      </c>
      <c r="AK147">
        <v>13.9</v>
      </c>
      <c r="AL147">
        <v>10.6</v>
      </c>
      <c r="AM147">
        <v>11</v>
      </c>
      <c r="AN147">
        <v>2.9</v>
      </c>
      <c r="AO147">
        <v>1.2</v>
      </c>
      <c r="AP147">
        <v>18.2</v>
      </c>
      <c r="AQ147">
        <v>10.3</v>
      </c>
      <c r="AR147">
        <v>0.6</v>
      </c>
      <c r="AS147">
        <v>0.4</v>
      </c>
      <c r="AT147">
        <v>1</v>
      </c>
      <c r="AU147">
        <v>0.125</v>
      </c>
      <c r="AV147">
        <v>-1.2</v>
      </c>
      <c r="AW147">
        <v>1.5</v>
      </c>
      <c r="AX147">
        <v>0.3</v>
      </c>
      <c r="AY147">
        <v>0.2</v>
      </c>
      <c r="AZ147">
        <f t="shared" si="4"/>
        <v>0.65</v>
      </c>
      <c r="BA147">
        <f t="shared" si="5"/>
        <v>7.8313253012048195E-2</v>
      </c>
    </row>
    <row r="148" spans="1:53" hidden="1" x14ac:dyDescent="0.25">
      <c r="A148" t="s">
        <v>231</v>
      </c>
      <c r="B148" s="2">
        <v>8283688</v>
      </c>
      <c r="C148" t="s">
        <v>75</v>
      </c>
      <c r="D148">
        <v>33</v>
      </c>
      <c r="E148" t="s">
        <v>80</v>
      </c>
      <c r="F148">
        <v>38</v>
      </c>
      <c r="G148">
        <v>1</v>
      </c>
      <c r="H148">
        <v>11.2</v>
      </c>
      <c r="I148">
        <v>2</v>
      </c>
      <c r="J148">
        <v>4</v>
      </c>
      <c r="K148">
        <v>0.51</v>
      </c>
      <c r="L148">
        <v>0.3</v>
      </c>
      <c r="M148">
        <v>1</v>
      </c>
      <c r="N148">
        <v>0.308</v>
      </c>
      <c r="O148">
        <v>1.7</v>
      </c>
      <c r="P148">
        <v>2.9</v>
      </c>
      <c r="Q148">
        <v>0.57999999999999996</v>
      </c>
      <c r="R148">
        <v>0.55000000000000004</v>
      </c>
      <c r="S148">
        <v>0.9</v>
      </c>
      <c r="T148">
        <v>1.3</v>
      </c>
      <c r="U148">
        <v>0.67300000000000004</v>
      </c>
      <c r="V148">
        <v>0.9</v>
      </c>
      <c r="W148">
        <v>2.6</v>
      </c>
      <c r="X148">
        <v>3.5</v>
      </c>
      <c r="Y148">
        <v>0.7</v>
      </c>
      <c r="Z148">
        <v>0.2</v>
      </c>
      <c r="AA148">
        <v>0.5</v>
      </c>
      <c r="AB148">
        <v>0.7</v>
      </c>
      <c r="AC148">
        <v>2</v>
      </c>
      <c r="AD148">
        <v>5.2</v>
      </c>
      <c r="AE148">
        <v>426</v>
      </c>
      <c r="AF148">
        <v>15.5</v>
      </c>
      <c r="AG148">
        <v>0.57699999999999996</v>
      </c>
      <c r="AH148">
        <v>0.25800000000000001</v>
      </c>
      <c r="AI148">
        <v>0.32500000000000001</v>
      </c>
      <c r="AJ148">
        <v>9.1</v>
      </c>
      <c r="AK148">
        <v>28.3</v>
      </c>
      <c r="AL148">
        <v>18.5</v>
      </c>
      <c r="AM148">
        <v>9.5</v>
      </c>
      <c r="AN148">
        <v>1.1000000000000001</v>
      </c>
      <c r="AO148">
        <v>4.4000000000000004</v>
      </c>
      <c r="AP148">
        <v>12.7</v>
      </c>
      <c r="AQ148">
        <v>20.6</v>
      </c>
      <c r="AR148">
        <v>0.3</v>
      </c>
      <c r="AS148">
        <v>0.7</v>
      </c>
      <c r="AT148">
        <v>1</v>
      </c>
      <c r="AU148">
        <v>0.115</v>
      </c>
      <c r="AV148">
        <v>-2.6</v>
      </c>
      <c r="AW148">
        <v>1</v>
      </c>
      <c r="AX148">
        <v>-1.6</v>
      </c>
      <c r="AY148">
        <v>0</v>
      </c>
      <c r="AZ148">
        <f t="shared" si="4"/>
        <v>-0.30000000000000004</v>
      </c>
      <c r="BA148">
        <f t="shared" si="5"/>
        <v>-3.6215753176604436E-2</v>
      </c>
    </row>
    <row r="149" spans="1:53" x14ac:dyDescent="0.25">
      <c r="A149" t="s">
        <v>232</v>
      </c>
      <c r="B149" s="2">
        <v>8250000</v>
      </c>
      <c r="C149" t="s">
        <v>62</v>
      </c>
      <c r="D149">
        <v>24</v>
      </c>
      <c r="E149" t="s">
        <v>82</v>
      </c>
      <c r="F149">
        <v>77</v>
      </c>
      <c r="G149">
        <v>58</v>
      </c>
      <c r="H149">
        <v>27.9</v>
      </c>
      <c r="I149">
        <v>3.6</v>
      </c>
      <c r="J149">
        <v>8.5</v>
      </c>
      <c r="K149">
        <v>0.42499999999999999</v>
      </c>
      <c r="L149">
        <v>2</v>
      </c>
      <c r="M149">
        <v>5.2</v>
      </c>
      <c r="N149">
        <v>0.39</v>
      </c>
      <c r="O149">
        <v>1.6</v>
      </c>
      <c r="P149">
        <v>3.2</v>
      </c>
      <c r="Q149">
        <v>0.48399999999999999</v>
      </c>
      <c r="R149">
        <v>0.54600000000000004</v>
      </c>
      <c r="S149">
        <v>0.9</v>
      </c>
      <c r="T149">
        <v>1.1000000000000001</v>
      </c>
      <c r="U149">
        <v>0.79300000000000004</v>
      </c>
      <c r="V149">
        <v>0.9</v>
      </c>
      <c r="W149">
        <v>3.2</v>
      </c>
      <c r="X149">
        <v>4.0999999999999996</v>
      </c>
      <c r="Y149">
        <v>2.6</v>
      </c>
      <c r="Z149">
        <v>1.6</v>
      </c>
      <c r="AA149">
        <v>0.5</v>
      </c>
      <c r="AB149">
        <v>1.3</v>
      </c>
      <c r="AC149">
        <v>2.5</v>
      </c>
      <c r="AD149">
        <v>10.1</v>
      </c>
      <c r="AE149">
        <v>2150</v>
      </c>
      <c r="AF149">
        <v>12.7</v>
      </c>
      <c r="AG149">
        <v>0.56599999999999995</v>
      </c>
      <c r="AH149">
        <v>0.61899999999999999</v>
      </c>
      <c r="AI149">
        <v>0.13400000000000001</v>
      </c>
      <c r="AJ149">
        <v>3.9</v>
      </c>
      <c r="AK149">
        <v>13.1</v>
      </c>
      <c r="AL149">
        <v>8.6</v>
      </c>
      <c r="AM149">
        <v>12.9</v>
      </c>
      <c r="AN149">
        <v>2.9</v>
      </c>
      <c r="AO149">
        <v>1.8</v>
      </c>
      <c r="AP149">
        <v>12.9</v>
      </c>
      <c r="AQ149">
        <v>16.399999999999999</v>
      </c>
      <c r="AR149">
        <v>1.1000000000000001</v>
      </c>
      <c r="AS149">
        <v>3.1</v>
      </c>
      <c r="AT149">
        <v>4.2</v>
      </c>
      <c r="AU149">
        <v>9.5000000000000001E-2</v>
      </c>
      <c r="AV149">
        <v>-0.7</v>
      </c>
      <c r="AW149">
        <v>1.6</v>
      </c>
      <c r="AX149">
        <v>0.9</v>
      </c>
      <c r="AY149">
        <v>1.6</v>
      </c>
      <c r="AZ149" s="8">
        <f t="shared" si="4"/>
        <v>2.5500000000000003</v>
      </c>
      <c r="BA149" s="8">
        <f t="shared" si="5"/>
        <v>0.30909090909090914</v>
      </c>
    </row>
    <row r="150" spans="1:53" hidden="1" x14ac:dyDescent="0.25">
      <c r="A150" t="s">
        <v>233</v>
      </c>
      <c r="B150" s="2">
        <v>8200000</v>
      </c>
      <c r="C150" t="s">
        <v>28</v>
      </c>
      <c r="D150">
        <v>32</v>
      </c>
      <c r="E150" t="s">
        <v>53</v>
      </c>
      <c r="F150">
        <v>57</v>
      </c>
      <c r="G150">
        <v>1</v>
      </c>
      <c r="H150">
        <v>14</v>
      </c>
      <c r="I150">
        <v>2.4</v>
      </c>
      <c r="J150">
        <v>4.4000000000000004</v>
      </c>
      <c r="K150">
        <v>0.54</v>
      </c>
      <c r="L150">
        <v>0.7</v>
      </c>
      <c r="M150">
        <v>1.9</v>
      </c>
      <c r="N150">
        <v>0.378</v>
      </c>
      <c r="O150">
        <v>1.6</v>
      </c>
      <c r="P150">
        <v>2.5</v>
      </c>
      <c r="Q150">
        <v>0.66700000000000004</v>
      </c>
      <c r="R150">
        <v>0.623</v>
      </c>
      <c r="S150">
        <v>0.9</v>
      </c>
      <c r="T150">
        <v>1.2</v>
      </c>
      <c r="U150">
        <v>0.77600000000000002</v>
      </c>
      <c r="V150">
        <v>1.3</v>
      </c>
      <c r="W150">
        <v>2.2999999999999998</v>
      </c>
      <c r="X150">
        <v>3.6</v>
      </c>
      <c r="Y150">
        <v>0.9</v>
      </c>
      <c r="Z150">
        <v>0.4</v>
      </c>
      <c r="AA150">
        <v>0.4</v>
      </c>
      <c r="AB150">
        <v>0.9</v>
      </c>
      <c r="AC150">
        <v>1.8</v>
      </c>
      <c r="AD150">
        <v>6.4</v>
      </c>
      <c r="AE150">
        <v>797</v>
      </c>
      <c r="AF150">
        <v>15.5</v>
      </c>
      <c r="AG150">
        <v>0.65</v>
      </c>
      <c r="AH150">
        <v>0.44</v>
      </c>
      <c r="AI150">
        <v>0.26600000000000001</v>
      </c>
      <c r="AJ150">
        <v>10.1</v>
      </c>
      <c r="AK150">
        <v>18</v>
      </c>
      <c r="AL150">
        <v>14.1</v>
      </c>
      <c r="AM150">
        <v>8.9</v>
      </c>
      <c r="AN150">
        <v>1.5</v>
      </c>
      <c r="AO150">
        <v>2.5</v>
      </c>
      <c r="AP150">
        <v>15.6</v>
      </c>
      <c r="AQ150">
        <v>17.5</v>
      </c>
      <c r="AR150">
        <v>1.2</v>
      </c>
      <c r="AS150">
        <v>1</v>
      </c>
      <c r="AT150">
        <v>2.2000000000000002</v>
      </c>
      <c r="AU150">
        <v>0.13300000000000001</v>
      </c>
      <c r="AV150">
        <v>-0.7</v>
      </c>
      <c r="AW150">
        <v>0.2</v>
      </c>
      <c r="AX150">
        <v>-0.5</v>
      </c>
      <c r="AY150">
        <v>0.3</v>
      </c>
      <c r="AZ150">
        <f t="shared" si="4"/>
        <v>0.85000000000000009</v>
      </c>
      <c r="BA150">
        <f t="shared" si="5"/>
        <v>0.10365853658536586</v>
      </c>
    </row>
    <row r="151" spans="1:53" x14ac:dyDescent="0.25">
      <c r="A151" t="s">
        <v>234</v>
      </c>
      <c r="B151" s="2">
        <v>8008440</v>
      </c>
      <c r="C151" t="s">
        <v>65</v>
      </c>
      <c r="D151">
        <v>22</v>
      </c>
      <c r="E151" t="s">
        <v>116</v>
      </c>
      <c r="F151">
        <v>80</v>
      </c>
      <c r="G151">
        <v>78</v>
      </c>
      <c r="H151">
        <v>29.8</v>
      </c>
      <c r="I151">
        <v>4.4000000000000004</v>
      </c>
      <c r="J151">
        <v>9.8000000000000007</v>
      </c>
      <c r="K151">
        <v>0.45300000000000001</v>
      </c>
      <c r="L151">
        <v>2.6</v>
      </c>
      <c r="M151">
        <v>6.3</v>
      </c>
      <c r="N151">
        <v>0.41099999999999998</v>
      </c>
      <c r="O151">
        <v>1.9</v>
      </c>
      <c r="P151">
        <v>3.5</v>
      </c>
      <c r="Q151">
        <v>0.52700000000000002</v>
      </c>
      <c r="R151">
        <v>0.58399999999999996</v>
      </c>
      <c r="S151">
        <v>0.8</v>
      </c>
      <c r="T151">
        <v>1</v>
      </c>
      <c r="U151">
        <v>0.76500000000000001</v>
      </c>
      <c r="V151">
        <v>1.1000000000000001</v>
      </c>
      <c r="W151">
        <v>3.5</v>
      </c>
      <c r="X151">
        <v>4.5999999999999996</v>
      </c>
      <c r="Y151">
        <v>1.2</v>
      </c>
      <c r="Z151">
        <v>0.8</v>
      </c>
      <c r="AA151">
        <v>0.5</v>
      </c>
      <c r="AB151">
        <v>0.8</v>
      </c>
      <c r="AC151">
        <v>2</v>
      </c>
      <c r="AD151">
        <v>12.2</v>
      </c>
      <c r="AE151">
        <v>2382</v>
      </c>
      <c r="AF151">
        <v>12.3</v>
      </c>
      <c r="AG151">
        <v>0.59699999999999998</v>
      </c>
      <c r="AH151">
        <v>0.64100000000000001</v>
      </c>
      <c r="AI151">
        <v>0.104</v>
      </c>
      <c r="AJ151">
        <v>4.3</v>
      </c>
      <c r="AK151">
        <v>13.4</v>
      </c>
      <c r="AL151">
        <v>8.9</v>
      </c>
      <c r="AM151">
        <v>5.5</v>
      </c>
      <c r="AN151">
        <v>1.2</v>
      </c>
      <c r="AO151">
        <v>1.5</v>
      </c>
      <c r="AP151">
        <v>6.8</v>
      </c>
      <c r="AQ151">
        <v>15.8</v>
      </c>
      <c r="AR151">
        <v>2.6</v>
      </c>
      <c r="AS151">
        <v>1.7</v>
      </c>
      <c r="AT151">
        <v>4.3</v>
      </c>
      <c r="AU151">
        <v>8.6999999999999994E-2</v>
      </c>
      <c r="AV151">
        <v>0.4</v>
      </c>
      <c r="AW151">
        <v>-1</v>
      </c>
      <c r="AX151">
        <v>-0.6</v>
      </c>
      <c r="AY151">
        <v>0.8</v>
      </c>
      <c r="AZ151" s="8">
        <f t="shared" si="4"/>
        <v>1.8499999999999999</v>
      </c>
      <c r="BA151" s="8">
        <f t="shared" si="5"/>
        <v>0.23100628836577408</v>
      </c>
    </row>
    <row r="152" spans="1:53" x14ac:dyDescent="0.25">
      <c r="A152" t="s">
        <v>235</v>
      </c>
      <c r="B152" s="2">
        <v>8000000</v>
      </c>
      <c r="C152" t="s">
        <v>75</v>
      </c>
      <c r="D152">
        <v>26</v>
      </c>
      <c r="E152" t="s">
        <v>53</v>
      </c>
      <c r="F152">
        <v>82</v>
      </c>
      <c r="G152">
        <v>70</v>
      </c>
      <c r="H152">
        <v>23.9</v>
      </c>
      <c r="I152">
        <v>3</v>
      </c>
      <c r="J152">
        <v>4.7</v>
      </c>
      <c r="K152">
        <v>0.63</v>
      </c>
      <c r="L152">
        <v>0</v>
      </c>
      <c r="M152">
        <v>0</v>
      </c>
      <c r="N152">
        <v>0</v>
      </c>
      <c r="O152">
        <v>3</v>
      </c>
      <c r="P152">
        <v>4.7</v>
      </c>
      <c r="Q152">
        <v>0.63200000000000001</v>
      </c>
      <c r="R152">
        <v>0.63</v>
      </c>
      <c r="S152">
        <v>1.1000000000000001</v>
      </c>
      <c r="T152">
        <v>1.9</v>
      </c>
      <c r="U152">
        <v>0.60599999999999998</v>
      </c>
      <c r="V152">
        <v>3.3</v>
      </c>
      <c r="W152">
        <v>5.9</v>
      </c>
      <c r="X152">
        <v>9.3000000000000007</v>
      </c>
      <c r="Y152">
        <v>2.5</v>
      </c>
      <c r="Z152">
        <v>0.6</v>
      </c>
      <c r="AA152">
        <v>0.6</v>
      </c>
      <c r="AB152">
        <v>0.5</v>
      </c>
      <c r="AC152">
        <v>2.7</v>
      </c>
      <c r="AD152">
        <v>7</v>
      </c>
      <c r="AE152">
        <v>1958</v>
      </c>
      <c r="AF152">
        <v>17.8</v>
      </c>
      <c r="AG152">
        <v>0.63900000000000001</v>
      </c>
      <c r="AH152">
        <v>3.0000000000000001E-3</v>
      </c>
      <c r="AI152">
        <v>0.40400000000000003</v>
      </c>
      <c r="AJ152">
        <v>15.7</v>
      </c>
      <c r="AK152">
        <v>26.8</v>
      </c>
      <c r="AL152">
        <v>21.4</v>
      </c>
      <c r="AM152">
        <v>13.8</v>
      </c>
      <c r="AN152">
        <v>1.3</v>
      </c>
      <c r="AO152">
        <v>2.2000000000000002</v>
      </c>
      <c r="AP152">
        <v>9.1</v>
      </c>
      <c r="AQ152">
        <v>10.6</v>
      </c>
      <c r="AR152">
        <v>5.9</v>
      </c>
      <c r="AS152">
        <v>2.8</v>
      </c>
      <c r="AT152">
        <v>8.6999999999999993</v>
      </c>
      <c r="AU152">
        <v>0.21199999999999999</v>
      </c>
      <c r="AV152">
        <v>0.9</v>
      </c>
      <c r="AW152">
        <v>1.3</v>
      </c>
      <c r="AX152">
        <v>2.1</v>
      </c>
      <c r="AY152">
        <v>2</v>
      </c>
      <c r="AZ152" s="8">
        <f t="shared" si="4"/>
        <v>5.3999999999999995</v>
      </c>
      <c r="BA152" s="8">
        <f t="shared" si="5"/>
        <v>0.67499999999999993</v>
      </c>
    </row>
    <row r="153" spans="1:53" hidden="1" x14ac:dyDescent="0.25">
      <c r="A153" t="s">
        <v>236</v>
      </c>
      <c r="B153" s="2">
        <v>8000000</v>
      </c>
      <c r="C153" t="s">
        <v>28</v>
      </c>
      <c r="D153">
        <v>34</v>
      </c>
      <c r="E153" t="s">
        <v>91</v>
      </c>
      <c r="F153">
        <v>54</v>
      </c>
      <c r="G153">
        <v>9</v>
      </c>
      <c r="H153">
        <v>14.7</v>
      </c>
      <c r="I153">
        <v>2</v>
      </c>
      <c r="J153">
        <v>3.7</v>
      </c>
      <c r="K153">
        <v>0.54500000000000004</v>
      </c>
      <c r="L153">
        <v>0.1</v>
      </c>
      <c r="M153">
        <v>0.6</v>
      </c>
      <c r="N153">
        <v>0.17599999999999999</v>
      </c>
      <c r="O153">
        <v>1.9</v>
      </c>
      <c r="P153">
        <v>3</v>
      </c>
      <c r="Q153">
        <v>0.622</v>
      </c>
      <c r="R153">
        <v>0.56100000000000005</v>
      </c>
      <c r="S153">
        <v>0.3</v>
      </c>
      <c r="T153">
        <v>0.5</v>
      </c>
      <c r="U153">
        <v>0.69199999999999995</v>
      </c>
      <c r="V153">
        <v>1.3</v>
      </c>
      <c r="W153">
        <v>1.8</v>
      </c>
      <c r="X153">
        <v>3.1</v>
      </c>
      <c r="Y153">
        <v>1.4</v>
      </c>
      <c r="Z153">
        <v>1</v>
      </c>
      <c r="AA153">
        <v>0.1</v>
      </c>
      <c r="AB153">
        <v>0.8</v>
      </c>
      <c r="AC153">
        <v>1.6</v>
      </c>
      <c r="AD153">
        <v>4.4000000000000004</v>
      </c>
      <c r="AE153">
        <v>795</v>
      </c>
      <c r="AF153">
        <v>14.1</v>
      </c>
      <c r="AG153">
        <v>0.57299999999999995</v>
      </c>
      <c r="AH153">
        <v>0.17199999999999999</v>
      </c>
      <c r="AI153">
        <v>0.13100000000000001</v>
      </c>
      <c r="AJ153">
        <v>9.4</v>
      </c>
      <c r="AK153">
        <v>14.6</v>
      </c>
      <c r="AL153">
        <v>11.8</v>
      </c>
      <c r="AM153">
        <v>12.9</v>
      </c>
      <c r="AN153">
        <v>3.4</v>
      </c>
      <c r="AO153">
        <v>0.6</v>
      </c>
      <c r="AP153">
        <v>16.7</v>
      </c>
      <c r="AQ153">
        <v>13.5</v>
      </c>
      <c r="AR153">
        <v>0.7</v>
      </c>
      <c r="AS153">
        <v>1.1000000000000001</v>
      </c>
      <c r="AT153">
        <v>1.8</v>
      </c>
      <c r="AU153">
        <v>0.109</v>
      </c>
      <c r="AV153">
        <v>-1.8</v>
      </c>
      <c r="AW153">
        <v>1.9</v>
      </c>
      <c r="AX153">
        <v>0.1</v>
      </c>
      <c r="AY153">
        <v>0.4</v>
      </c>
      <c r="AZ153">
        <f t="shared" si="4"/>
        <v>0.95000000000000007</v>
      </c>
      <c r="BA153">
        <f t="shared" si="5"/>
        <v>0.11875000000000001</v>
      </c>
    </row>
    <row r="154" spans="1:53" x14ac:dyDescent="0.25">
      <c r="A154" t="s">
        <v>237</v>
      </c>
      <c r="B154" s="2">
        <v>7804878</v>
      </c>
      <c r="C154" t="s">
        <v>52</v>
      </c>
      <c r="D154">
        <v>30</v>
      </c>
      <c r="E154" t="s">
        <v>63</v>
      </c>
      <c r="F154">
        <v>50</v>
      </c>
      <c r="G154">
        <v>14</v>
      </c>
      <c r="H154">
        <v>24.4</v>
      </c>
      <c r="I154">
        <v>2.8</v>
      </c>
      <c r="J154">
        <v>5.8</v>
      </c>
      <c r="K154">
        <v>0.47399999999999998</v>
      </c>
      <c r="L154">
        <v>0.8</v>
      </c>
      <c r="M154">
        <v>2.4</v>
      </c>
      <c r="N154">
        <v>0.34499999999999997</v>
      </c>
      <c r="O154">
        <v>1.9</v>
      </c>
      <c r="P154">
        <v>3.4</v>
      </c>
      <c r="Q154">
        <v>0.56399999999999995</v>
      </c>
      <c r="R154">
        <v>0.54500000000000004</v>
      </c>
      <c r="S154">
        <v>1</v>
      </c>
      <c r="T154">
        <v>1.2</v>
      </c>
      <c r="U154">
        <v>0.86699999999999999</v>
      </c>
      <c r="V154">
        <v>1.2</v>
      </c>
      <c r="W154">
        <v>2.4</v>
      </c>
      <c r="X154">
        <v>3.6</v>
      </c>
      <c r="Y154">
        <v>3.9</v>
      </c>
      <c r="Z154">
        <v>1.8</v>
      </c>
      <c r="AA154">
        <v>0.3</v>
      </c>
      <c r="AB154">
        <v>0.9</v>
      </c>
      <c r="AC154">
        <v>1.2</v>
      </c>
      <c r="AD154">
        <v>7.4</v>
      </c>
      <c r="AE154">
        <v>1221</v>
      </c>
      <c r="AF154">
        <v>16.3</v>
      </c>
      <c r="AG154">
        <v>0.58099999999999996</v>
      </c>
      <c r="AH154">
        <v>0.40899999999999997</v>
      </c>
      <c r="AI154">
        <v>0.20599999999999999</v>
      </c>
      <c r="AJ154">
        <v>5.5</v>
      </c>
      <c r="AK154">
        <v>10.7</v>
      </c>
      <c r="AL154">
        <v>8.1999999999999993</v>
      </c>
      <c r="AM154">
        <v>20.9</v>
      </c>
      <c r="AN154">
        <v>3.7</v>
      </c>
      <c r="AO154">
        <v>1.2</v>
      </c>
      <c r="AP154">
        <v>12.2</v>
      </c>
      <c r="AQ154">
        <v>12.9</v>
      </c>
      <c r="AR154">
        <v>2.1</v>
      </c>
      <c r="AS154">
        <v>1.6</v>
      </c>
      <c r="AT154">
        <v>3.7</v>
      </c>
      <c r="AU154">
        <v>0.14599999999999999</v>
      </c>
      <c r="AV154">
        <v>0.4</v>
      </c>
      <c r="AW154">
        <v>3.1</v>
      </c>
      <c r="AX154">
        <v>3.4</v>
      </c>
      <c r="AY154">
        <v>1.7</v>
      </c>
      <c r="AZ154" s="8">
        <f t="shared" si="4"/>
        <v>3.55</v>
      </c>
      <c r="BA154" s="8">
        <f t="shared" si="5"/>
        <v>0.45484375284277345</v>
      </c>
    </row>
    <row r="155" spans="1:53" x14ac:dyDescent="0.25">
      <c r="A155" t="s">
        <v>238</v>
      </c>
      <c r="B155" s="2">
        <v>7775400</v>
      </c>
      <c r="C155" t="s">
        <v>28</v>
      </c>
      <c r="D155">
        <v>21</v>
      </c>
      <c r="E155" t="s">
        <v>87</v>
      </c>
      <c r="F155">
        <v>82</v>
      </c>
      <c r="G155">
        <v>65</v>
      </c>
      <c r="H155">
        <v>28.3</v>
      </c>
      <c r="I155">
        <v>3.8</v>
      </c>
      <c r="J155">
        <v>8.3000000000000007</v>
      </c>
      <c r="K155">
        <v>0.46400000000000002</v>
      </c>
      <c r="L155">
        <v>1.4</v>
      </c>
      <c r="M155">
        <v>3.4</v>
      </c>
      <c r="N155">
        <v>0.41499999999999998</v>
      </c>
      <c r="O155">
        <v>2.4</v>
      </c>
      <c r="P155">
        <v>4.9000000000000004</v>
      </c>
      <c r="Q155">
        <v>0.498</v>
      </c>
      <c r="R155">
        <v>0.54900000000000004</v>
      </c>
      <c r="S155">
        <v>1.1000000000000001</v>
      </c>
      <c r="T155">
        <v>1.3</v>
      </c>
      <c r="U155">
        <v>0.85699999999999998</v>
      </c>
      <c r="V155">
        <v>1</v>
      </c>
      <c r="W155">
        <v>3</v>
      </c>
      <c r="X155">
        <v>4</v>
      </c>
      <c r="Y155">
        <v>1.2</v>
      </c>
      <c r="Z155">
        <v>0.9</v>
      </c>
      <c r="AA155">
        <v>0.9</v>
      </c>
      <c r="AB155">
        <v>1.2</v>
      </c>
      <c r="AC155">
        <v>1.8</v>
      </c>
      <c r="AD155">
        <v>10.199999999999999</v>
      </c>
      <c r="AE155">
        <v>2323</v>
      </c>
      <c r="AF155">
        <v>11.2</v>
      </c>
      <c r="AG155">
        <v>0.57599999999999996</v>
      </c>
      <c r="AH155">
        <v>0.40899999999999997</v>
      </c>
      <c r="AI155">
        <v>0.155</v>
      </c>
      <c r="AJ155">
        <v>3.9</v>
      </c>
      <c r="AK155">
        <v>12</v>
      </c>
      <c r="AL155">
        <v>8</v>
      </c>
      <c r="AM155">
        <v>5.8</v>
      </c>
      <c r="AN155">
        <v>1.5</v>
      </c>
      <c r="AO155">
        <v>2.9</v>
      </c>
      <c r="AP155">
        <v>12.3</v>
      </c>
      <c r="AQ155">
        <v>15.7</v>
      </c>
      <c r="AR155">
        <v>0.5</v>
      </c>
      <c r="AS155">
        <v>3</v>
      </c>
      <c r="AT155">
        <v>3.5</v>
      </c>
      <c r="AU155">
        <v>7.1999999999999995E-2</v>
      </c>
      <c r="AV155">
        <v>-1.7</v>
      </c>
      <c r="AW155">
        <v>0.4</v>
      </c>
      <c r="AX155">
        <v>-1.3</v>
      </c>
      <c r="AY155">
        <v>0.4</v>
      </c>
      <c r="AZ155" s="8">
        <f t="shared" si="4"/>
        <v>1.1000000000000001</v>
      </c>
      <c r="BA155" s="8">
        <f t="shared" si="5"/>
        <v>0.14147182138539496</v>
      </c>
    </row>
    <row r="156" spans="1:53" x14ac:dyDescent="0.25">
      <c r="A156" t="s">
        <v>239</v>
      </c>
      <c r="B156" s="2">
        <v>7644600</v>
      </c>
      <c r="C156" t="s">
        <v>65</v>
      </c>
      <c r="D156">
        <v>21</v>
      </c>
      <c r="E156" t="s">
        <v>91</v>
      </c>
      <c r="F156">
        <v>77</v>
      </c>
      <c r="G156">
        <v>76</v>
      </c>
      <c r="H156">
        <v>34.799999999999997</v>
      </c>
      <c r="I156">
        <v>6</v>
      </c>
      <c r="J156">
        <v>13.2</v>
      </c>
      <c r="K156">
        <v>0.45600000000000002</v>
      </c>
      <c r="L156">
        <v>0.8</v>
      </c>
      <c r="M156">
        <v>2.9</v>
      </c>
      <c r="N156">
        <v>0.28100000000000003</v>
      </c>
      <c r="O156">
        <v>5.2</v>
      </c>
      <c r="P156">
        <v>10.3</v>
      </c>
      <c r="Q156">
        <v>0.505</v>
      </c>
      <c r="R156">
        <v>0.48699999999999999</v>
      </c>
      <c r="S156">
        <v>2.5</v>
      </c>
      <c r="T156">
        <v>3.2</v>
      </c>
      <c r="U156">
        <v>0.77200000000000002</v>
      </c>
      <c r="V156">
        <v>2.2999999999999998</v>
      </c>
      <c r="W156">
        <v>4.3</v>
      </c>
      <c r="X156">
        <v>6.6</v>
      </c>
      <c r="Y156">
        <v>4.8</v>
      </c>
      <c r="Z156">
        <v>1.1000000000000001</v>
      </c>
      <c r="AA156">
        <v>0.8</v>
      </c>
      <c r="AB156">
        <v>2</v>
      </c>
      <c r="AC156">
        <v>2.2000000000000002</v>
      </c>
      <c r="AD156">
        <v>15.3</v>
      </c>
      <c r="AE156">
        <v>2678</v>
      </c>
      <c r="AF156">
        <v>15.5</v>
      </c>
      <c r="AG156">
        <v>0.52400000000000002</v>
      </c>
      <c r="AH156">
        <v>0.22</v>
      </c>
      <c r="AI156">
        <v>0.24199999999999999</v>
      </c>
      <c r="AJ156">
        <v>7.1</v>
      </c>
      <c r="AK156">
        <v>15.2</v>
      </c>
      <c r="AL156">
        <v>10.8</v>
      </c>
      <c r="AM156">
        <v>20</v>
      </c>
      <c r="AN156">
        <v>1.5</v>
      </c>
      <c r="AO156">
        <v>2.2000000000000002</v>
      </c>
      <c r="AP156">
        <v>12</v>
      </c>
      <c r="AQ156">
        <v>20.3</v>
      </c>
      <c r="AR156">
        <v>2.2999999999999998</v>
      </c>
      <c r="AS156">
        <v>2.7</v>
      </c>
      <c r="AT156">
        <v>5</v>
      </c>
      <c r="AU156">
        <v>0.09</v>
      </c>
      <c r="AV156">
        <v>0.5</v>
      </c>
      <c r="AW156">
        <v>-0.1</v>
      </c>
      <c r="AX156">
        <v>0.4</v>
      </c>
      <c r="AY156">
        <v>1.6</v>
      </c>
      <c r="AZ156" s="8">
        <f t="shared" si="4"/>
        <v>2.7</v>
      </c>
      <c r="BA156" s="8">
        <f t="shared" si="5"/>
        <v>0.35319048740287262</v>
      </c>
    </row>
    <row r="157" spans="1:53" x14ac:dyDescent="0.25">
      <c r="A157" t="s">
        <v>240</v>
      </c>
      <c r="B157" s="2">
        <v>7426088</v>
      </c>
      <c r="C157" t="s">
        <v>65</v>
      </c>
      <c r="D157">
        <v>27</v>
      </c>
      <c r="E157" t="s">
        <v>107</v>
      </c>
      <c r="F157">
        <v>77</v>
      </c>
      <c r="G157">
        <v>2</v>
      </c>
      <c r="H157">
        <v>20.100000000000001</v>
      </c>
      <c r="I157">
        <v>3.1</v>
      </c>
      <c r="J157">
        <v>6.9</v>
      </c>
      <c r="K157">
        <v>0.45100000000000001</v>
      </c>
      <c r="L157">
        <v>1.5</v>
      </c>
      <c r="M157">
        <v>4.0999999999999996</v>
      </c>
      <c r="N157">
        <v>0.372</v>
      </c>
      <c r="O157">
        <v>1.6</v>
      </c>
      <c r="P157">
        <v>2.8</v>
      </c>
      <c r="Q157">
        <v>0.56399999999999995</v>
      </c>
      <c r="R157">
        <v>0.56000000000000005</v>
      </c>
      <c r="S157">
        <v>1</v>
      </c>
      <c r="T157">
        <v>1.4</v>
      </c>
      <c r="U157">
        <v>0.69399999999999995</v>
      </c>
      <c r="V157">
        <v>0.3</v>
      </c>
      <c r="W157">
        <v>2</v>
      </c>
      <c r="X157">
        <v>2.2999999999999998</v>
      </c>
      <c r="Y157">
        <v>1.5</v>
      </c>
      <c r="Z157">
        <v>0.5</v>
      </c>
      <c r="AA157">
        <v>0.1</v>
      </c>
      <c r="AB157">
        <v>0.7</v>
      </c>
      <c r="AC157">
        <v>1.6</v>
      </c>
      <c r="AD157">
        <v>8.6999999999999993</v>
      </c>
      <c r="AE157">
        <v>1548</v>
      </c>
      <c r="AF157">
        <v>12</v>
      </c>
      <c r="AG157">
        <v>0.57899999999999996</v>
      </c>
      <c r="AH157">
        <v>0.58899999999999997</v>
      </c>
      <c r="AI157">
        <v>0.20399999999999999</v>
      </c>
      <c r="AJ157">
        <v>1.9</v>
      </c>
      <c r="AK157">
        <v>11.5</v>
      </c>
      <c r="AL157">
        <v>6.7</v>
      </c>
      <c r="AM157">
        <v>10.6</v>
      </c>
      <c r="AN157">
        <v>1.1000000000000001</v>
      </c>
      <c r="AO157">
        <v>0.7</v>
      </c>
      <c r="AP157">
        <v>8.3000000000000007</v>
      </c>
      <c r="AQ157">
        <v>18.2</v>
      </c>
      <c r="AR157">
        <v>1.4</v>
      </c>
      <c r="AS157">
        <v>1.9</v>
      </c>
      <c r="AT157">
        <v>3.3</v>
      </c>
      <c r="AU157">
        <v>0.10299999999999999</v>
      </c>
      <c r="AV157">
        <v>-0.8</v>
      </c>
      <c r="AW157">
        <v>0.2</v>
      </c>
      <c r="AX157">
        <v>-0.7</v>
      </c>
      <c r="AY157">
        <v>0.5</v>
      </c>
      <c r="AZ157" s="8">
        <f t="shared" si="4"/>
        <v>1.2999999999999998</v>
      </c>
      <c r="BA157" s="8">
        <f t="shared" si="5"/>
        <v>0.1750585234109803</v>
      </c>
    </row>
    <row r="158" spans="1:53" x14ac:dyDescent="0.25">
      <c r="A158" t="s">
        <v>241</v>
      </c>
      <c r="B158" s="2">
        <v>7413955</v>
      </c>
      <c r="C158" t="s">
        <v>62</v>
      </c>
      <c r="D158">
        <v>22</v>
      </c>
      <c r="E158" t="s">
        <v>87</v>
      </c>
      <c r="F158">
        <v>74</v>
      </c>
      <c r="G158">
        <v>2</v>
      </c>
      <c r="H158">
        <v>23.4</v>
      </c>
      <c r="I158">
        <v>3.6</v>
      </c>
      <c r="J158">
        <v>8</v>
      </c>
      <c r="K158">
        <v>0.443</v>
      </c>
      <c r="L158">
        <v>1.7</v>
      </c>
      <c r="M158">
        <v>4.5999999999999996</v>
      </c>
      <c r="N158">
        <v>0.372</v>
      </c>
      <c r="O158">
        <v>1.8</v>
      </c>
      <c r="P158">
        <v>3.4</v>
      </c>
      <c r="Q158">
        <v>0.54</v>
      </c>
      <c r="R158">
        <v>0.55100000000000005</v>
      </c>
      <c r="S158">
        <v>0.8</v>
      </c>
      <c r="T158">
        <v>0.9</v>
      </c>
      <c r="U158">
        <v>0.871</v>
      </c>
      <c r="V158">
        <v>0.2</v>
      </c>
      <c r="W158">
        <v>2.6</v>
      </c>
      <c r="X158">
        <v>2.9</v>
      </c>
      <c r="Y158">
        <v>2.8</v>
      </c>
      <c r="Z158">
        <v>0.7</v>
      </c>
      <c r="AA158">
        <v>0.1</v>
      </c>
      <c r="AB158">
        <v>1</v>
      </c>
      <c r="AC158">
        <v>1.6</v>
      </c>
      <c r="AD158">
        <v>9.6999999999999993</v>
      </c>
      <c r="AE158">
        <v>1730</v>
      </c>
      <c r="AF158">
        <v>12.5</v>
      </c>
      <c r="AG158">
        <v>0.57199999999999995</v>
      </c>
      <c r="AH158">
        <v>0.57899999999999996</v>
      </c>
      <c r="AI158">
        <v>0.11799999999999999</v>
      </c>
      <c r="AJ158">
        <v>1.1000000000000001</v>
      </c>
      <c r="AK158">
        <v>12.6</v>
      </c>
      <c r="AL158">
        <v>6.9</v>
      </c>
      <c r="AM158">
        <v>16.3</v>
      </c>
      <c r="AN158">
        <v>1.5</v>
      </c>
      <c r="AO158">
        <v>0.3</v>
      </c>
      <c r="AP158">
        <v>10.6</v>
      </c>
      <c r="AQ158">
        <v>17.899999999999999</v>
      </c>
      <c r="AR158">
        <v>1.2</v>
      </c>
      <c r="AS158">
        <v>1.9</v>
      </c>
      <c r="AT158">
        <v>3.1</v>
      </c>
      <c r="AU158">
        <v>8.6999999999999994E-2</v>
      </c>
      <c r="AV158">
        <v>-1</v>
      </c>
      <c r="AW158">
        <v>0.2</v>
      </c>
      <c r="AX158">
        <v>-0.8</v>
      </c>
      <c r="AY158">
        <v>0.5</v>
      </c>
      <c r="AZ158" s="8">
        <f t="shared" si="4"/>
        <v>1.1499999999999999</v>
      </c>
      <c r="BA158" s="8">
        <f t="shared" si="5"/>
        <v>0.15511289183708291</v>
      </c>
    </row>
    <row r="159" spans="1:53" x14ac:dyDescent="0.25">
      <c r="A159" t="s">
        <v>242</v>
      </c>
      <c r="B159" s="2">
        <v>7350000</v>
      </c>
      <c r="C159" t="s">
        <v>75</v>
      </c>
      <c r="D159">
        <v>25</v>
      </c>
      <c r="E159" t="s">
        <v>175</v>
      </c>
      <c r="F159">
        <v>63</v>
      </c>
      <c r="G159">
        <v>26</v>
      </c>
      <c r="H159">
        <v>22.9</v>
      </c>
      <c r="I159">
        <v>4.5</v>
      </c>
      <c r="J159">
        <v>8.6999999999999993</v>
      </c>
      <c r="K159">
        <v>0.51800000000000002</v>
      </c>
      <c r="L159">
        <v>0.9</v>
      </c>
      <c r="M159">
        <v>2.2999999999999998</v>
      </c>
      <c r="N159">
        <v>0.374</v>
      </c>
      <c r="O159">
        <v>3.6</v>
      </c>
      <c r="P159">
        <v>6.4</v>
      </c>
      <c r="Q159">
        <v>0.57099999999999995</v>
      </c>
      <c r="R159">
        <v>0.56799999999999995</v>
      </c>
      <c r="S159">
        <v>1.7</v>
      </c>
      <c r="T159">
        <v>2.2999999999999998</v>
      </c>
      <c r="U159">
        <v>0.76100000000000001</v>
      </c>
      <c r="V159">
        <v>1.8</v>
      </c>
      <c r="W159">
        <v>4.5</v>
      </c>
      <c r="X159">
        <v>6.4</v>
      </c>
      <c r="Y159">
        <v>2.9</v>
      </c>
      <c r="Z159">
        <v>0.6</v>
      </c>
      <c r="AA159">
        <v>0.8</v>
      </c>
      <c r="AB159">
        <v>2</v>
      </c>
      <c r="AC159">
        <v>3.2</v>
      </c>
      <c r="AD159">
        <v>11.6</v>
      </c>
      <c r="AE159">
        <v>1441</v>
      </c>
      <c r="AF159">
        <v>16.399999999999999</v>
      </c>
      <c r="AG159">
        <v>0.59899999999999998</v>
      </c>
      <c r="AH159">
        <v>0.26800000000000002</v>
      </c>
      <c r="AI159">
        <v>0.25900000000000001</v>
      </c>
      <c r="AJ159">
        <v>8.5</v>
      </c>
      <c r="AK159">
        <v>22.5</v>
      </c>
      <c r="AL159">
        <v>15.2</v>
      </c>
      <c r="AM159">
        <v>18</v>
      </c>
      <c r="AN159">
        <v>1.2</v>
      </c>
      <c r="AO159">
        <v>2.8</v>
      </c>
      <c r="AP159">
        <v>17.399999999999999</v>
      </c>
      <c r="AQ159">
        <v>21.2</v>
      </c>
      <c r="AR159">
        <v>1.2</v>
      </c>
      <c r="AS159">
        <v>1</v>
      </c>
      <c r="AT159">
        <v>2.2000000000000002</v>
      </c>
      <c r="AU159">
        <v>7.3999999999999996E-2</v>
      </c>
      <c r="AV159">
        <v>-0.5</v>
      </c>
      <c r="AW159">
        <v>0.3</v>
      </c>
      <c r="AX159">
        <v>-0.2</v>
      </c>
      <c r="AY159">
        <v>0.6</v>
      </c>
      <c r="AZ159" s="8">
        <f t="shared" si="4"/>
        <v>1</v>
      </c>
      <c r="BA159" s="8">
        <f t="shared" si="5"/>
        <v>0.1360544217687075</v>
      </c>
    </row>
    <row r="160" spans="1:53" hidden="1" x14ac:dyDescent="0.25">
      <c r="A160" t="s">
        <v>243</v>
      </c>
      <c r="B160" s="2">
        <v>7252200</v>
      </c>
      <c r="C160" t="s">
        <v>62</v>
      </c>
      <c r="D160">
        <v>20</v>
      </c>
      <c r="E160" t="s">
        <v>201</v>
      </c>
      <c r="F160">
        <v>74</v>
      </c>
      <c r="G160">
        <v>73</v>
      </c>
      <c r="H160">
        <v>31.1</v>
      </c>
      <c r="I160">
        <v>5.5</v>
      </c>
      <c r="J160">
        <v>13.3</v>
      </c>
      <c r="K160">
        <v>0.41599999999999998</v>
      </c>
      <c r="L160">
        <v>1.6</v>
      </c>
      <c r="M160">
        <v>4.7</v>
      </c>
      <c r="N160">
        <v>0.34300000000000003</v>
      </c>
      <c r="O160">
        <v>3.9</v>
      </c>
      <c r="P160">
        <v>8.6</v>
      </c>
      <c r="Q160">
        <v>0.45700000000000002</v>
      </c>
      <c r="R160">
        <v>0.47699999999999998</v>
      </c>
      <c r="S160">
        <v>3.6</v>
      </c>
      <c r="T160">
        <v>4.8</v>
      </c>
      <c r="U160">
        <v>0.747</v>
      </c>
      <c r="V160">
        <v>1</v>
      </c>
      <c r="W160">
        <v>2.9</v>
      </c>
      <c r="X160">
        <v>3.9</v>
      </c>
      <c r="Y160">
        <v>5.2</v>
      </c>
      <c r="Z160">
        <v>0.8</v>
      </c>
      <c r="AA160">
        <v>0.2</v>
      </c>
      <c r="AB160">
        <v>3.2</v>
      </c>
      <c r="AC160">
        <v>3.3</v>
      </c>
      <c r="AD160">
        <v>16.3</v>
      </c>
      <c r="AE160">
        <v>2304</v>
      </c>
      <c r="AF160">
        <v>12.1</v>
      </c>
      <c r="AG160">
        <v>0.52800000000000002</v>
      </c>
      <c r="AH160">
        <v>0.35599999999999998</v>
      </c>
      <c r="AI160">
        <v>0.36199999999999999</v>
      </c>
      <c r="AJ160">
        <v>3.4</v>
      </c>
      <c r="AK160">
        <v>10.7</v>
      </c>
      <c r="AL160">
        <v>6.9</v>
      </c>
      <c r="AM160">
        <v>26.2</v>
      </c>
      <c r="AN160">
        <v>1.3</v>
      </c>
      <c r="AO160">
        <v>0.7</v>
      </c>
      <c r="AP160">
        <v>17.2</v>
      </c>
      <c r="AQ160">
        <v>25.4</v>
      </c>
      <c r="AR160">
        <v>-0.9</v>
      </c>
      <c r="AS160">
        <v>0.8</v>
      </c>
      <c r="AT160">
        <v>0</v>
      </c>
      <c r="AU160">
        <v>-1E-3</v>
      </c>
      <c r="AV160">
        <v>-1.4</v>
      </c>
      <c r="AW160">
        <v>-1.9</v>
      </c>
      <c r="AX160">
        <v>-3.3</v>
      </c>
      <c r="AY160">
        <v>-0.7</v>
      </c>
      <c r="AZ160">
        <f t="shared" si="4"/>
        <v>-1.65</v>
      </c>
      <c r="BA160">
        <f t="shared" si="5"/>
        <v>-0.22751716720443452</v>
      </c>
    </row>
    <row r="161" spans="1:53" hidden="1" x14ac:dyDescent="0.25">
      <c r="A161" t="s">
        <v>244</v>
      </c>
      <c r="B161" s="2">
        <v>7100000</v>
      </c>
      <c r="C161" t="s">
        <v>28</v>
      </c>
      <c r="D161">
        <v>28</v>
      </c>
      <c r="E161" t="s">
        <v>76</v>
      </c>
      <c r="F161">
        <v>54</v>
      </c>
      <c r="G161">
        <v>4</v>
      </c>
      <c r="H161">
        <v>22.1</v>
      </c>
      <c r="I161">
        <v>3.3</v>
      </c>
      <c r="J161">
        <v>7</v>
      </c>
      <c r="K161">
        <v>0.46700000000000003</v>
      </c>
      <c r="L161">
        <v>1.4</v>
      </c>
      <c r="M161">
        <v>3.6</v>
      </c>
      <c r="N161">
        <v>0.38100000000000001</v>
      </c>
      <c r="O161">
        <v>1.9</v>
      </c>
      <c r="P161">
        <v>3.4</v>
      </c>
      <c r="Q161">
        <v>0.55700000000000005</v>
      </c>
      <c r="R161">
        <v>0.56499999999999995</v>
      </c>
      <c r="S161">
        <v>1.2</v>
      </c>
      <c r="T161">
        <v>1.4</v>
      </c>
      <c r="U161">
        <v>0.84399999999999997</v>
      </c>
      <c r="V161">
        <v>0.3</v>
      </c>
      <c r="W161">
        <v>2.2000000000000002</v>
      </c>
      <c r="X161">
        <v>2.4</v>
      </c>
      <c r="Y161">
        <v>1.6</v>
      </c>
      <c r="Z161">
        <v>0.5</v>
      </c>
      <c r="AA161">
        <v>0.3</v>
      </c>
      <c r="AB161">
        <v>1.3</v>
      </c>
      <c r="AC161">
        <v>2.2999999999999998</v>
      </c>
      <c r="AD161">
        <v>9.1</v>
      </c>
      <c r="AE161">
        <v>1192</v>
      </c>
      <c r="AF161">
        <v>10</v>
      </c>
      <c r="AG161">
        <v>0.59699999999999998</v>
      </c>
      <c r="AH161">
        <v>0.51200000000000001</v>
      </c>
      <c r="AI161">
        <v>0.20300000000000001</v>
      </c>
      <c r="AJ161">
        <v>1.4</v>
      </c>
      <c r="AK161">
        <v>10.8</v>
      </c>
      <c r="AL161">
        <v>6.2</v>
      </c>
      <c r="AM161">
        <v>9.6</v>
      </c>
      <c r="AN161">
        <v>1.1000000000000001</v>
      </c>
      <c r="AO161">
        <v>1.1000000000000001</v>
      </c>
      <c r="AP161">
        <v>14.3</v>
      </c>
      <c r="AQ161">
        <v>17.3</v>
      </c>
      <c r="AR161">
        <v>0.3</v>
      </c>
      <c r="AS161">
        <v>1</v>
      </c>
      <c r="AT161">
        <v>1.3</v>
      </c>
      <c r="AU161">
        <v>5.1999999999999998E-2</v>
      </c>
      <c r="AV161">
        <v>-2.6</v>
      </c>
      <c r="AW161">
        <v>-0.6</v>
      </c>
      <c r="AX161">
        <v>-3.3</v>
      </c>
      <c r="AY161">
        <v>-0.4</v>
      </c>
      <c r="AZ161">
        <f t="shared" si="4"/>
        <v>-0.99999999999999989</v>
      </c>
      <c r="BA161">
        <f t="shared" si="5"/>
        <v>-0.14084507042253519</v>
      </c>
    </row>
    <row r="162" spans="1:53" hidden="1" x14ac:dyDescent="0.25">
      <c r="A162" t="s">
        <v>245</v>
      </c>
      <c r="B162" s="2">
        <v>7065217</v>
      </c>
      <c r="C162" t="s">
        <v>65</v>
      </c>
      <c r="D162">
        <v>27</v>
      </c>
      <c r="E162" t="s">
        <v>213</v>
      </c>
      <c r="F162">
        <v>31</v>
      </c>
      <c r="G162">
        <v>7</v>
      </c>
      <c r="H162">
        <v>21.8</v>
      </c>
      <c r="I162">
        <v>3.5</v>
      </c>
      <c r="J162">
        <v>7.4</v>
      </c>
      <c r="K162">
        <v>0.48</v>
      </c>
      <c r="L162">
        <v>0.4</v>
      </c>
      <c r="M162">
        <v>1.5</v>
      </c>
      <c r="N162">
        <v>0.28299999999999997</v>
      </c>
      <c r="O162">
        <v>3.1</v>
      </c>
      <c r="P162">
        <v>5.9</v>
      </c>
      <c r="Q162">
        <v>0.53</v>
      </c>
      <c r="R162">
        <v>0.50900000000000001</v>
      </c>
      <c r="S162">
        <v>1.6</v>
      </c>
      <c r="T162">
        <v>2.2000000000000002</v>
      </c>
      <c r="U162">
        <v>0.72499999999999998</v>
      </c>
      <c r="V162">
        <v>1.3</v>
      </c>
      <c r="W162">
        <v>2.5</v>
      </c>
      <c r="X162">
        <v>3.8</v>
      </c>
      <c r="Y162">
        <v>2.7</v>
      </c>
      <c r="Z162">
        <v>0.7</v>
      </c>
      <c r="AA162">
        <v>0.2</v>
      </c>
      <c r="AB162">
        <v>1.5</v>
      </c>
      <c r="AC162">
        <v>3.4</v>
      </c>
      <c r="AD162">
        <v>9.1</v>
      </c>
      <c r="AE162">
        <v>677</v>
      </c>
      <c r="AF162">
        <v>12.2</v>
      </c>
      <c r="AG162">
        <v>0.54600000000000004</v>
      </c>
      <c r="AH162">
        <v>0.20100000000000001</v>
      </c>
      <c r="AI162">
        <v>0.30099999999999999</v>
      </c>
      <c r="AJ162">
        <v>6.6</v>
      </c>
      <c r="AK162">
        <v>12.6</v>
      </c>
      <c r="AL162">
        <v>9.6</v>
      </c>
      <c r="AM162">
        <v>18.2</v>
      </c>
      <c r="AN162">
        <v>1.5</v>
      </c>
      <c r="AO162">
        <v>1</v>
      </c>
      <c r="AP162">
        <v>15.3</v>
      </c>
      <c r="AQ162">
        <v>18.8</v>
      </c>
      <c r="AR162">
        <v>0.4</v>
      </c>
      <c r="AS162">
        <v>0.3</v>
      </c>
      <c r="AT162">
        <v>0.7</v>
      </c>
      <c r="AU162">
        <v>4.9000000000000002E-2</v>
      </c>
      <c r="AV162">
        <v>-2.8</v>
      </c>
      <c r="AW162">
        <v>-0.7</v>
      </c>
      <c r="AX162">
        <v>-3.5</v>
      </c>
      <c r="AY162">
        <v>-0.3</v>
      </c>
      <c r="AZ162">
        <f t="shared" si="4"/>
        <v>-1.4</v>
      </c>
      <c r="BA162">
        <f t="shared" si="5"/>
        <v>-0.19815385712852132</v>
      </c>
    </row>
    <row r="163" spans="1:53" x14ac:dyDescent="0.25">
      <c r="A163" t="s">
        <v>246</v>
      </c>
      <c r="B163" s="2">
        <v>7040880</v>
      </c>
      <c r="C163" t="s">
        <v>65</v>
      </c>
      <c r="D163">
        <v>22</v>
      </c>
      <c r="E163" t="s">
        <v>107</v>
      </c>
      <c r="F163">
        <v>76</v>
      </c>
      <c r="G163">
        <v>46</v>
      </c>
      <c r="H163">
        <v>21.7</v>
      </c>
      <c r="I163">
        <v>2.2999999999999998</v>
      </c>
      <c r="J163">
        <v>4.7</v>
      </c>
      <c r="K163">
        <v>0.49399999999999999</v>
      </c>
      <c r="L163">
        <v>0.8</v>
      </c>
      <c r="M163">
        <v>2.2999999999999998</v>
      </c>
      <c r="N163">
        <v>0.36299999999999999</v>
      </c>
      <c r="O163">
        <v>1.5</v>
      </c>
      <c r="P163">
        <v>2.4</v>
      </c>
      <c r="Q163">
        <v>0.61699999999999999</v>
      </c>
      <c r="R163">
        <v>0.58199999999999996</v>
      </c>
      <c r="S163">
        <v>1</v>
      </c>
      <c r="T163">
        <v>1.4</v>
      </c>
      <c r="U163">
        <v>0.75700000000000001</v>
      </c>
      <c r="V163">
        <v>0.7</v>
      </c>
      <c r="W163">
        <v>1.8</v>
      </c>
      <c r="X163">
        <v>2.5</v>
      </c>
      <c r="Y163">
        <v>1.1000000000000001</v>
      </c>
      <c r="Z163">
        <v>0.7</v>
      </c>
      <c r="AA163">
        <v>0.4</v>
      </c>
      <c r="AB163">
        <v>0.6</v>
      </c>
      <c r="AC163">
        <v>2.1</v>
      </c>
      <c r="AD163">
        <v>6.4</v>
      </c>
      <c r="AE163">
        <v>1652</v>
      </c>
      <c r="AF163">
        <v>10.7</v>
      </c>
      <c r="AG163">
        <v>0.61399999999999999</v>
      </c>
      <c r="AH163">
        <v>0.48299999999999998</v>
      </c>
      <c r="AI163">
        <v>0.29099999999999998</v>
      </c>
      <c r="AJ163">
        <v>3.7</v>
      </c>
      <c r="AK163">
        <v>9.6</v>
      </c>
      <c r="AL163">
        <v>6.7</v>
      </c>
      <c r="AM163">
        <v>7</v>
      </c>
      <c r="AN163">
        <v>1.7</v>
      </c>
      <c r="AO163">
        <v>1.7</v>
      </c>
      <c r="AP163">
        <v>9.5</v>
      </c>
      <c r="AQ163">
        <v>11.9</v>
      </c>
      <c r="AR163">
        <v>1.9</v>
      </c>
      <c r="AS163">
        <v>2.2999999999999998</v>
      </c>
      <c r="AT163">
        <v>4.2</v>
      </c>
      <c r="AU163">
        <v>0.122</v>
      </c>
      <c r="AV163">
        <v>-1.9</v>
      </c>
      <c r="AW163">
        <v>1.6</v>
      </c>
      <c r="AX163">
        <v>-0.3</v>
      </c>
      <c r="AY163">
        <v>0.7</v>
      </c>
      <c r="AZ163" s="8">
        <f t="shared" si="4"/>
        <v>1.9500000000000002</v>
      </c>
      <c r="BA163" s="8">
        <f t="shared" si="5"/>
        <v>0.27695401711149747</v>
      </c>
    </row>
    <row r="164" spans="1:53" hidden="1" x14ac:dyDescent="0.25">
      <c r="A164" t="s">
        <v>247</v>
      </c>
      <c r="B164" s="2">
        <v>7000000</v>
      </c>
      <c r="C164" t="s">
        <v>65</v>
      </c>
      <c r="D164">
        <v>27</v>
      </c>
      <c r="E164" t="s">
        <v>118</v>
      </c>
      <c r="F164">
        <v>7</v>
      </c>
      <c r="G164">
        <v>0</v>
      </c>
      <c r="H164">
        <v>19.100000000000001</v>
      </c>
      <c r="I164">
        <v>2</v>
      </c>
      <c r="J164">
        <v>5.0999999999999996</v>
      </c>
      <c r="K164">
        <v>0.38900000000000001</v>
      </c>
      <c r="L164">
        <v>0.4</v>
      </c>
      <c r="M164">
        <v>2</v>
      </c>
      <c r="N164">
        <v>0.214</v>
      </c>
      <c r="O164">
        <v>1.6</v>
      </c>
      <c r="P164">
        <v>3.1</v>
      </c>
      <c r="Q164">
        <v>0.5</v>
      </c>
      <c r="R164">
        <v>0.43099999999999999</v>
      </c>
      <c r="S164">
        <v>0.6</v>
      </c>
      <c r="T164">
        <v>1</v>
      </c>
      <c r="U164">
        <v>0.57099999999999995</v>
      </c>
      <c r="V164">
        <v>1.1000000000000001</v>
      </c>
      <c r="W164">
        <v>2.2999999999999998</v>
      </c>
      <c r="X164">
        <v>3.4</v>
      </c>
      <c r="Y164">
        <v>1.6</v>
      </c>
      <c r="Z164">
        <v>0.6</v>
      </c>
      <c r="AA164">
        <v>0.1</v>
      </c>
      <c r="AB164">
        <v>0.3</v>
      </c>
      <c r="AC164">
        <v>1.9</v>
      </c>
      <c r="AD164">
        <v>5</v>
      </c>
      <c r="AE164">
        <v>134</v>
      </c>
      <c r="AF164">
        <v>8.6999999999999993</v>
      </c>
      <c r="AG164">
        <v>0.44800000000000001</v>
      </c>
      <c r="AH164">
        <v>0.38900000000000001</v>
      </c>
      <c r="AI164">
        <v>0.19400000000000001</v>
      </c>
      <c r="AJ164">
        <v>6.2</v>
      </c>
      <c r="AK164">
        <v>13</v>
      </c>
      <c r="AL164">
        <v>9.5</v>
      </c>
      <c r="AM164">
        <v>11</v>
      </c>
      <c r="AN164">
        <v>1.4</v>
      </c>
      <c r="AO164">
        <v>0.6</v>
      </c>
      <c r="AP164">
        <v>4.9000000000000004</v>
      </c>
      <c r="AQ164">
        <v>12.9</v>
      </c>
      <c r="AR164">
        <v>0</v>
      </c>
      <c r="AS164">
        <v>0.1</v>
      </c>
      <c r="AT164">
        <v>0.1</v>
      </c>
      <c r="AU164">
        <v>4.4999999999999998E-2</v>
      </c>
      <c r="AV164">
        <v>-3.8</v>
      </c>
      <c r="AW164">
        <v>-0.8</v>
      </c>
      <c r="AX164">
        <v>-4.5999999999999996</v>
      </c>
      <c r="AY164">
        <v>-0.1</v>
      </c>
      <c r="AZ164">
        <f t="shared" si="4"/>
        <v>-2.25</v>
      </c>
      <c r="BA164">
        <f t="shared" si="5"/>
        <v>-0.32142857142857145</v>
      </c>
    </row>
    <row r="165" spans="1:53" x14ac:dyDescent="0.25">
      <c r="A165" t="s">
        <v>248</v>
      </c>
      <c r="B165" s="2">
        <v>6922320</v>
      </c>
      <c r="C165" t="s">
        <v>62</v>
      </c>
      <c r="D165">
        <v>21</v>
      </c>
      <c r="E165" t="s">
        <v>152</v>
      </c>
      <c r="F165">
        <v>53</v>
      </c>
      <c r="G165">
        <v>19</v>
      </c>
      <c r="H165">
        <v>23.5</v>
      </c>
      <c r="I165">
        <v>3.5</v>
      </c>
      <c r="J165">
        <v>8.4</v>
      </c>
      <c r="K165">
        <v>0.41899999999999998</v>
      </c>
      <c r="L165">
        <v>1.2</v>
      </c>
      <c r="M165">
        <v>3.8</v>
      </c>
      <c r="N165">
        <v>0.32700000000000001</v>
      </c>
      <c r="O165">
        <v>2.2999999999999998</v>
      </c>
      <c r="P165">
        <v>4.5999999999999996</v>
      </c>
      <c r="Q165">
        <v>0.496</v>
      </c>
      <c r="R165">
        <v>0.49299999999999999</v>
      </c>
      <c r="S165">
        <v>1.6</v>
      </c>
      <c r="T165">
        <v>2.2000000000000002</v>
      </c>
      <c r="U165">
        <v>0.72299999999999998</v>
      </c>
      <c r="V165">
        <v>1</v>
      </c>
      <c r="W165">
        <v>2</v>
      </c>
      <c r="X165">
        <v>3</v>
      </c>
      <c r="Y165">
        <v>2.9</v>
      </c>
      <c r="Z165">
        <v>1.3</v>
      </c>
      <c r="AA165">
        <v>0.5</v>
      </c>
      <c r="AB165">
        <v>1.8</v>
      </c>
      <c r="AC165">
        <v>2.2999999999999998</v>
      </c>
      <c r="AD165">
        <v>9.9</v>
      </c>
      <c r="AE165">
        <v>1246</v>
      </c>
      <c r="AF165">
        <v>12.5</v>
      </c>
      <c r="AG165">
        <v>0.52800000000000002</v>
      </c>
      <c r="AH165">
        <v>0.45500000000000002</v>
      </c>
      <c r="AI165">
        <v>0.26800000000000002</v>
      </c>
      <c r="AJ165">
        <v>5</v>
      </c>
      <c r="AK165">
        <v>9.6</v>
      </c>
      <c r="AL165">
        <v>7.3</v>
      </c>
      <c r="AM165">
        <v>18</v>
      </c>
      <c r="AN165">
        <v>2.6</v>
      </c>
      <c r="AO165">
        <v>2.1</v>
      </c>
      <c r="AP165">
        <v>15.9</v>
      </c>
      <c r="AQ165">
        <v>20.3</v>
      </c>
      <c r="AR165">
        <v>-0.2</v>
      </c>
      <c r="AS165">
        <v>1.5</v>
      </c>
      <c r="AT165">
        <v>1.4</v>
      </c>
      <c r="AU165">
        <v>5.2999999999999999E-2</v>
      </c>
      <c r="AV165">
        <v>-1.8</v>
      </c>
      <c r="AW165">
        <v>0.8</v>
      </c>
      <c r="AX165">
        <v>-1</v>
      </c>
      <c r="AY165">
        <v>0.3</v>
      </c>
      <c r="AZ165" s="8">
        <f t="shared" si="4"/>
        <v>0.19999999999999996</v>
      </c>
      <c r="BA165" s="8">
        <f t="shared" si="5"/>
        <v>2.8892047752776519E-2</v>
      </c>
    </row>
    <row r="166" spans="1:53" hidden="1" x14ac:dyDescent="0.25">
      <c r="A166" t="s">
        <v>249</v>
      </c>
      <c r="B166" s="2">
        <v>6803012</v>
      </c>
      <c r="C166" t="s">
        <v>75</v>
      </c>
      <c r="D166">
        <v>22</v>
      </c>
      <c r="E166" t="s">
        <v>100</v>
      </c>
      <c r="F166">
        <v>47</v>
      </c>
      <c r="G166">
        <v>2</v>
      </c>
      <c r="H166">
        <v>13</v>
      </c>
      <c r="I166">
        <v>1.8</v>
      </c>
      <c r="J166">
        <v>3.3</v>
      </c>
      <c r="K166">
        <v>0.55100000000000005</v>
      </c>
      <c r="L166">
        <v>0.1</v>
      </c>
      <c r="M166">
        <v>0.6</v>
      </c>
      <c r="N166">
        <v>0.10299999999999999</v>
      </c>
      <c r="O166">
        <v>1.8</v>
      </c>
      <c r="P166">
        <v>2.7</v>
      </c>
      <c r="Q166">
        <v>0.65400000000000003</v>
      </c>
      <c r="R166">
        <v>0.56100000000000005</v>
      </c>
      <c r="S166">
        <v>1.2</v>
      </c>
      <c r="T166">
        <v>1.8</v>
      </c>
      <c r="U166">
        <v>0.69899999999999995</v>
      </c>
      <c r="V166">
        <v>0.8</v>
      </c>
      <c r="W166">
        <v>2</v>
      </c>
      <c r="X166">
        <v>2.8</v>
      </c>
      <c r="Y166">
        <v>0.7</v>
      </c>
      <c r="Z166">
        <v>0.4</v>
      </c>
      <c r="AA166">
        <v>0.4</v>
      </c>
      <c r="AB166">
        <v>0.7</v>
      </c>
      <c r="AC166">
        <v>1.4</v>
      </c>
      <c r="AD166">
        <v>5</v>
      </c>
      <c r="AE166">
        <v>610</v>
      </c>
      <c r="AF166">
        <v>13.7</v>
      </c>
      <c r="AG166">
        <v>0.60499999999999998</v>
      </c>
      <c r="AH166">
        <v>0.186</v>
      </c>
      <c r="AI166">
        <v>0.53200000000000003</v>
      </c>
      <c r="AJ166">
        <v>7.3</v>
      </c>
      <c r="AK166">
        <v>17.3</v>
      </c>
      <c r="AL166">
        <v>12.3</v>
      </c>
      <c r="AM166">
        <v>7.7</v>
      </c>
      <c r="AN166">
        <v>1.6</v>
      </c>
      <c r="AO166">
        <v>3</v>
      </c>
      <c r="AP166">
        <v>13.9</v>
      </c>
      <c r="AQ166">
        <v>15.7</v>
      </c>
      <c r="AR166">
        <v>0.6</v>
      </c>
      <c r="AS166">
        <v>0.9</v>
      </c>
      <c r="AT166">
        <v>1.5</v>
      </c>
      <c r="AU166">
        <v>0.11799999999999999</v>
      </c>
      <c r="AV166">
        <v>-2.2000000000000002</v>
      </c>
      <c r="AW166">
        <v>1</v>
      </c>
      <c r="AX166">
        <v>-1.2</v>
      </c>
      <c r="AY166">
        <v>0.1</v>
      </c>
      <c r="AZ166">
        <f t="shared" si="4"/>
        <v>0.15000000000000002</v>
      </c>
      <c r="BA166">
        <f t="shared" si="5"/>
        <v>2.2049057094122432E-2</v>
      </c>
    </row>
    <row r="167" spans="1:53" hidden="1" x14ac:dyDescent="0.25">
      <c r="A167" t="s">
        <v>250</v>
      </c>
      <c r="B167" s="2">
        <v>6667500</v>
      </c>
      <c r="C167" t="s">
        <v>75</v>
      </c>
      <c r="D167">
        <v>30</v>
      </c>
      <c r="E167" t="s">
        <v>91</v>
      </c>
      <c r="F167">
        <v>20</v>
      </c>
      <c r="G167">
        <v>0</v>
      </c>
      <c r="H167">
        <v>8.1</v>
      </c>
      <c r="I167">
        <v>1</v>
      </c>
      <c r="J167">
        <v>1.6</v>
      </c>
      <c r="K167">
        <v>0.59399999999999997</v>
      </c>
      <c r="L167">
        <v>0.1</v>
      </c>
      <c r="M167">
        <v>0.1</v>
      </c>
      <c r="N167">
        <v>0.5</v>
      </c>
      <c r="O167">
        <v>0.9</v>
      </c>
      <c r="P167">
        <v>1.5</v>
      </c>
      <c r="Q167">
        <v>0.6</v>
      </c>
      <c r="R167">
        <v>0.60899999999999999</v>
      </c>
      <c r="S167">
        <v>0.2</v>
      </c>
      <c r="T167">
        <v>0.3</v>
      </c>
      <c r="U167">
        <v>0.8</v>
      </c>
      <c r="V167">
        <v>0.4</v>
      </c>
      <c r="W167">
        <v>0.9</v>
      </c>
      <c r="X167">
        <v>1.3</v>
      </c>
      <c r="Y167">
        <v>0.4</v>
      </c>
      <c r="Z167">
        <v>0.3</v>
      </c>
      <c r="AA167">
        <v>0.3</v>
      </c>
      <c r="AB167">
        <v>0.4</v>
      </c>
      <c r="AC167">
        <v>1.2</v>
      </c>
      <c r="AD167">
        <v>2.2000000000000002</v>
      </c>
      <c r="AE167">
        <v>162</v>
      </c>
      <c r="AF167">
        <v>9.4</v>
      </c>
      <c r="AG167">
        <v>0.629</v>
      </c>
      <c r="AH167">
        <v>6.3E-2</v>
      </c>
      <c r="AI167">
        <v>0.156</v>
      </c>
      <c r="AJ167">
        <v>5.2</v>
      </c>
      <c r="AK167">
        <v>12.8</v>
      </c>
      <c r="AL167">
        <v>8.6999999999999993</v>
      </c>
      <c r="AM167">
        <v>5.8</v>
      </c>
      <c r="AN167">
        <v>1.5</v>
      </c>
      <c r="AO167">
        <v>3</v>
      </c>
      <c r="AP167">
        <v>19</v>
      </c>
      <c r="AQ167">
        <v>11.1</v>
      </c>
      <c r="AR167">
        <v>0.1</v>
      </c>
      <c r="AS167">
        <v>0.2</v>
      </c>
      <c r="AT167">
        <v>0.2</v>
      </c>
      <c r="AU167">
        <v>7.1999999999999995E-2</v>
      </c>
      <c r="AV167">
        <v>-4.5999999999999996</v>
      </c>
      <c r="AW167">
        <v>1.1000000000000001</v>
      </c>
      <c r="AX167">
        <v>-3.5</v>
      </c>
      <c r="AY167">
        <v>-0.1</v>
      </c>
      <c r="AZ167">
        <f t="shared" si="4"/>
        <v>-1.65</v>
      </c>
      <c r="BA167">
        <f t="shared" si="5"/>
        <v>-0.24746906636670415</v>
      </c>
    </row>
    <row r="168" spans="1:53" hidden="1" x14ac:dyDescent="0.25">
      <c r="A168" t="s">
        <v>251</v>
      </c>
      <c r="B168" s="2">
        <v>6586800</v>
      </c>
      <c r="C168" t="s">
        <v>62</v>
      </c>
      <c r="D168">
        <v>20</v>
      </c>
      <c r="E168" t="s">
        <v>93</v>
      </c>
      <c r="F168">
        <v>78</v>
      </c>
      <c r="G168">
        <v>17</v>
      </c>
      <c r="H168">
        <v>28.5</v>
      </c>
      <c r="I168">
        <v>5.3</v>
      </c>
      <c r="J168">
        <v>12.2</v>
      </c>
      <c r="K168">
        <v>0.434</v>
      </c>
      <c r="L168">
        <v>1.3</v>
      </c>
      <c r="M168">
        <v>4</v>
      </c>
      <c r="N168">
        <v>0.32300000000000001</v>
      </c>
      <c r="O168">
        <v>4</v>
      </c>
      <c r="P168">
        <v>8.1999999999999993</v>
      </c>
      <c r="Q168">
        <v>0.48799999999999999</v>
      </c>
      <c r="R168">
        <v>0.48699999999999999</v>
      </c>
      <c r="S168">
        <v>4.8</v>
      </c>
      <c r="T168">
        <v>5.8</v>
      </c>
      <c r="U168">
        <v>0.82799999999999996</v>
      </c>
      <c r="V168">
        <v>1.1000000000000001</v>
      </c>
      <c r="W168">
        <v>3</v>
      </c>
      <c r="X168">
        <v>4.0999999999999996</v>
      </c>
      <c r="Y168">
        <v>1.5</v>
      </c>
      <c r="Z168">
        <v>0.6</v>
      </c>
      <c r="AA168">
        <v>0.2</v>
      </c>
      <c r="AB168">
        <v>1.9</v>
      </c>
      <c r="AC168">
        <v>2.1</v>
      </c>
      <c r="AD168">
        <v>16.7</v>
      </c>
      <c r="AE168">
        <v>2222</v>
      </c>
      <c r="AF168">
        <v>13.1</v>
      </c>
      <c r="AG168">
        <v>0.56599999999999995</v>
      </c>
      <c r="AH168">
        <v>0.32600000000000001</v>
      </c>
      <c r="AI168">
        <v>0.47699999999999998</v>
      </c>
      <c r="AJ168">
        <v>4.4000000000000004</v>
      </c>
      <c r="AK168">
        <v>11.5</v>
      </c>
      <c r="AL168">
        <v>7.9</v>
      </c>
      <c r="AM168">
        <v>7.6</v>
      </c>
      <c r="AN168">
        <v>1</v>
      </c>
      <c r="AO168">
        <v>0.5</v>
      </c>
      <c r="AP168">
        <v>11.7</v>
      </c>
      <c r="AQ168">
        <v>24.6</v>
      </c>
      <c r="AR168">
        <v>1</v>
      </c>
      <c r="AS168">
        <v>0.8</v>
      </c>
      <c r="AT168">
        <v>1.8</v>
      </c>
      <c r="AU168">
        <v>3.7999999999999999E-2</v>
      </c>
      <c r="AV168">
        <v>-1.2</v>
      </c>
      <c r="AW168">
        <v>-2.5</v>
      </c>
      <c r="AX168">
        <v>-3.7</v>
      </c>
      <c r="AY168">
        <v>-1</v>
      </c>
      <c r="AZ168">
        <f t="shared" si="4"/>
        <v>-0.95000000000000007</v>
      </c>
      <c r="BA168">
        <f t="shared" si="5"/>
        <v>-0.1442278496386713</v>
      </c>
    </row>
    <row r="169" spans="1:53" x14ac:dyDescent="0.25">
      <c r="A169" t="s">
        <v>252</v>
      </c>
      <c r="B169" s="2">
        <v>6479000</v>
      </c>
      <c r="C169" t="s">
        <v>65</v>
      </c>
      <c r="D169">
        <v>26</v>
      </c>
      <c r="E169" t="s">
        <v>103</v>
      </c>
      <c r="F169">
        <v>80</v>
      </c>
      <c r="G169">
        <v>31</v>
      </c>
      <c r="H169">
        <v>28.5</v>
      </c>
      <c r="I169">
        <v>4.5</v>
      </c>
      <c r="J169">
        <v>9.3000000000000007</v>
      </c>
      <c r="K169">
        <v>0.48299999999999998</v>
      </c>
      <c r="L169">
        <v>1.1000000000000001</v>
      </c>
      <c r="M169">
        <v>3.2</v>
      </c>
      <c r="N169">
        <v>0.35799999999999998</v>
      </c>
      <c r="O169">
        <v>3.3</v>
      </c>
      <c r="P169">
        <v>6.1</v>
      </c>
      <c r="Q169">
        <v>0.54800000000000004</v>
      </c>
      <c r="R169">
        <v>0.54500000000000004</v>
      </c>
      <c r="S169">
        <v>1.5</v>
      </c>
      <c r="T169">
        <v>1.9</v>
      </c>
      <c r="U169">
        <v>0.75800000000000001</v>
      </c>
      <c r="V169">
        <v>0.8</v>
      </c>
      <c r="W169">
        <v>3.3</v>
      </c>
      <c r="X169">
        <v>4.0999999999999996</v>
      </c>
      <c r="Y169">
        <v>3.4</v>
      </c>
      <c r="Z169">
        <v>1.1000000000000001</v>
      </c>
      <c r="AA169">
        <v>0.6</v>
      </c>
      <c r="AB169">
        <v>1.5</v>
      </c>
      <c r="AC169">
        <v>2.4</v>
      </c>
      <c r="AD169">
        <v>11.5</v>
      </c>
      <c r="AE169">
        <v>2280</v>
      </c>
      <c r="AF169">
        <v>13.3</v>
      </c>
      <c r="AG169">
        <v>0.57099999999999995</v>
      </c>
      <c r="AH169">
        <v>0.34300000000000003</v>
      </c>
      <c r="AI169">
        <v>0.20599999999999999</v>
      </c>
      <c r="AJ169">
        <v>3.3</v>
      </c>
      <c r="AK169">
        <v>13</v>
      </c>
      <c r="AL169">
        <v>8.3000000000000007</v>
      </c>
      <c r="AM169">
        <v>15.7</v>
      </c>
      <c r="AN169">
        <v>1.9</v>
      </c>
      <c r="AO169">
        <v>2</v>
      </c>
      <c r="AP169">
        <v>13.2</v>
      </c>
      <c r="AQ169">
        <v>17.8</v>
      </c>
      <c r="AR169">
        <v>1.7</v>
      </c>
      <c r="AS169">
        <v>2.6</v>
      </c>
      <c r="AT169">
        <v>4.3</v>
      </c>
      <c r="AU169">
        <v>0.09</v>
      </c>
      <c r="AV169">
        <v>-1.1000000000000001</v>
      </c>
      <c r="AW169">
        <v>0.6</v>
      </c>
      <c r="AX169">
        <v>-0.5</v>
      </c>
      <c r="AY169">
        <v>0.9</v>
      </c>
      <c r="AZ169" s="8">
        <f t="shared" si="4"/>
        <v>1.9</v>
      </c>
      <c r="BA169" s="8">
        <f t="shared" si="5"/>
        <v>0.2932551319648094</v>
      </c>
    </row>
    <row r="170" spans="1:53" x14ac:dyDescent="0.25">
      <c r="A170" t="s">
        <v>253</v>
      </c>
      <c r="B170" s="2">
        <v>6479000</v>
      </c>
      <c r="C170" t="s">
        <v>65</v>
      </c>
      <c r="D170">
        <v>27</v>
      </c>
      <c r="E170" t="s">
        <v>80</v>
      </c>
      <c r="F170">
        <v>71</v>
      </c>
      <c r="G170">
        <v>49</v>
      </c>
      <c r="H170">
        <v>29.3</v>
      </c>
      <c r="I170">
        <v>3.6</v>
      </c>
      <c r="J170">
        <v>7.7</v>
      </c>
      <c r="K170">
        <v>0.46400000000000002</v>
      </c>
      <c r="L170">
        <v>1.2</v>
      </c>
      <c r="M170">
        <v>3.3</v>
      </c>
      <c r="N170">
        <v>0.35599999999999998</v>
      </c>
      <c r="O170">
        <v>2.4</v>
      </c>
      <c r="P170">
        <v>4.4000000000000004</v>
      </c>
      <c r="Q170">
        <v>0.54500000000000004</v>
      </c>
      <c r="R170">
        <v>0.54</v>
      </c>
      <c r="S170">
        <v>1.3</v>
      </c>
      <c r="T170">
        <v>1.6</v>
      </c>
      <c r="U170">
        <v>0.80500000000000005</v>
      </c>
      <c r="V170">
        <v>1.2</v>
      </c>
      <c r="W170">
        <v>3.6</v>
      </c>
      <c r="X170">
        <v>4.8</v>
      </c>
      <c r="Y170">
        <v>1.6</v>
      </c>
      <c r="Z170">
        <v>1</v>
      </c>
      <c r="AA170">
        <v>0.4</v>
      </c>
      <c r="AB170">
        <v>1.1000000000000001</v>
      </c>
      <c r="AC170">
        <v>2</v>
      </c>
      <c r="AD170">
        <v>9.6</v>
      </c>
      <c r="AE170">
        <v>2077</v>
      </c>
      <c r="AF170">
        <v>11.4</v>
      </c>
      <c r="AG170">
        <v>0.57099999999999995</v>
      </c>
      <c r="AH170">
        <v>0.43099999999999999</v>
      </c>
      <c r="AI170">
        <v>0.20599999999999999</v>
      </c>
      <c r="AJ170">
        <v>4.8</v>
      </c>
      <c r="AK170">
        <v>15</v>
      </c>
      <c r="AL170">
        <v>9.6999999999999993</v>
      </c>
      <c r="AM170">
        <v>8.1999999999999993</v>
      </c>
      <c r="AN170">
        <v>1.7</v>
      </c>
      <c r="AO170">
        <v>1.5</v>
      </c>
      <c r="AP170">
        <v>11.5</v>
      </c>
      <c r="AQ170">
        <v>14.4</v>
      </c>
      <c r="AR170">
        <v>1.2</v>
      </c>
      <c r="AS170">
        <v>2.5</v>
      </c>
      <c r="AT170">
        <v>3.7</v>
      </c>
      <c r="AU170">
        <v>8.5999999999999993E-2</v>
      </c>
      <c r="AV170">
        <v>-1.8</v>
      </c>
      <c r="AW170">
        <v>0.5</v>
      </c>
      <c r="AX170">
        <v>-1.2</v>
      </c>
      <c r="AY170">
        <v>0.4</v>
      </c>
      <c r="AZ170" s="8">
        <f t="shared" si="4"/>
        <v>1.25</v>
      </c>
      <c r="BA170" s="8">
        <f t="shared" si="5"/>
        <v>0.19293100787158513</v>
      </c>
    </row>
    <row r="171" spans="1:53" x14ac:dyDescent="0.25">
      <c r="A171" t="s">
        <v>254</v>
      </c>
      <c r="B171" s="2">
        <v>6479000</v>
      </c>
      <c r="C171" t="s">
        <v>65</v>
      </c>
      <c r="D171">
        <v>35</v>
      </c>
      <c r="E171" t="s">
        <v>68</v>
      </c>
      <c r="F171">
        <v>46</v>
      </c>
      <c r="G171">
        <v>0</v>
      </c>
      <c r="H171">
        <v>22.7</v>
      </c>
      <c r="I171">
        <v>2.2999999999999998</v>
      </c>
      <c r="J171">
        <v>5.4</v>
      </c>
      <c r="K171">
        <v>0.435</v>
      </c>
      <c r="L171">
        <v>1.8</v>
      </c>
      <c r="M171">
        <v>4.4000000000000004</v>
      </c>
      <c r="N171">
        <v>0.40899999999999997</v>
      </c>
      <c r="O171">
        <v>0.5</v>
      </c>
      <c r="P171">
        <v>1</v>
      </c>
      <c r="Q171">
        <v>0.55600000000000005</v>
      </c>
      <c r="R171">
        <v>0.60299999999999998</v>
      </c>
      <c r="S171">
        <v>0.4</v>
      </c>
      <c r="T171">
        <v>0.5</v>
      </c>
      <c r="U171">
        <v>0.85699999999999998</v>
      </c>
      <c r="V171">
        <v>0.3</v>
      </c>
      <c r="W171">
        <v>2.5</v>
      </c>
      <c r="X171">
        <v>2.8</v>
      </c>
      <c r="Y171">
        <v>3.3</v>
      </c>
      <c r="Z171">
        <v>0.7</v>
      </c>
      <c r="AA171">
        <v>0.1</v>
      </c>
      <c r="AB171">
        <v>1.2</v>
      </c>
      <c r="AC171">
        <v>1.6</v>
      </c>
      <c r="AD171">
        <v>6.9</v>
      </c>
      <c r="AE171">
        <v>1044</v>
      </c>
      <c r="AF171">
        <v>10.7</v>
      </c>
      <c r="AG171">
        <v>0.61599999999999999</v>
      </c>
      <c r="AH171">
        <v>0.81899999999999995</v>
      </c>
      <c r="AI171">
        <v>8.5000000000000006E-2</v>
      </c>
      <c r="AJ171">
        <v>1.4</v>
      </c>
      <c r="AK171">
        <v>11.1</v>
      </c>
      <c r="AL171">
        <v>6.4</v>
      </c>
      <c r="AM171">
        <v>18.399999999999999</v>
      </c>
      <c r="AN171">
        <v>1.5</v>
      </c>
      <c r="AO171">
        <v>0.5</v>
      </c>
      <c r="AP171">
        <v>17.600000000000001</v>
      </c>
      <c r="AQ171">
        <v>12.6</v>
      </c>
      <c r="AR171">
        <v>1.1000000000000001</v>
      </c>
      <c r="AS171">
        <v>1.2</v>
      </c>
      <c r="AT171">
        <v>2.2999999999999998</v>
      </c>
      <c r="AU171">
        <v>0.107</v>
      </c>
      <c r="AV171">
        <v>-1.6</v>
      </c>
      <c r="AW171">
        <v>0.8</v>
      </c>
      <c r="AX171">
        <v>-0.7</v>
      </c>
      <c r="AY171">
        <v>0.3</v>
      </c>
      <c r="AZ171" s="8">
        <f t="shared" si="4"/>
        <v>0.79999999999999993</v>
      </c>
      <c r="BA171" s="8">
        <f t="shared" si="5"/>
        <v>0.12347584503781446</v>
      </c>
    </row>
    <row r="172" spans="1:53" x14ac:dyDescent="0.25">
      <c r="A172" t="s">
        <v>255</v>
      </c>
      <c r="B172" s="2">
        <v>6395160</v>
      </c>
      <c r="C172" t="s">
        <v>75</v>
      </c>
      <c r="D172">
        <v>22</v>
      </c>
      <c r="E172" t="s">
        <v>85</v>
      </c>
      <c r="F172">
        <v>80</v>
      </c>
      <c r="G172">
        <v>18</v>
      </c>
      <c r="H172">
        <v>23.1</v>
      </c>
      <c r="I172">
        <v>4</v>
      </c>
      <c r="J172">
        <v>6.2</v>
      </c>
      <c r="K172">
        <v>0.63800000000000001</v>
      </c>
      <c r="L172">
        <v>0.1</v>
      </c>
      <c r="M172">
        <v>0.2</v>
      </c>
      <c r="N172">
        <v>0.308</v>
      </c>
      <c r="O172">
        <v>3.9</v>
      </c>
      <c r="P172">
        <v>6.1</v>
      </c>
      <c r="Q172">
        <v>0.64700000000000002</v>
      </c>
      <c r="R172">
        <v>0.64200000000000002</v>
      </c>
      <c r="S172">
        <v>1.9</v>
      </c>
      <c r="T172">
        <v>2.5</v>
      </c>
      <c r="U172">
        <v>0.78100000000000003</v>
      </c>
      <c r="V172">
        <v>2.7</v>
      </c>
      <c r="W172">
        <v>4.5</v>
      </c>
      <c r="X172">
        <v>7.2</v>
      </c>
      <c r="Y172">
        <v>1</v>
      </c>
      <c r="Z172">
        <v>0.7</v>
      </c>
      <c r="AA172">
        <v>1.3</v>
      </c>
      <c r="AB172">
        <v>1</v>
      </c>
      <c r="AC172">
        <v>3.1</v>
      </c>
      <c r="AD172">
        <v>9.9</v>
      </c>
      <c r="AE172">
        <v>1849</v>
      </c>
      <c r="AF172">
        <v>19.399999999999999</v>
      </c>
      <c r="AG172">
        <v>0.67800000000000005</v>
      </c>
      <c r="AH172">
        <v>2.5999999999999999E-2</v>
      </c>
      <c r="AI172">
        <v>0.39400000000000002</v>
      </c>
      <c r="AJ172">
        <v>12.7</v>
      </c>
      <c r="AK172">
        <v>21.5</v>
      </c>
      <c r="AL172">
        <v>17</v>
      </c>
      <c r="AM172">
        <v>5.8</v>
      </c>
      <c r="AN172">
        <v>1.4</v>
      </c>
      <c r="AO172">
        <v>4.9000000000000004</v>
      </c>
      <c r="AP172">
        <v>12.2</v>
      </c>
      <c r="AQ172">
        <v>15.1</v>
      </c>
      <c r="AR172">
        <v>4.7</v>
      </c>
      <c r="AS172">
        <v>2.4</v>
      </c>
      <c r="AT172">
        <v>7.1</v>
      </c>
      <c r="AU172">
        <v>0.185</v>
      </c>
      <c r="AV172">
        <v>0</v>
      </c>
      <c r="AW172">
        <v>0.8</v>
      </c>
      <c r="AX172">
        <v>0.8</v>
      </c>
      <c r="AY172">
        <v>1.3</v>
      </c>
      <c r="AZ172" s="8">
        <f t="shared" si="4"/>
        <v>3.9499999999999997</v>
      </c>
      <c r="BA172" s="8">
        <f t="shared" si="5"/>
        <v>0.61765460129222716</v>
      </c>
    </row>
    <row r="173" spans="1:53" x14ac:dyDescent="0.25">
      <c r="A173" t="s">
        <v>256</v>
      </c>
      <c r="B173" s="2">
        <v>6287400</v>
      </c>
      <c r="C173" t="s">
        <v>28</v>
      </c>
      <c r="D173">
        <v>20</v>
      </c>
      <c r="E173" t="s">
        <v>109</v>
      </c>
      <c r="F173">
        <v>76</v>
      </c>
      <c r="G173">
        <v>76</v>
      </c>
      <c r="H173">
        <v>31.1</v>
      </c>
      <c r="I173">
        <v>7.1</v>
      </c>
      <c r="J173">
        <v>14.7</v>
      </c>
      <c r="K173">
        <v>0.48199999999999998</v>
      </c>
      <c r="L173">
        <v>1</v>
      </c>
      <c r="M173">
        <v>3.1</v>
      </c>
      <c r="N173">
        <v>0.32500000000000001</v>
      </c>
      <c r="O173">
        <v>6.1</v>
      </c>
      <c r="P173">
        <v>11.6</v>
      </c>
      <c r="Q173">
        <v>0.52400000000000002</v>
      </c>
      <c r="R173">
        <v>0.51600000000000001</v>
      </c>
      <c r="S173">
        <v>1.4</v>
      </c>
      <c r="T173">
        <v>1.9</v>
      </c>
      <c r="U173">
        <v>0.73099999999999998</v>
      </c>
      <c r="V173">
        <v>1.9</v>
      </c>
      <c r="W173">
        <v>5.9</v>
      </c>
      <c r="X173">
        <v>7.9</v>
      </c>
      <c r="Y173">
        <v>6.2</v>
      </c>
      <c r="Z173">
        <v>0.8</v>
      </c>
      <c r="AA173">
        <v>0.4</v>
      </c>
      <c r="AB173">
        <v>2.8</v>
      </c>
      <c r="AC173">
        <v>1.9</v>
      </c>
      <c r="AD173">
        <v>16.600000000000001</v>
      </c>
      <c r="AE173">
        <v>2367</v>
      </c>
      <c r="AF173">
        <v>17.100000000000001</v>
      </c>
      <c r="AG173">
        <v>0.53300000000000003</v>
      </c>
      <c r="AH173">
        <v>0.20899999999999999</v>
      </c>
      <c r="AI173">
        <v>0.13</v>
      </c>
      <c r="AJ173">
        <v>6.6</v>
      </c>
      <c r="AK173">
        <v>20.9</v>
      </c>
      <c r="AL173">
        <v>13.6</v>
      </c>
      <c r="AM173">
        <v>29.9</v>
      </c>
      <c r="AN173">
        <v>1.1000000000000001</v>
      </c>
      <c r="AO173">
        <v>1.2</v>
      </c>
      <c r="AP173">
        <v>15.1</v>
      </c>
      <c r="AQ173">
        <v>24.6</v>
      </c>
      <c r="AR173">
        <v>1.3</v>
      </c>
      <c r="AS173">
        <v>2.7</v>
      </c>
      <c r="AT173">
        <v>4</v>
      </c>
      <c r="AU173">
        <v>8.1000000000000003E-2</v>
      </c>
      <c r="AV173">
        <v>1.5</v>
      </c>
      <c r="AW173">
        <v>-0.3</v>
      </c>
      <c r="AX173">
        <v>1.2</v>
      </c>
      <c r="AY173">
        <v>1.9</v>
      </c>
      <c r="AZ173" s="8">
        <f t="shared" si="4"/>
        <v>2.6</v>
      </c>
      <c r="BA173" s="8">
        <f t="shared" si="5"/>
        <v>0.413525463625664</v>
      </c>
    </row>
    <row r="174" spans="1:53" hidden="1" x14ac:dyDescent="0.25">
      <c r="A174" t="s">
        <v>257</v>
      </c>
      <c r="B174" s="2">
        <v>6263188</v>
      </c>
      <c r="C174" t="s">
        <v>28</v>
      </c>
      <c r="D174">
        <v>24</v>
      </c>
      <c r="E174" t="s">
        <v>63</v>
      </c>
      <c r="F174">
        <v>63</v>
      </c>
      <c r="G174">
        <v>9</v>
      </c>
      <c r="H174">
        <v>23.3</v>
      </c>
      <c r="I174">
        <v>4.5</v>
      </c>
      <c r="J174">
        <v>9.3000000000000007</v>
      </c>
      <c r="K174">
        <v>0.48599999999999999</v>
      </c>
      <c r="L174">
        <v>0.8</v>
      </c>
      <c r="M174">
        <v>2.5</v>
      </c>
      <c r="N174">
        <v>0.31900000000000001</v>
      </c>
      <c r="O174">
        <v>3.7</v>
      </c>
      <c r="P174">
        <v>6.7</v>
      </c>
      <c r="Q174">
        <v>0.55000000000000004</v>
      </c>
      <c r="R174">
        <v>0.53</v>
      </c>
      <c r="S174">
        <v>1.4</v>
      </c>
      <c r="T174">
        <v>1.9</v>
      </c>
      <c r="U174">
        <v>0.73899999999999999</v>
      </c>
      <c r="V174">
        <v>0.8</v>
      </c>
      <c r="W174">
        <v>3.7</v>
      </c>
      <c r="X174">
        <v>4.5</v>
      </c>
      <c r="Y174">
        <v>0.9</v>
      </c>
      <c r="Z174">
        <v>0.3</v>
      </c>
      <c r="AA174">
        <v>0.4</v>
      </c>
      <c r="AB174">
        <v>0.8</v>
      </c>
      <c r="AC174">
        <v>1.1000000000000001</v>
      </c>
      <c r="AD174">
        <v>11.2</v>
      </c>
      <c r="AE174">
        <v>1466</v>
      </c>
      <c r="AF174">
        <v>13.2</v>
      </c>
      <c r="AG174">
        <v>0.55600000000000005</v>
      </c>
      <c r="AH174">
        <v>0.27400000000000002</v>
      </c>
      <c r="AI174">
        <v>0.20399999999999999</v>
      </c>
      <c r="AJ174">
        <v>4.0999999999999996</v>
      </c>
      <c r="AK174">
        <v>16.5</v>
      </c>
      <c r="AL174">
        <v>10.5</v>
      </c>
      <c r="AM174">
        <v>5.8</v>
      </c>
      <c r="AN174">
        <v>0.6</v>
      </c>
      <c r="AO174">
        <v>1.5</v>
      </c>
      <c r="AP174">
        <v>7.7</v>
      </c>
      <c r="AQ174">
        <v>20.2</v>
      </c>
      <c r="AR174">
        <v>0.6</v>
      </c>
      <c r="AS174">
        <v>1.3</v>
      </c>
      <c r="AT174">
        <v>1.8</v>
      </c>
      <c r="AU174">
        <v>0.06</v>
      </c>
      <c r="AV174">
        <v>-1.3</v>
      </c>
      <c r="AW174">
        <v>-1</v>
      </c>
      <c r="AX174">
        <v>-2.2000000000000002</v>
      </c>
      <c r="AY174">
        <v>-0.1</v>
      </c>
      <c r="AZ174">
        <f t="shared" si="4"/>
        <v>-0.20000000000000007</v>
      </c>
      <c r="BA174">
        <f t="shared" si="5"/>
        <v>-3.1932619617996469E-2</v>
      </c>
    </row>
    <row r="175" spans="1:53" hidden="1" x14ac:dyDescent="0.25">
      <c r="A175" t="s">
        <v>258</v>
      </c>
      <c r="B175" s="2">
        <v>6184500</v>
      </c>
      <c r="C175" t="s">
        <v>28</v>
      </c>
      <c r="D175">
        <v>36</v>
      </c>
      <c r="E175" t="s">
        <v>130</v>
      </c>
      <c r="F175">
        <v>56</v>
      </c>
      <c r="G175">
        <v>0</v>
      </c>
      <c r="H175">
        <v>14.6</v>
      </c>
      <c r="I175">
        <v>1.9</v>
      </c>
      <c r="J175">
        <v>5.0999999999999996</v>
      </c>
      <c r="K175">
        <v>0.38</v>
      </c>
      <c r="L175">
        <v>0.6</v>
      </c>
      <c r="M175">
        <v>2.2999999999999998</v>
      </c>
      <c r="N175">
        <v>0.254</v>
      </c>
      <c r="O175">
        <v>1.4</v>
      </c>
      <c r="P175">
        <v>2.8</v>
      </c>
      <c r="Q175">
        <v>0.48399999999999999</v>
      </c>
      <c r="R175">
        <v>0.437</v>
      </c>
      <c r="S175">
        <v>0.8</v>
      </c>
      <c r="T175">
        <v>0.9</v>
      </c>
      <c r="U175">
        <v>0.85699999999999998</v>
      </c>
      <c r="V175">
        <v>0.6</v>
      </c>
      <c r="W175">
        <v>2.2999999999999998</v>
      </c>
      <c r="X175">
        <v>2.9</v>
      </c>
      <c r="Y175">
        <v>1</v>
      </c>
      <c r="Z175">
        <v>0.3</v>
      </c>
      <c r="AA175">
        <v>0.3</v>
      </c>
      <c r="AB175">
        <v>0.7</v>
      </c>
      <c r="AC175">
        <v>1.2</v>
      </c>
      <c r="AD175">
        <v>5.2</v>
      </c>
      <c r="AE175">
        <v>816</v>
      </c>
      <c r="AF175">
        <v>9</v>
      </c>
      <c r="AG175">
        <v>0.47499999999999998</v>
      </c>
      <c r="AH175">
        <v>0.45300000000000001</v>
      </c>
      <c r="AI175">
        <v>0.17100000000000001</v>
      </c>
      <c r="AJ175">
        <v>4.4000000000000004</v>
      </c>
      <c r="AK175">
        <v>17</v>
      </c>
      <c r="AL175">
        <v>10.8</v>
      </c>
      <c r="AM175">
        <v>9.4</v>
      </c>
      <c r="AN175">
        <v>1.1000000000000001</v>
      </c>
      <c r="AO175">
        <v>1.9</v>
      </c>
      <c r="AP175">
        <v>10.7</v>
      </c>
      <c r="AQ175">
        <v>17.7</v>
      </c>
      <c r="AR175">
        <v>-0.4</v>
      </c>
      <c r="AS175">
        <v>0.7</v>
      </c>
      <c r="AT175">
        <v>0.3</v>
      </c>
      <c r="AU175">
        <v>1.7999999999999999E-2</v>
      </c>
      <c r="AV175">
        <v>-3.6</v>
      </c>
      <c r="AW175">
        <v>-0.4</v>
      </c>
      <c r="AX175">
        <v>-4</v>
      </c>
      <c r="AY175">
        <v>-0.4</v>
      </c>
      <c r="AZ175">
        <f t="shared" si="4"/>
        <v>-1.85</v>
      </c>
      <c r="BA175">
        <f t="shared" si="5"/>
        <v>-0.29913493410946723</v>
      </c>
    </row>
    <row r="176" spans="1:53" x14ac:dyDescent="0.25">
      <c r="A176" t="s">
        <v>259</v>
      </c>
      <c r="B176" s="2">
        <v>6025000</v>
      </c>
      <c r="C176" t="s">
        <v>52</v>
      </c>
      <c r="D176">
        <v>27</v>
      </c>
      <c r="E176" t="s">
        <v>68</v>
      </c>
      <c r="F176">
        <v>81</v>
      </c>
      <c r="G176">
        <v>39</v>
      </c>
      <c r="H176">
        <v>22.3</v>
      </c>
      <c r="I176">
        <v>3</v>
      </c>
      <c r="J176">
        <v>7</v>
      </c>
      <c r="K176">
        <v>0.42299999999999999</v>
      </c>
      <c r="L176">
        <v>1.8</v>
      </c>
      <c r="M176">
        <v>4.2</v>
      </c>
      <c r="N176">
        <v>0.42099999999999999</v>
      </c>
      <c r="O176">
        <v>1.2</v>
      </c>
      <c r="P176">
        <v>2.8</v>
      </c>
      <c r="Q176">
        <v>0.42499999999999999</v>
      </c>
      <c r="R176">
        <v>0.54900000000000004</v>
      </c>
      <c r="S176">
        <v>0.4</v>
      </c>
      <c r="T176">
        <v>0.5</v>
      </c>
      <c r="U176">
        <v>0.81599999999999995</v>
      </c>
      <c r="V176">
        <v>0.4</v>
      </c>
      <c r="W176">
        <v>2.1</v>
      </c>
      <c r="X176">
        <v>2.5</v>
      </c>
      <c r="Y176">
        <v>2.4</v>
      </c>
      <c r="Z176">
        <v>0.8</v>
      </c>
      <c r="AA176">
        <v>0.4</v>
      </c>
      <c r="AB176">
        <v>1</v>
      </c>
      <c r="AC176">
        <v>2</v>
      </c>
      <c r="AD176">
        <v>8</v>
      </c>
      <c r="AE176">
        <v>1810</v>
      </c>
      <c r="AF176">
        <v>10.9</v>
      </c>
      <c r="AG176">
        <v>0.56000000000000005</v>
      </c>
      <c r="AH176">
        <v>0.59599999999999997</v>
      </c>
      <c r="AI176">
        <v>6.7000000000000004E-2</v>
      </c>
      <c r="AJ176">
        <v>2.1</v>
      </c>
      <c r="AK176">
        <v>9.3000000000000007</v>
      </c>
      <c r="AL176">
        <v>5.8</v>
      </c>
      <c r="AM176">
        <v>14.5</v>
      </c>
      <c r="AN176">
        <v>1.7</v>
      </c>
      <c r="AO176">
        <v>1.3</v>
      </c>
      <c r="AP176">
        <v>11.8</v>
      </c>
      <c r="AQ176">
        <v>15.3</v>
      </c>
      <c r="AR176">
        <v>1.2</v>
      </c>
      <c r="AS176">
        <v>2.2999999999999998</v>
      </c>
      <c r="AT176">
        <v>3.5</v>
      </c>
      <c r="AU176">
        <v>9.1999999999999998E-2</v>
      </c>
      <c r="AV176">
        <v>-1.9</v>
      </c>
      <c r="AW176">
        <v>1.2</v>
      </c>
      <c r="AX176">
        <v>-0.6</v>
      </c>
      <c r="AY176">
        <v>0.6</v>
      </c>
      <c r="AZ176" s="8">
        <f t="shared" si="4"/>
        <v>1.45</v>
      </c>
      <c r="BA176" s="8">
        <f t="shared" si="5"/>
        <v>0.24066390041493776</v>
      </c>
    </row>
    <row r="177" spans="1:53" hidden="1" x14ac:dyDescent="0.25">
      <c r="A177" t="s">
        <v>260</v>
      </c>
      <c r="B177" s="2">
        <v>6012960</v>
      </c>
      <c r="C177" t="s">
        <v>62</v>
      </c>
      <c r="D177">
        <v>19</v>
      </c>
      <c r="E177" t="s">
        <v>70</v>
      </c>
      <c r="F177">
        <v>80</v>
      </c>
      <c r="G177">
        <v>15</v>
      </c>
      <c r="H177">
        <v>22.2</v>
      </c>
      <c r="I177">
        <v>3.8</v>
      </c>
      <c r="J177">
        <v>8.1</v>
      </c>
      <c r="K177">
        <v>0.47199999999999998</v>
      </c>
      <c r="L177">
        <v>1.3</v>
      </c>
      <c r="M177">
        <v>3.5</v>
      </c>
      <c r="N177">
        <v>0.36</v>
      </c>
      <c r="O177">
        <v>2.6</v>
      </c>
      <c r="P177">
        <v>4.5999999999999996</v>
      </c>
      <c r="Q177">
        <v>0.55900000000000005</v>
      </c>
      <c r="R177">
        <v>0.55100000000000005</v>
      </c>
      <c r="S177">
        <v>0.9</v>
      </c>
      <c r="T177">
        <v>1.3</v>
      </c>
      <c r="U177">
        <v>0.71399999999999997</v>
      </c>
      <c r="V177">
        <v>0.8</v>
      </c>
      <c r="W177">
        <v>2.2000000000000002</v>
      </c>
      <c r="X177">
        <v>3</v>
      </c>
      <c r="Y177">
        <v>1.2</v>
      </c>
      <c r="Z177">
        <v>0.5</v>
      </c>
      <c r="AA177">
        <v>0.3</v>
      </c>
      <c r="AB177">
        <v>1</v>
      </c>
      <c r="AC177">
        <v>1.7</v>
      </c>
      <c r="AD177">
        <v>9.9</v>
      </c>
      <c r="AE177">
        <v>1779</v>
      </c>
      <c r="AF177">
        <v>11.5</v>
      </c>
      <c r="AG177">
        <v>0.56799999999999995</v>
      </c>
      <c r="AH177">
        <v>0.437</v>
      </c>
      <c r="AI177">
        <v>0.16200000000000001</v>
      </c>
      <c r="AJ177">
        <v>4</v>
      </c>
      <c r="AK177">
        <v>11.3</v>
      </c>
      <c r="AL177">
        <v>7.6</v>
      </c>
      <c r="AM177">
        <v>7.9</v>
      </c>
      <c r="AN177">
        <v>1</v>
      </c>
      <c r="AO177">
        <v>1.2</v>
      </c>
      <c r="AP177">
        <v>10.7</v>
      </c>
      <c r="AQ177">
        <v>19</v>
      </c>
      <c r="AR177">
        <v>0.6</v>
      </c>
      <c r="AS177">
        <v>0.6</v>
      </c>
      <c r="AT177">
        <v>1.2</v>
      </c>
      <c r="AU177">
        <v>3.2000000000000001E-2</v>
      </c>
      <c r="AV177">
        <v>-1.3</v>
      </c>
      <c r="AW177">
        <v>-2</v>
      </c>
      <c r="AX177">
        <v>-3.3</v>
      </c>
      <c r="AY177">
        <v>-0.6</v>
      </c>
      <c r="AZ177">
        <f t="shared" si="4"/>
        <v>-1.0499999999999998</v>
      </c>
      <c r="BA177">
        <f t="shared" si="5"/>
        <v>-0.17462281472020433</v>
      </c>
    </row>
    <row r="178" spans="1:53" hidden="1" x14ac:dyDescent="0.25">
      <c r="A178" t="s">
        <v>261</v>
      </c>
      <c r="B178" s="2">
        <v>6000000</v>
      </c>
      <c r="C178" t="s">
        <v>52</v>
      </c>
      <c r="D178">
        <v>28</v>
      </c>
      <c r="E178" t="s">
        <v>60</v>
      </c>
      <c r="F178">
        <v>48</v>
      </c>
      <c r="G178">
        <v>15</v>
      </c>
      <c r="H178">
        <v>20.2</v>
      </c>
      <c r="I178">
        <v>3.9</v>
      </c>
      <c r="J178">
        <v>9.4</v>
      </c>
      <c r="K178">
        <v>0.41499999999999998</v>
      </c>
      <c r="L178">
        <v>1.4</v>
      </c>
      <c r="M178">
        <v>3.9</v>
      </c>
      <c r="N178">
        <v>0.36799999999999999</v>
      </c>
      <c r="O178">
        <v>2.5</v>
      </c>
      <c r="P178">
        <v>5.6</v>
      </c>
      <c r="Q178">
        <v>0.44800000000000001</v>
      </c>
      <c r="R178">
        <v>0.49</v>
      </c>
      <c r="S178">
        <v>1</v>
      </c>
      <c r="T178">
        <v>1.3</v>
      </c>
      <c r="U178">
        <v>0.76600000000000001</v>
      </c>
      <c r="V178">
        <v>0.3</v>
      </c>
      <c r="W178">
        <v>2</v>
      </c>
      <c r="X178">
        <v>2.2000000000000002</v>
      </c>
      <c r="Y178">
        <v>4.5</v>
      </c>
      <c r="Z178">
        <v>0.7</v>
      </c>
      <c r="AA178">
        <v>0.2</v>
      </c>
      <c r="AB178">
        <v>1.7</v>
      </c>
      <c r="AC178">
        <v>1.8</v>
      </c>
      <c r="AD178">
        <v>10.3</v>
      </c>
      <c r="AE178">
        <v>968</v>
      </c>
      <c r="AF178">
        <v>13.2</v>
      </c>
      <c r="AG178">
        <v>0.51200000000000001</v>
      </c>
      <c r="AH178">
        <v>0.40799999999999997</v>
      </c>
      <c r="AI178">
        <v>0.14099999999999999</v>
      </c>
      <c r="AJ178">
        <v>1.3</v>
      </c>
      <c r="AK178">
        <v>11</v>
      </c>
      <c r="AL178">
        <v>6.1</v>
      </c>
      <c r="AM178">
        <v>32.6</v>
      </c>
      <c r="AN178">
        <v>1.7</v>
      </c>
      <c r="AO178">
        <v>0.7</v>
      </c>
      <c r="AP178">
        <v>14.4</v>
      </c>
      <c r="AQ178">
        <v>24.8</v>
      </c>
      <c r="AR178">
        <v>0</v>
      </c>
      <c r="AS178">
        <v>1</v>
      </c>
      <c r="AT178">
        <v>1.1000000000000001</v>
      </c>
      <c r="AU178">
        <v>5.2999999999999999E-2</v>
      </c>
      <c r="AV178">
        <v>-0.5</v>
      </c>
      <c r="AW178">
        <v>-0.7</v>
      </c>
      <c r="AX178">
        <v>-1.2</v>
      </c>
      <c r="AY178">
        <v>0.2</v>
      </c>
      <c r="AZ178">
        <f t="shared" si="4"/>
        <v>-4.9999999999999933E-2</v>
      </c>
      <c r="BA178">
        <f t="shared" si="5"/>
        <v>-8.3333333333333228E-3</v>
      </c>
    </row>
    <row r="179" spans="1:53" hidden="1" x14ac:dyDescent="0.25">
      <c r="A179" t="s">
        <v>262</v>
      </c>
      <c r="B179" s="2">
        <v>5987975</v>
      </c>
      <c r="C179" t="s">
        <v>65</v>
      </c>
      <c r="D179">
        <v>33</v>
      </c>
      <c r="E179" t="s">
        <v>85</v>
      </c>
      <c r="F179">
        <v>46</v>
      </c>
      <c r="G179">
        <v>2</v>
      </c>
      <c r="H179">
        <v>15.3</v>
      </c>
      <c r="I179">
        <v>1.7</v>
      </c>
      <c r="J179">
        <v>4.4000000000000004</v>
      </c>
      <c r="K179">
        <v>0.377</v>
      </c>
      <c r="L179">
        <v>1</v>
      </c>
      <c r="M179">
        <v>3.1</v>
      </c>
      <c r="N179">
        <v>0.32200000000000001</v>
      </c>
      <c r="O179">
        <v>0.7</v>
      </c>
      <c r="P179">
        <v>1.3</v>
      </c>
      <c r="Q179">
        <v>0.50800000000000001</v>
      </c>
      <c r="R179">
        <v>0.49</v>
      </c>
      <c r="S179">
        <v>0.1</v>
      </c>
      <c r="T179">
        <v>0.2</v>
      </c>
      <c r="U179">
        <v>0.625</v>
      </c>
      <c r="V179">
        <v>0.1</v>
      </c>
      <c r="W179">
        <v>1.1000000000000001</v>
      </c>
      <c r="X179">
        <v>1.2</v>
      </c>
      <c r="Y179">
        <v>0.9</v>
      </c>
      <c r="Z179">
        <v>0.4</v>
      </c>
      <c r="AA179">
        <v>0.4</v>
      </c>
      <c r="AB179">
        <v>0.5</v>
      </c>
      <c r="AC179">
        <v>1.5</v>
      </c>
      <c r="AD179">
        <v>4.5</v>
      </c>
      <c r="AE179">
        <v>706</v>
      </c>
      <c r="AF179">
        <v>6.6</v>
      </c>
      <c r="AG179">
        <v>0.49399999999999999</v>
      </c>
      <c r="AH179">
        <v>0.70099999999999996</v>
      </c>
      <c r="AI179">
        <v>3.9E-2</v>
      </c>
      <c r="AJ179">
        <v>0.8</v>
      </c>
      <c r="AK179">
        <v>8.1</v>
      </c>
      <c r="AL179">
        <v>4.4000000000000004</v>
      </c>
      <c r="AM179">
        <v>7.5</v>
      </c>
      <c r="AN179">
        <v>1.3</v>
      </c>
      <c r="AO179">
        <v>2.2999999999999998</v>
      </c>
      <c r="AP179">
        <v>9.6</v>
      </c>
      <c r="AQ179">
        <v>14.1</v>
      </c>
      <c r="AR179">
        <v>-0.4</v>
      </c>
      <c r="AS179">
        <v>0.5</v>
      </c>
      <c r="AT179">
        <v>0.1</v>
      </c>
      <c r="AU179">
        <v>8.0000000000000002E-3</v>
      </c>
      <c r="AV179">
        <v>-3.7</v>
      </c>
      <c r="AW179">
        <v>-0.1</v>
      </c>
      <c r="AX179">
        <v>-3.9</v>
      </c>
      <c r="AY179">
        <v>-0.3</v>
      </c>
      <c r="AZ179">
        <f t="shared" si="4"/>
        <v>-1.9</v>
      </c>
      <c r="BA179">
        <f t="shared" si="5"/>
        <v>-0.31730259394870552</v>
      </c>
    </row>
    <row r="180" spans="1:53" hidden="1" x14ac:dyDescent="0.25">
      <c r="A180" t="s">
        <v>263</v>
      </c>
      <c r="B180" s="2">
        <v>5954454</v>
      </c>
      <c r="C180" t="s">
        <v>65</v>
      </c>
      <c r="D180">
        <v>23</v>
      </c>
      <c r="E180" t="s">
        <v>70</v>
      </c>
      <c r="F180">
        <v>40</v>
      </c>
      <c r="G180">
        <v>20</v>
      </c>
      <c r="H180">
        <v>24.8</v>
      </c>
      <c r="I180">
        <v>3.5</v>
      </c>
      <c r="J180">
        <v>7.8</v>
      </c>
      <c r="K180">
        <v>0.44600000000000001</v>
      </c>
      <c r="L180">
        <v>1.1000000000000001</v>
      </c>
      <c r="M180">
        <v>3.6</v>
      </c>
      <c r="N180">
        <v>0.313</v>
      </c>
      <c r="O180">
        <v>2.4</v>
      </c>
      <c r="P180">
        <v>4.2</v>
      </c>
      <c r="Q180">
        <v>0.56000000000000005</v>
      </c>
      <c r="R180">
        <v>0.51800000000000002</v>
      </c>
      <c r="S180">
        <v>1.6</v>
      </c>
      <c r="T180">
        <v>1.9</v>
      </c>
      <c r="U180">
        <v>0.85299999999999998</v>
      </c>
      <c r="V180">
        <v>0.5</v>
      </c>
      <c r="W180">
        <v>1.8</v>
      </c>
      <c r="X180">
        <v>2.2000000000000002</v>
      </c>
      <c r="Y180">
        <v>1.4</v>
      </c>
      <c r="Z180">
        <v>1</v>
      </c>
      <c r="AA180">
        <v>0.4</v>
      </c>
      <c r="AB180">
        <v>1.2</v>
      </c>
      <c r="AC180">
        <v>1.8</v>
      </c>
      <c r="AD180">
        <v>9.6999999999999993</v>
      </c>
      <c r="AE180">
        <v>990</v>
      </c>
      <c r="AF180">
        <v>10.6</v>
      </c>
      <c r="AG180">
        <v>0.56100000000000005</v>
      </c>
      <c r="AH180">
        <v>0.46200000000000002</v>
      </c>
      <c r="AI180">
        <v>0.24</v>
      </c>
      <c r="AJ180">
        <v>2</v>
      </c>
      <c r="AK180">
        <v>8.1</v>
      </c>
      <c r="AL180">
        <v>5</v>
      </c>
      <c r="AM180">
        <v>8.1</v>
      </c>
      <c r="AN180">
        <v>1.9</v>
      </c>
      <c r="AO180">
        <v>1.3</v>
      </c>
      <c r="AP180">
        <v>12</v>
      </c>
      <c r="AQ180">
        <v>17.100000000000001</v>
      </c>
      <c r="AR180">
        <v>0.3</v>
      </c>
      <c r="AS180">
        <v>0.7</v>
      </c>
      <c r="AT180">
        <v>0.9</v>
      </c>
      <c r="AU180">
        <v>4.5999999999999999E-2</v>
      </c>
      <c r="AV180">
        <v>-2.6</v>
      </c>
      <c r="AW180">
        <v>-0.8</v>
      </c>
      <c r="AX180">
        <v>-3.4</v>
      </c>
      <c r="AY180">
        <v>-0.4</v>
      </c>
      <c r="AZ180">
        <f t="shared" si="4"/>
        <v>-1.25</v>
      </c>
      <c r="BA180">
        <f t="shared" si="5"/>
        <v>-0.20992688834274309</v>
      </c>
    </row>
    <row r="181" spans="1:53" x14ac:dyDescent="0.25">
      <c r="A181" t="s">
        <v>264</v>
      </c>
      <c r="B181" s="2">
        <v>5887899</v>
      </c>
      <c r="C181" t="s">
        <v>28</v>
      </c>
      <c r="D181">
        <v>26</v>
      </c>
      <c r="E181" t="s">
        <v>60</v>
      </c>
      <c r="F181">
        <v>42</v>
      </c>
      <c r="G181">
        <v>41</v>
      </c>
      <c r="H181">
        <v>28.5</v>
      </c>
      <c r="I181">
        <v>5.3</v>
      </c>
      <c r="J181">
        <v>11.3</v>
      </c>
      <c r="K181">
        <v>0.47</v>
      </c>
      <c r="L181">
        <v>2.5</v>
      </c>
      <c r="M181">
        <v>6.1</v>
      </c>
      <c r="N181">
        <v>0.40400000000000003</v>
      </c>
      <c r="O181">
        <v>2.9</v>
      </c>
      <c r="P181">
        <v>5.2</v>
      </c>
      <c r="Q181">
        <v>0.54800000000000004</v>
      </c>
      <c r="R181">
        <v>0.57899999999999996</v>
      </c>
      <c r="S181">
        <v>2.4</v>
      </c>
      <c r="T181">
        <v>2.9</v>
      </c>
      <c r="U181">
        <v>0.84199999999999997</v>
      </c>
      <c r="V181">
        <v>0.8</v>
      </c>
      <c r="W181">
        <v>3.6</v>
      </c>
      <c r="X181">
        <v>4.4000000000000004</v>
      </c>
      <c r="Y181">
        <v>1.9</v>
      </c>
      <c r="Z181">
        <v>1.2</v>
      </c>
      <c r="AA181">
        <v>0.3</v>
      </c>
      <c r="AB181">
        <v>0.9</v>
      </c>
      <c r="AC181">
        <v>2</v>
      </c>
      <c r="AD181">
        <v>15.5</v>
      </c>
      <c r="AE181">
        <v>1199</v>
      </c>
      <c r="AF181">
        <v>17.100000000000001</v>
      </c>
      <c r="AG181">
        <v>0.61699999999999999</v>
      </c>
      <c r="AH181">
        <v>0.53800000000000003</v>
      </c>
      <c r="AI181">
        <v>0.253</v>
      </c>
      <c r="AJ181">
        <v>3.2</v>
      </c>
      <c r="AK181">
        <v>14</v>
      </c>
      <c r="AL181">
        <v>8.6</v>
      </c>
      <c r="AM181">
        <v>9.6</v>
      </c>
      <c r="AN181">
        <v>2</v>
      </c>
      <c r="AO181">
        <v>1</v>
      </c>
      <c r="AP181">
        <v>6.6</v>
      </c>
      <c r="AQ181">
        <v>20.6</v>
      </c>
      <c r="AR181">
        <v>2.1</v>
      </c>
      <c r="AS181">
        <v>1.4</v>
      </c>
      <c r="AT181">
        <v>3.5</v>
      </c>
      <c r="AU181">
        <v>0.14199999999999999</v>
      </c>
      <c r="AV181">
        <v>2</v>
      </c>
      <c r="AW181">
        <v>0.6</v>
      </c>
      <c r="AX181">
        <v>2.6</v>
      </c>
      <c r="AY181">
        <v>1.4</v>
      </c>
      <c r="AZ181" s="8">
        <f t="shared" si="4"/>
        <v>3.05</v>
      </c>
      <c r="BA181" s="8">
        <f t="shared" si="5"/>
        <v>0.5180116031202302</v>
      </c>
    </row>
    <row r="182" spans="1:53" hidden="1" x14ac:dyDescent="0.25">
      <c r="A182" t="s">
        <v>265</v>
      </c>
      <c r="B182" s="2">
        <v>5853659</v>
      </c>
      <c r="C182" t="s">
        <v>52</v>
      </c>
      <c r="D182">
        <v>32</v>
      </c>
      <c r="E182" t="s">
        <v>107</v>
      </c>
      <c r="F182">
        <v>33</v>
      </c>
      <c r="G182">
        <v>2</v>
      </c>
      <c r="H182">
        <v>17.2</v>
      </c>
      <c r="I182">
        <v>1.8</v>
      </c>
      <c r="J182">
        <v>5.4</v>
      </c>
      <c r="K182">
        <v>0.34300000000000003</v>
      </c>
      <c r="L182">
        <v>0.6</v>
      </c>
      <c r="M182">
        <v>2.5</v>
      </c>
      <c r="N182">
        <v>0.25600000000000001</v>
      </c>
      <c r="O182">
        <v>1.2</v>
      </c>
      <c r="P182">
        <v>2.9</v>
      </c>
      <c r="Q182">
        <v>0.41699999999999998</v>
      </c>
      <c r="R182">
        <v>0.40200000000000002</v>
      </c>
      <c r="S182">
        <v>0.8</v>
      </c>
      <c r="T182">
        <v>1.1000000000000001</v>
      </c>
      <c r="U182">
        <v>0.8</v>
      </c>
      <c r="V182">
        <v>0.3</v>
      </c>
      <c r="W182">
        <v>1.8</v>
      </c>
      <c r="X182">
        <v>2.1</v>
      </c>
      <c r="Y182">
        <v>3.5</v>
      </c>
      <c r="Z182">
        <v>0.8</v>
      </c>
      <c r="AA182">
        <v>0.2</v>
      </c>
      <c r="AB182">
        <v>0.9</v>
      </c>
      <c r="AC182">
        <v>1.5</v>
      </c>
      <c r="AD182">
        <v>5.2</v>
      </c>
      <c r="AE182">
        <v>566</v>
      </c>
      <c r="AF182">
        <v>10.4</v>
      </c>
      <c r="AG182">
        <v>0.442</v>
      </c>
      <c r="AH182">
        <v>0.46100000000000002</v>
      </c>
      <c r="AI182">
        <v>0.19700000000000001</v>
      </c>
      <c r="AJ182">
        <v>1.9</v>
      </c>
      <c r="AK182">
        <v>12.7</v>
      </c>
      <c r="AL182">
        <v>7.3</v>
      </c>
      <c r="AM182">
        <v>27.1</v>
      </c>
      <c r="AN182">
        <v>2.2999999999999998</v>
      </c>
      <c r="AO182">
        <v>1</v>
      </c>
      <c r="AP182">
        <v>13.8</v>
      </c>
      <c r="AQ182">
        <v>17.7</v>
      </c>
      <c r="AR182">
        <v>-0.2</v>
      </c>
      <c r="AS182">
        <v>0.9</v>
      </c>
      <c r="AT182">
        <v>0.7</v>
      </c>
      <c r="AU182">
        <v>6.2E-2</v>
      </c>
      <c r="AV182">
        <v>-3.8</v>
      </c>
      <c r="AW182">
        <v>1.1000000000000001</v>
      </c>
      <c r="AX182">
        <v>-2.8</v>
      </c>
      <c r="AY182">
        <v>-0.1</v>
      </c>
      <c r="AZ182">
        <f t="shared" si="4"/>
        <v>-1.0499999999999998</v>
      </c>
      <c r="BA182">
        <f t="shared" si="5"/>
        <v>-0.17937498579948025</v>
      </c>
    </row>
    <row r="183" spans="1:53" hidden="1" x14ac:dyDescent="0.25">
      <c r="A183" t="s">
        <v>266</v>
      </c>
      <c r="B183" s="2">
        <v>5837760</v>
      </c>
      <c r="C183" t="s">
        <v>52</v>
      </c>
      <c r="D183">
        <v>21</v>
      </c>
      <c r="E183" t="s">
        <v>201</v>
      </c>
      <c r="F183">
        <v>76</v>
      </c>
      <c r="G183">
        <v>56</v>
      </c>
      <c r="H183">
        <v>28.3</v>
      </c>
      <c r="I183">
        <v>4</v>
      </c>
      <c r="J183">
        <v>10.7</v>
      </c>
      <c r="K183">
        <v>0.377</v>
      </c>
      <c r="L183">
        <v>1.1000000000000001</v>
      </c>
      <c r="M183">
        <v>3.8</v>
      </c>
      <c r="N183">
        <v>0.28000000000000003</v>
      </c>
      <c r="O183">
        <v>3</v>
      </c>
      <c r="P183">
        <v>7</v>
      </c>
      <c r="Q183">
        <v>0.42899999999999999</v>
      </c>
      <c r="R183">
        <v>0.42599999999999999</v>
      </c>
      <c r="S183">
        <v>1.2</v>
      </c>
      <c r="T183">
        <v>1.5</v>
      </c>
      <c r="U183">
        <v>0.82099999999999995</v>
      </c>
      <c r="V183">
        <v>0.4</v>
      </c>
      <c r="W183">
        <v>2.5</v>
      </c>
      <c r="X183">
        <v>2.9</v>
      </c>
      <c r="Y183">
        <v>6.2</v>
      </c>
      <c r="Z183">
        <v>1.4</v>
      </c>
      <c r="AA183">
        <v>0.4</v>
      </c>
      <c r="AB183">
        <v>2.2999999999999998</v>
      </c>
      <c r="AC183">
        <v>2.9</v>
      </c>
      <c r="AD183">
        <v>10.3</v>
      </c>
      <c r="AE183">
        <v>2154</v>
      </c>
      <c r="AF183">
        <v>10.199999999999999</v>
      </c>
      <c r="AG183">
        <v>0.45500000000000002</v>
      </c>
      <c r="AH183">
        <v>0.35099999999999998</v>
      </c>
      <c r="AI183">
        <v>0.13700000000000001</v>
      </c>
      <c r="AJ183">
        <v>1.4</v>
      </c>
      <c r="AK183">
        <v>10.199999999999999</v>
      </c>
      <c r="AL183">
        <v>5.7</v>
      </c>
      <c r="AM183">
        <v>32.299999999999997</v>
      </c>
      <c r="AN183">
        <v>2.2999999999999998</v>
      </c>
      <c r="AO183">
        <v>1.1000000000000001</v>
      </c>
      <c r="AP183">
        <v>16.7</v>
      </c>
      <c r="AQ183">
        <v>20.5</v>
      </c>
      <c r="AR183">
        <v>-1.9</v>
      </c>
      <c r="AS183">
        <v>1.4</v>
      </c>
      <c r="AT183">
        <v>-0.5</v>
      </c>
      <c r="AU183">
        <v>-1.2E-2</v>
      </c>
      <c r="AV183">
        <v>-3.3</v>
      </c>
      <c r="AW183">
        <v>-0.5</v>
      </c>
      <c r="AX183">
        <v>-3.8</v>
      </c>
      <c r="AY183">
        <v>-1</v>
      </c>
      <c r="AZ183">
        <f t="shared" si="4"/>
        <v>-2.15</v>
      </c>
      <c r="BA183">
        <f t="shared" si="5"/>
        <v>-0.36829194759633832</v>
      </c>
    </row>
    <row r="184" spans="1:53" x14ac:dyDescent="0.25">
      <c r="A184" t="s">
        <v>267</v>
      </c>
      <c r="B184" s="2">
        <v>5739840</v>
      </c>
      <c r="C184" t="s">
        <v>28</v>
      </c>
      <c r="D184">
        <v>20</v>
      </c>
      <c r="E184" t="s">
        <v>53</v>
      </c>
      <c r="F184">
        <v>67</v>
      </c>
      <c r="G184">
        <v>16</v>
      </c>
      <c r="H184">
        <v>20.8</v>
      </c>
      <c r="I184">
        <v>3.9</v>
      </c>
      <c r="J184">
        <v>7.4</v>
      </c>
      <c r="K184">
        <v>0.52500000000000002</v>
      </c>
      <c r="L184">
        <v>0.8</v>
      </c>
      <c r="M184">
        <v>2.2000000000000002</v>
      </c>
      <c r="N184">
        <v>0.37</v>
      </c>
      <c r="O184">
        <v>3.1</v>
      </c>
      <c r="P184">
        <v>5.2</v>
      </c>
      <c r="Q184">
        <v>0.59</v>
      </c>
      <c r="R184">
        <v>0.57899999999999996</v>
      </c>
      <c r="S184">
        <v>1.3</v>
      </c>
      <c r="T184">
        <v>2.1</v>
      </c>
      <c r="U184">
        <v>0.65200000000000002</v>
      </c>
      <c r="V184">
        <v>1</v>
      </c>
      <c r="W184">
        <v>2.4</v>
      </c>
      <c r="X184">
        <v>3.4</v>
      </c>
      <c r="Y184">
        <v>1.9</v>
      </c>
      <c r="Z184">
        <v>0.6</v>
      </c>
      <c r="AA184">
        <v>0.5</v>
      </c>
      <c r="AB184">
        <v>1.4</v>
      </c>
      <c r="AC184">
        <v>2.2999999999999998</v>
      </c>
      <c r="AD184">
        <v>9.9</v>
      </c>
      <c r="AE184">
        <v>1394</v>
      </c>
      <c r="AF184">
        <v>13.3</v>
      </c>
      <c r="AG184">
        <v>0.59699999999999998</v>
      </c>
      <c r="AH184">
        <v>0.29399999999999998</v>
      </c>
      <c r="AI184">
        <v>0.27800000000000002</v>
      </c>
      <c r="AJ184">
        <v>5.6</v>
      </c>
      <c r="AK184">
        <v>12.5</v>
      </c>
      <c r="AL184">
        <v>9.1</v>
      </c>
      <c r="AM184">
        <v>12.7</v>
      </c>
      <c r="AN184">
        <v>1.4</v>
      </c>
      <c r="AO184">
        <v>2</v>
      </c>
      <c r="AP184">
        <v>14.6</v>
      </c>
      <c r="AQ184">
        <v>19.600000000000001</v>
      </c>
      <c r="AR184">
        <v>1</v>
      </c>
      <c r="AS184">
        <v>1.4</v>
      </c>
      <c r="AT184">
        <v>2.4</v>
      </c>
      <c r="AU184">
        <v>8.4000000000000005E-2</v>
      </c>
      <c r="AV184">
        <v>-1.7</v>
      </c>
      <c r="AW184">
        <v>-0.1</v>
      </c>
      <c r="AX184">
        <v>-1.7</v>
      </c>
      <c r="AY184">
        <v>0.1</v>
      </c>
      <c r="AZ184" s="8">
        <f t="shared" si="4"/>
        <v>0.35</v>
      </c>
      <c r="BA184" s="8">
        <f t="shared" si="5"/>
        <v>6.0977309472041032E-2</v>
      </c>
    </row>
    <row r="185" spans="1:53" x14ac:dyDescent="0.25">
      <c r="A185" t="s">
        <v>268</v>
      </c>
      <c r="B185" s="2">
        <v>5728393</v>
      </c>
      <c r="C185" t="s">
        <v>65</v>
      </c>
      <c r="D185">
        <v>30</v>
      </c>
      <c r="E185" t="s">
        <v>68</v>
      </c>
      <c r="F185">
        <v>61</v>
      </c>
      <c r="G185">
        <v>33</v>
      </c>
      <c r="H185">
        <v>23.7</v>
      </c>
      <c r="I185">
        <v>2.7</v>
      </c>
      <c r="J185">
        <v>6.9</v>
      </c>
      <c r="K185">
        <v>0.39200000000000002</v>
      </c>
      <c r="L185">
        <v>1.8</v>
      </c>
      <c r="M185">
        <v>5.3</v>
      </c>
      <c r="N185">
        <v>0.33900000000000002</v>
      </c>
      <c r="O185">
        <v>0.9</v>
      </c>
      <c r="P185">
        <v>1.6</v>
      </c>
      <c r="Q185">
        <v>0.56599999999999995</v>
      </c>
      <c r="R185">
        <v>0.52100000000000002</v>
      </c>
      <c r="S185">
        <v>0.4</v>
      </c>
      <c r="T185">
        <v>0.7</v>
      </c>
      <c r="U185">
        <v>0.65900000000000003</v>
      </c>
      <c r="V185">
        <v>0.8</v>
      </c>
      <c r="W185">
        <v>3.8</v>
      </c>
      <c r="X185">
        <v>4.5999999999999996</v>
      </c>
      <c r="Y185">
        <v>1.3</v>
      </c>
      <c r="Z185">
        <v>0.6</v>
      </c>
      <c r="AA185">
        <v>0.2</v>
      </c>
      <c r="AB185">
        <v>0.5</v>
      </c>
      <c r="AC185">
        <v>1.1000000000000001</v>
      </c>
      <c r="AD185">
        <v>7.6</v>
      </c>
      <c r="AE185">
        <v>1443</v>
      </c>
      <c r="AF185">
        <v>10</v>
      </c>
      <c r="AG185">
        <v>0.53100000000000003</v>
      </c>
      <c r="AH185">
        <v>0.76500000000000001</v>
      </c>
      <c r="AI185">
        <v>9.7000000000000003E-2</v>
      </c>
      <c r="AJ185">
        <v>3.8</v>
      </c>
      <c r="AK185">
        <v>16.2</v>
      </c>
      <c r="AL185">
        <v>10.199999999999999</v>
      </c>
      <c r="AM185">
        <v>6.9</v>
      </c>
      <c r="AN185">
        <v>1.2</v>
      </c>
      <c r="AO185">
        <v>0.6</v>
      </c>
      <c r="AP185">
        <v>7</v>
      </c>
      <c r="AQ185">
        <v>13.8</v>
      </c>
      <c r="AR185">
        <v>0.7</v>
      </c>
      <c r="AS185">
        <v>1.8</v>
      </c>
      <c r="AT185">
        <v>2.5</v>
      </c>
      <c r="AU185">
        <v>8.5000000000000006E-2</v>
      </c>
      <c r="AV185">
        <v>-1.3</v>
      </c>
      <c r="AW185">
        <v>0.3</v>
      </c>
      <c r="AX185">
        <v>-1</v>
      </c>
      <c r="AY185">
        <v>0.3</v>
      </c>
      <c r="AZ185" s="8">
        <f t="shared" si="4"/>
        <v>0.75</v>
      </c>
      <c r="BA185" s="8">
        <f t="shared" si="5"/>
        <v>0.1309267712602819</v>
      </c>
    </row>
    <row r="186" spans="1:53" x14ac:dyDescent="0.25">
      <c r="A186" t="s">
        <v>269</v>
      </c>
      <c r="B186" s="2">
        <v>5722116</v>
      </c>
      <c r="C186" t="s">
        <v>62</v>
      </c>
      <c r="D186">
        <v>23</v>
      </c>
      <c r="E186" t="s">
        <v>80</v>
      </c>
      <c r="F186">
        <v>67</v>
      </c>
      <c r="G186">
        <v>67</v>
      </c>
      <c r="H186">
        <v>34.9</v>
      </c>
      <c r="I186">
        <v>7.3</v>
      </c>
      <c r="J186">
        <v>16.600000000000001</v>
      </c>
      <c r="K186">
        <v>0.439</v>
      </c>
      <c r="L186">
        <v>3</v>
      </c>
      <c r="M186">
        <v>8</v>
      </c>
      <c r="N186">
        <v>0.378</v>
      </c>
      <c r="O186">
        <v>4.2</v>
      </c>
      <c r="P186">
        <v>8.5</v>
      </c>
      <c r="Q186">
        <v>0.497</v>
      </c>
      <c r="R186">
        <v>0.53100000000000003</v>
      </c>
      <c r="S186">
        <v>2.5</v>
      </c>
      <c r="T186">
        <v>2.7</v>
      </c>
      <c r="U186">
        <v>0.93400000000000005</v>
      </c>
      <c r="V186">
        <v>0.4</v>
      </c>
      <c r="W186">
        <v>5</v>
      </c>
      <c r="X186">
        <v>5.4</v>
      </c>
      <c r="Y186">
        <v>4.2</v>
      </c>
      <c r="Z186">
        <v>0.8</v>
      </c>
      <c r="AA186">
        <v>0.2</v>
      </c>
      <c r="AB186">
        <v>2.4</v>
      </c>
      <c r="AC186">
        <v>1.5</v>
      </c>
      <c r="AD186">
        <v>20.100000000000001</v>
      </c>
      <c r="AE186">
        <v>2337</v>
      </c>
      <c r="AF186">
        <v>15.3</v>
      </c>
      <c r="AG186">
        <v>0.56599999999999995</v>
      </c>
      <c r="AH186">
        <v>0.48399999999999999</v>
      </c>
      <c r="AI186">
        <v>0.16400000000000001</v>
      </c>
      <c r="AJ186">
        <v>1.3</v>
      </c>
      <c r="AK186">
        <v>17.3</v>
      </c>
      <c r="AL186">
        <v>9</v>
      </c>
      <c r="AM186">
        <v>19.899999999999999</v>
      </c>
      <c r="AN186">
        <v>1.1000000000000001</v>
      </c>
      <c r="AO186">
        <v>0.7</v>
      </c>
      <c r="AP186">
        <v>11.7</v>
      </c>
      <c r="AQ186">
        <v>25.6</v>
      </c>
      <c r="AR186">
        <v>1.1000000000000001</v>
      </c>
      <c r="AS186">
        <v>2.4</v>
      </c>
      <c r="AT186">
        <v>3.5</v>
      </c>
      <c r="AU186">
        <v>7.1999999999999995E-2</v>
      </c>
      <c r="AV186">
        <v>1.5</v>
      </c>
      <c r="AW186">
        <v>-0.8</v>
      </c>
      <c r="AX186">
        <v>0.6</v>
      </c>
      <c r="AY186">
        <v>1.6</v>
      </c>
      <c r="AZ186" s="8">
        <f t="shared" si="4"/>
        <v>2.0499999999999998</v>
      </c>
      <c r="BA186" s="8">
        <f t="shared" si="5"/>
        <v>0.35825907758598391</v>
      </c>
    </row>
    <row r="187" spans="1:53" hidden="1" x14ac:dyDescent="0.25">
      <c r="A187" t="s">
        <v>270</v>
      </c>
      <c r="B187" s="2">
        <v>5634257</v>
      </c>
      <c r="C187" t="s">
        <v>62</v>
      </c>
      <c r="D187">
        <v>23</v>
      </c>
      <c r="E187" t="s">
        <v>175</v>
      </c>
      <c r="F187">
        <v>43</v>
      </c>
      <c r="G187">
        <v>21</v>
      </c>
      <c r="H187">
        <v>19.600000000000001</v>
      </c>
      <c r="I187">
        <v>2.8</v>
      </c>
      <c r="J187">
        <v>6</v>
      </c>
      <c r="K187">
        <v>0.46700000000000003</v>
      </c>
      <c r="L187">
        <v>0.4</v>
      </c>
      <c r="M187">
        <v>1.4</v>
      </c>
      <c r="N187">
        <v>0.26200000000000001</v>
      </c>
      <c r="O187">
        <v>2.4</v>
      </c>
      <c r="P187">
        <v>4.5999999999999996</v>
      </c>
      <c r="Q187">
        <v>0.53</v>
      </c>
      <c r="R187">
        <v>0.498</v>
      </c>
      <c r="S187">
        <v>0.9</v>
      </c>
      <c r="T187">
        <v>1.3</v>
      </c>
      <c r="U187">
        <v>0.69599999999999995</v>
      </c>
      <c r="V187">
        <v>1.3</v>
      </c>
      <c r="W187">
        <v>1.3</v>
      </c>
      <c r="X187">
        <v>2.7</v>
      </c>
      <c r="Y187">
        <v>1.2</v>
      </c>
      <c r="Z187">
        <v>0.6</v>
      </c>
      <c r="AA187">
        <v>0.3</v>
      </c>
      <c r="AB187">
        <v>0.7</v>
      </c>
      <c r="AC187">
        <v>1.6</v>
      </c>
      <c r="AD187">
        <v>6.9</v>
      </c>
      <c r="AE187">
        <v>844</v>
      </c>
      <c r="AF187">
        <v>10.4</v>
      </c>
      <c r="AG187">
        <v>0.52400000000000002</v>
      </c>
      <c r="AH187">
        <v>0.23599999999999999</v>
      </c>
      <c r="AI187">
        <v>0.216</v>
      </c>
      <c r="AJ187">
        <v>7.1</v>
      </c>
      <c r="AK187">
        <v>7.7</v>
      </c>
      <c r="AL187">
        <v>7.4</v>
      </c>
      <c r="AM187">
        <v>7.9</v>
      </c>
      <c r="AN187">
        <v>1.3</v>
      </c>
      <c r="AO187">
        <v>1.3</v>
      </c>
      <c r="AP187">
        <v>9.6</v>
      </c>
      <c r="AQ187">
        <v>15.4</v>
      </c>
      <c r="AR187">
        <v>0.3</v>
      </c>
      <c r="AS187">
        <v>0.2</v>
      </c>
      <c r="AT187">
        <v>0.5</v>
      </c>
      <c r="AU187">
        <v>2.9000000000000001E-2</v>
      </c>
      <c r="AV187">
        <v>-2.6</v>
      </c>
      <c r="AW187">
        <v>-1.5</v>
      </c>
      <c r="AX187">
        <v>-4.2</v>
      </c>
      <c r="AY187">
        <v>-0.5</v>
      </c>
      <c r="AZ187">
        <f t="shared" si="4"/>
        <v>-1.85</v>
      </c>
      <c r="BA187">
        <f t="shared" si="5"/>
        <v>-0.32834852936243414</v>
      </c>
    </row>
    <row r="188" spans="1:53" hidden="1" x14ac:dyDescent="0.25">
      <c r="A188" t="s">
        <v>271</v>
      </c>
      <c r="B188" s="2">
        <v>5508600</v>
      </c>
      <c r="C188" t="s">
        <v>52</v>
      </c>
      <c r="D188">
        <v>19</v>
      </c>
      <c r="E188" t="s">
        <v>100</v>
      </c>
      <c r="F188">
        <v>59</v>
      </c>
      <c r="G188">
        <v>11</v>
      </c>
      <c r="H188">
        <v>17.7</v>
      </c>
      <c r="I188">
        <v>1.5</v>
      </c>
      <c r="J188">
        <v>3.5</v>
      </c>
      <c r="K188">
        <v>0.41799999999999998</v>
      </c>
      <c r="L188">
        <v>0.5</v>
      </c>
      <c r="M188">
        <v>1.5</v>
      </c>
      <c r="N188">
        <v>0.314</v>
      </c>
      <c r="O188">
        <v>1</v>
      </c>
      <c r="P188">
        <v>2.1</v>
      </c>
      <c r="Q188">
        <v>0.49199999999999999</v>
      </c>
      <c r="R188">
        <v>0.48299999999999998</v>
      </c>
      <c r="S188">
        <v>0.4</v>
      </c>
      <c r="T188">
        <v>0.7</v>
      </c>
      <c r="U188">
        <v>0.65</v>
      </c>
      <c r="V188">
        <v>0.6</v>
      </c>
      <c r="W188">
        <v>2.6</v>
      </c>
      <c r="X188">
        <v>3.2</v>
      </c>
      <c r="Y188">
        <v>2.2999999999999998</v>
      </c>
      <c r="Z188">
        <v>0.7</v>
      </c>
      <c r="AA188">
        <v>0.2</v>
      </c>
      <c r="AB188">
        <v>1</v>
      </c>
      <c r="AC188">
        <v>1.7</v>
      </c>
      <c r="AD188">
        <v>3.8</v>
      </c>
      <c r="AE188">
        <v>1042</v>
      </c>
      <c r="AF188">
        <v>8.8000000000000007</v>
      </c>
      <c r="AG188">
        <v>0.503</v>
      </c>
      <c r="AH188">
        <v>0.41299999999999998</v>
      </c>
      <c r="AI188">
        <v>0.192</v>
      </c>
      <c r="AJ188">
        <v>3.9</v>
      </c>
      <c r="AK188">
        <v>16.5</v>
      </c>
      <c r="AL188">
        <v>10.199999999999999</v>
      </c>
      <c r="AM188">
        <v>16.399999999999999</v>
      </c>
      <c r="AN188">
        <v>2</v>
      </c>
      <c r="AO188">
        <v>1</v>
      </c>
      <c r="AP188">
        <v>20.2</v>
      </c>
      <c r="AQ188">
        <v>11.6</v>
      </c>
      <c r="AR188">
        <v>-0.1</v>
      </c>
      <c r="AS188">
        <v>1.4</v>
      </c>
      <c r="AT188">
        <v>1.3</v>
      </c>
      <c r="AU188">
        <v>6.0999999999999999E-2</v>
      </c>
      <c r="AV188">
        <v>-3.4</v>
      </c>
      <c r="AW188">
        <v>1.6</v>
      </c>
      <c r="AX188">
        <v>-1.8</v>
      </c>
      <c r="AY188">
        <v>0</v>
      </c>
      <c r="AZ188">
        <f t="shared" si="4"/>
        <v>-0.25</v>
      </c>
      <c r="BA188">
        <f t="shared" si="5"/>
        <v>-4.5383582035362885E-2</v>
      </c>
    </row>
    <row r="189" spans="1:53" hidden="1" x14ac:dyDescent="0.25">
      <c r="A189" t="s">
        <v>272</v>
      </c>
      <c r="B189" s="2">
        <v>5461219</v>
      </c>
      <c r="C189" t="s">
        <v>75</v>
      </c>
      <c r="D189">
        <v>35</v>
      </c>
      <c r="E189" t="s">
        <v>73</v>
      </c>
      <c r="F189">
        <v>42</v>
      </c>
      <c r="G189">
        <v>7</v>
      </c>
      <c r="H189">
        <v>8.5</v>
      </c>
      <c r="I189">
        <v>1.9</v>
      </c>
      <c r="J189">
        <v>3</v>
      </c>
      <c r="K189">
        <v>0.64</v>
      </c>
      <c r="L189">
        <v>0</v>
      </c>
      <c r="M189">
        <v>0.1</v>
      </c>
      <c r="N189">
        <v>0.4</v>
      </c>
      <c r="O189">
        <v>1.9</v>
      </c>
      <c r="P189">
        <v>2.9</v>
      </c>
      <c r="Q189">
        <v>0.65</v>
      </c>
      <c r="R189">
        <v>0.64800000000000002</v>
      </c>
      <c r="S189">
        <v>0.6</v>
      </c>
      <c r="T189">
        <v>1</v>
      </c>
      <c r="U189">
        <v>0.58499999999999996</v>
      </c>
      <c r="V189">
        <v>0.7</v>
      </c>
      <c r="W189">
        <v>1.8</v>
      </c>
      <c r="X189">
        <v>2.5</v>
      </c>
      <c r="Y189">
        <v>0.3</v>
      </c>
      <c r="Z189">
        <v>0.1</v>
      </c>
      <c r="AA189">
        <v>0.6</v>
      </c>
      <c r="AB189">
        <v>0.9</v>
      </c>
      <c r="AC189">
        <v>1.3</v>
      </c>
      <c r="AD189">
        <v>4.4000000000000004</v>
      </c>
      <c r="AE189">
        <v>355</v>
      </c>
      <c r="AF189">
        <v>17.2</v>
      </c>
      <c r="AG189">
        <v>0.65</v>
      </c>
      <c r="AH189">
        <v>0.04</v>
      </c>
      <c r="AI189">
        <v>0.32800000000000001</v>
      </c>
      <c r="AJ189">
        <v>9.6999999999999993</v>
      </c>
      <c r="AK189">
        <v>25.5</v>
      </c>
      <c r="AL189">
        <v>17.5</v>
      </c>
      <c r="AM189">
        <v>5.2</v>
      </c>
      <c r="AN189">
        <v>0.6</v>
      </c>
      <c r="AO189">
        <v>6.5</v>
      </c>
      <c r="AP189">
        <v>20.100000000000001</v>
      </c>
      <c r="AQ189">
        <v>22.8</v>
      </c>
      <c r="AR189">
        <v>0.1</v>
      </c>
      <c r="AS189">
        <v>0.5</v>
      </c>
      <c r="AT189">
        <v>0.6</v>
      </c>
      <c r="AU189">
        <v>7.5999999999999998E-2</v>
      </c>
      <c r="AV189">
        <v>-3.6</v>
      </c>
      <c r="AW189">
        <v>-0.1</v>
      </c>
      <c r="AX189">
        <v>-3.7</v>
      </c>
      <c r="AY189">
        <v>-0.1</v>
      </c>
      <c r="AZ189">
        <f t="shared" si="4"/>
        <v>-1.55</v>
      </c>
      <c r="BA189">
        <f t="shared" si="5"/>
        <v>-0.28381941833865298</v>
      </c>
    </row>
    <row r="190" spans="1:53" hidden="1" x14ac:dyDescent="0.25">
      <c r="A190" t="s">
        <v>273</v>
      </c>
      <c r="B190" s="2">
        <v>5377520</v>
      </c>
      <c r="C190" t="s">
        <v>75</v>
      </c>
      <c r="D190">
        <v>23</v>
      </c>
      <c r="E190" t="s">
        <v>93</v>
      </c>
      <c r="F190">
        <v>38</v>
      </c>
      <c r="G190">
        <v>1</v>
      </c>
      <c r="H190">
        <v>12</v>
      </c>
      <c r="I190">
        <v>1.8</v>
      </c>
      <c r="J190">
        <v>3.3</v>
      </c>
      <c r="K190">
        <v>0.55200000000000005</v>
      </c>
      <c r="L190">
        <v>0.2</v>
      </c>
      <c r="M190">
        <v>0.7</v>
      </c>
      <c r="N190">
        <v>0.23100000000000001</v>
      </c>
      <c r="O190">
        <v>1.7</v>
      </c>
      <c r="P190">
        <v>2.6</v>
      </c>
      <c r="Q190">
        <v>0.63600000000000001</v>
      </c>
      <c r="R190">
        <v>0.57599999999999996</v>
      </c>
      <c r="S190">
        <v>0.6</v>
      </c>
      <c r="T190">
        <v>1.1000000000000001</v>
      </c>
      <c r="U190">
        <v>0.54800000000000004</v>
      </c>
      <c r="V190">
        <v>1.6</v>
      </c>
      <c r="W190">
        <v>2</v>
      </c>
      <c r="X190">
        <v>3.6</v>
      </c>
      <c r="Y190">
        <v>1</v>
      </c>
      <c r="Z190">
        <v>0.4</v>
      </c>
      <c r="AA190">
        <v>0.7</v>
      </c>
      <c r="AB190">
        <v>0.6</v>
      </c>
      <c r="AC190">
        <v>1.7</v>
      </c>
      <c r="AD190">
        <v>4.4000000000000004</v>
      </c>
      <c r="AE190">
        <v>457</v>
      </c>
      <c r="AF190">
        <v>17.100000000000001</v>
      </c>
      <c r="AG190">
        <v>0.58199999999999996</v>
      </c>
      <c r="AH190">
        <v>0.20799999999999999</v>
      </c>
      <c r="AI190">
        <v>0.33600000000000002</v>
      </c>
      <c r="AJ190">
        <v>15</v>
      </c>
      <c r="AK190">
        <v>18.7</v>
      </c>
      <c r="AL190">
        <v>16.8</v>
      </c>
      <c r="AM190">
        <v>12.1</v>
      </c>
      <c r="AN190">
        <v>1.7</v>
      </c>
      <c r="AO190">
        <v>5.3</v>
      </c>
      <c r="AP190">
        <v>13.3</v>
      </c>
      <c r="AQ190">
        <v>15.4</v>
      </c>
      <c r="AR190">
        <v>0.8</v>
      </c>
      <c r="AS190">
        <v>0.6</v>
      </c>
      <c r="AT190">
        <v>1.3</v>
      </c>
      <c r="AU190">
        <v>0.14099999999999999</v>
      </c>
      <c r="AV190">
        <v>-0.8</v>
      </c>
      <c r="AW190">
        <v>1.1000000000000001</v>
      </c>
      <c r="AX190">
        <v>0.3</v>
      </c>
      <c r="AY190">
        <v>0.3</v>
      </c>
      <c r="AZ190">
        <f t="shared" si="4"/>
        <v>0.8</v>
      </c>
      <c r="BA190">
        <f t="shared" si="5"/>
        <v>0.14876746158080303</v>
      </c>
    </row>
    <row r="191" spans="1:53" x14ac:dyDescent="0.25">
      <c r="A191" t="s">
        <v>274</v>
      </c>
      <c r="B191" s="2">
        <v>5348280</v>
      </c>
      <c r="C191" t="s">
        <v>28</v>
      </c>
      <c r="D191">
        <v>24</v>
      </c>
      <c r="E191" t="s">
        <v>123</v>
      </c>
      <c r="F191">
        <v>67</v>
      </c>
      <c r="G191">
        <v>5</v>
      </c>
      <c r="H191">
        <v>15.7</v>
      </c>
      <c r="I191">
        <v>2.8</v>
      </c>
      <c r="J191">
        <v>6.3</v>
      </c>
      <c r="K191">
        <v>0.44600000000000001</v>
      </c>
      <c r="L191">
        <v>1.3</v>
      </c>
      <c r="M191">
        <v>3.7</v>
      </c>
      <c r="N191">
        <v>0.34399999999999997</v>
      </c>
      <c r="O191">
        <v>1.5</v>
      </c>
      <c r="P191">
        <v>2.6</v>
      </c>
      <c r="Q191">
        <v>0.59299999999999997</v>
      </c>
      <c r="R191">
        <v>0.54800000000000004</v>
      </c>
      <c r="S191">
        <v>0.6</v>
      </c>
      <c r="T191">
        <v>0.7</v>
      </c>
      <c r="U191">
        <v>0.80900000000000005</v>
      </c>
      <c r="V191">
        <v>0.4</v>
      </c>
      <c r="W191">
        <v>2.4</v>
      </c>
      <c r="X191">
        <v>2.8</v>
      </c>
      <c r="Y191">
        <v>1</v>
      </c>
      <c r="Z191">
        <v>0.3</v>
      </c>
      <c r="AA191">
        <v>0.2</v>
      </c>
      <c r="AB191">
        <v>0.6</v>
      </c>
      <c r="AC191">
        <v>1</v>
      </c>
      <c r="AD191">
        <v>7.4</v>
      </c>
      <c r="AE191">
        <v>1050</v>
      </c>
      <c r="AF191">
        <v>13.6</v>
      </c>
      <c r="AG191">
        <v>0.56499999999999995</v>
      </c>
      <c r="AH191">
        <v>0.58899999999999997</v>
      </c>
      <c r="AI191">
        <v>0.112</v>
      </c>
      <c r="AJ191">
        <v>3</v>
      </c>
      <c r="AK191">
        <v>16.600000000000001</v>
      </c>
      <c r="AL191">
        <v>9.8000000000000007</v>
      </c>
      <c r="AM191">
        <v>9.1999999999999993</v>
      </c>
      <c r="AN191">
        <v>1.1000000000000001</v>
      </c>
      <c r="AO191">
        <v>1.1000000000000001</v>
      </c>
      <c r="AP191">
        <v>8</v>
      </c>
      <c r="AQ191">
        <v>19.5</v>
      </c>
      <c r="AR191">
        <v>1.1000000000000001</v>
      </c>
      <c r="AS191">
        <v>1</v>
      </c>
      <c r="AT191">
        <v>2.1</v>
      </c>
      <c r="AU191">
        <v>9.5000000000000001E-2</v>
      </c>
      <c r="AV191">
        <v>0.3</v>
      </c>
      <c r="AW191">
        <v>-0.8</v>
      </c>
      <c r="AX191">
        <v>-0.5</v>
      </c>
      <c r="AY191">
        <v>0.4</v>
      </c>
      <c r="AZ191" s="8">
        <f t="shared" si="4"/>
        <v>0.8</v>
      </c>
      <c r="BA191" s="8">
        <f t="shared" si="5"/>
        <v>0.14958079980853659</v>
      </c>
    </row>
    <row r="192" spans="1:53" x14ac:dyDescent="0.25">
      <c r="A192" t="s">
        <v>275</v>
      </c>
      <c r="B192" s="2">
        <v>5258280</v>
      </c>
      <c r="C192" t="s">
        <v>65</v>
      </c>
      <c r="D192">
        <v>21</v>
      </c>
      <c r="E192" t="s">
        <v>152</v>
      </c>
      <c r="F192">
        <v>80</v>
      </c>
      <c r="G192">
        <v>80</v>
      </c>
      <c r="H192">
        <v>32.6</v>
      </c>
      <c r="I192">
        <v>6.8</v>
      </c>
      <c r="J192">
        <v>14</v>
      </c>
      <c r="K192">
        <v>0.48499999999999999</v>
      </c>
      <c r="L192">
        <v>1.6</v>
      </c>
      <c r="M192">
        <v>4.5</v>
      </c>
      <c r="N192">
        <v>0.36099999999999999</v>
      </c>
      <c r="O192">
        <v>5.2</v>
      </c>
      <c r="P192">
        <v>9.5</v>
      </c>
      <c r="Q192">
        <v>0.54400000000000004</v>
      </c>
      <c r="R192">
        <v>0.54300000000000004</v>
      </c>
      <c r="S192">
        <v>3.4</v>
      </c>
      <c r="T192">
        <v>4</v>
      </c>
      <c r="U192">
        <v>0.84199999999999997</v>
      </c>
      <c r="V192">
        <v>0.9</v>
      </c>
      <c r="W192">
        <v>3.2</v>
      </c>
      <c r="X192">
        <v>4.0999999999999996</v>
      </c>
      <c r="Y192">
        <v>3.5</v>
      </c>
      <c r="Z192">
        <v>1</v>
      </c>
      <c r="AA192">
        <v>0.2</v>
      </c>
      <c r="AB192">
        <v>2.1</v>
      </c>
      <c r="AC192">
        <v>2.2999999999999998</v>
      </c>
      <c r="AD192">
        <v>18.600000000000001</v>
      </c>
      <c r="AE192">
        <v>2609</v>
      </c>
      <c r="AF192">
        <v>15.9</v>
      </c>
      <c r="AG192">
        <v>0.58899999999999997</v>
      </c>
      <c r="AH192">
        <v>0.32200000000000001</v>
      </c>
      <c r="AI192">
        <v>0.28799999999999998</v>
      </c>
      <c r="AJ192">
        <v>3</v>
      </c>
      <c r="AK192">
        <v>11.2</v>
      </c>
      <c r="AL192">
        <v>7.1</v>
      </c>
      <c r="AM192">
        <v>17.2</v>
      </c>
      <c r="AN192">
        <v>1.4</v>
      </c>
      <c r="AO192">
        <v>0.6</v>
      </c>
      <c r="AP192">
        <v>11.7</v>
      </c>
      <c r="AQ192">
        <v>23.5</v>
      </c>
      <c r="AR192">
        <v>3.1</v>
      </c>
      <c r="AS192">
        <v>2.2999999999999998</v>
      </c>
      <c r="AT192">
        <v>5.4</v>
      </c>
      <c r="AU192">
        <v>9.9000000000000005E-2</v>
      </c>
      <c r="AV192">
        <v>0.4</v>
      </c>
      <c r="AW192">
        <v>-0.5</v>
      </c>
      <c r="AX192">
        <v>-0.1</v>
      </c>
      <c r="AY192">
        <v>1.3</v>
      </c>
      <c r="AZ192" s="8">
        <f t="shared" si="4"/>
        <v>2.6500000000000004</v>
      </c>
      <c r="BA192" s="8">
        <f t="shared" si="5"/>
        <v>0.50396707668667329</v>
      </c>
    </row>
    <row r="193" spans="1:53" hidden="1" x14ac:dyDescent="0.25">
      <c r="A193" t="s">
        <v>276</v>
      </c>
      <c r="B193" s="2">
        <v>5250000</v>
      </c>
      <c r="C193" t="s">
        <v>62</v>
      </c>
      <c r="D193">
        <v>27</v>
      </c>
      <c r="E193" t="s">
        <v>63</v>
      </c>
      <c r="F193">
        <v>70</v>
      </c>
      <c r="G193">
        <v>2</v>
      </c>
      <c r="H193">
        <v>13.8</v>
      </c>
      <c r="I193">
        <v>2.7</v>
      </c>
      <c r="J193">
        <v>6.4</v>
      </c>
      <c r="K193">
        <v>0.42399999999999999</v>
      </c>
      <c r="L193">
        <v>1.1000000000000001</v>
      </c>
      <c r="M193">
        <v>3.2</v>
      </c>
      <c r="N193">
        <v>0.35399999999999998</v>
      </c>
      <c r="O193">
        <v>1.6</v>
      </c>
      <c r="P193">
        <v>3.2</v>
      </c>
      <c r="Q193">
        <v>0.49299999999999999</v>
      </c>
      <c r="R193">
        <v>0.51200000000000001</v>
      </c>
      <c r="S193">
        <v>0.5</v>
      </c>
      <c r="T193">
        <v>0.6</v>
      </c>
      <c r="U193">
        <v>0.85399999999999998</v>
      </c>
      <c r="V193">
        <v>0.2</v>
      </c>
      <c r="W193">
        <v>1.3</v>
      </c>
      <c r="X193">
        <v>1.6</v>
      </c>
      <c r="Y193">
        <v>1.3</v>
      </c>
      <c r="Z193">
        <v>0.4</v>
      </c>
      <c r="AA193">
        <v>0.1</v>
      </c>
      <c r="AB193">
        <v>0.9</v>
      </c>
      <c r="AC193">
        <v>0.9</v>
      </c>
      <c r="AD193">
        <v>7.1</v>
      </c>
      <c r="AE193">
        <v>964</v>
      </c>
      <c r="AF193">
        <v>11.1</v>
      </c>
      <c r="AG193">
        <v>0.53</v>
      </c>
      <c r="AH193">
        <v>0.496</v>
      </c>
      <c r="AI193">
        <v>9.0999999999999998E-2</v>
      </c>
      <c r="AJ193">
        <v>1.8</v>
      </c>
      <c r="AK193">
        <v>10.3</v>
      </c>
      <c r="AL193">
        <v>6.2</v>
      </c>
      <c r="AM193">
        <v>13.8</v>
      </c>
      <c r="AN193">
        <v>1.4</v>
      </c>
      <c r="AO193">
        <v>0.6</v>
      </c>
      <c r="AP193">
        <v>12.4</v>
      </c>
      <c r="AQ193">
        <v>23.7</v>
      </c>
      <c r="AR193">
        <v>-0.6</v>
      </c>
      <c r="AS193">
        <v>0.8</v>
      </c>
      <c r="AT193">
        <v>0.2</v>
      </c>
      <c r="AU193">
        <v>8.0000000000000002E-3</v>
      </c>
      <c r="AV193">
        <v>-2</v>
      </c>
      <c r="AW193">
        <v>-1.5</v>
      </c>
      <c r="AX193">
        <v>-3.5</v>
      </c>
      <c r="AY193">
        <v>-0.4</v>
      </c>
      <c r="AZ193">
        <f t="shared" si="4"/>
        <v>-1.65</v>
      </c>
      <c r="BA193">
        <f t="shared" si="5"/>
        <v>-0.31428571428571428</v>
      </c>
    </row>
    <row r="194" spans="1:53" hidden="1" x14ac:dyDescent="0.25">
      <c r="A194" t="s">
        <v>277</v>
      </c>
      <c r="B194" s="2">
        <v>5200000</v>
      </c>
      <c r="C194" t="s">
        <v>65</v>
      </c>
      <c r="D194">
        <v>24</v>
      </c>
      <c r="E194" t="s">
        <v>201</v>
      </c>
      <c r="F194">
        <v>56</v>
      </c>
      <c r="G194">
        <v>0</v>
      </c>
      <c r="H194">
        <v>17.8</v>
      </c>
      <c r="I194">
        <v>3.8</v>
      </c>
      <c r="J194">
        <v>6.7</v>
      </c>
      <c r="K194">
        <v>0.57299999999999995</v>
      </c>
      <c r="L194">
        <v>0.1</v>
      </c>
      <c r="M194">
        <v>0.4</v>
      </c>
      <c r="N194">
        <v>0.23799999999999999</v>
      </c>
      <c r="O194">
        <v>3.8</v>
      </c>
      <c r="P194">
        <v>6.3</v>
      </c>
      <c r="Q194">
        <v>0.59299999999999997</v>
      </c>
      <c r="R194">
        <v>0.57999999999999996</v>
      </c>
      <c r="S194">
        <v>1.6</v>
      </c>
      <c r="T194">
        <v>2.6</v>
      </c>
      <c r="U194">
        <v>0.58799999999999997</v>
      </c>
      <c r="V194">
        <v>1</v>
      </c>
      <c r="W194">
        <v>2.4</v>
      </c>
      <c r="X194">
        <v>3.5</v>
      </c>
      <c r="Y194">
        <v>1</v>
      </c>
      <c r="Z194">
        <v>0.9</v>
      </c>
      <c r="AA194">
        <v>0.3</v>
      </c>
      <c r="AB194">
        <v>1.3</v>
      </c>
      <c r="AC194">
        <v>2.2000000000000002</v>
      </c>
      <c r="AD194">
        <v>9.3000000000000007</v>
      </c>
      <c r="AE194">
        <v>996</v>
      </c>
      <c r="AF194">
        <v>15.7</v>
      </c>
      <c r="AG194">
        <v>0.59299999999999997</v>
      </c>
      <c r="AH194">
        <v>5.6000000000000001E-2</v>
      </c>
      <c r="AI194">
        <v>0.39500000000000002</v>
      </c>
      <c r="AJ194">
        <v>6.2</v>
      </c>
      <c r="AK194">
        <v>15.7</v>
      </c>
      <c r="AL194">
        <v>10.8</v>
      </c>
      <c r="AM194">
        <v>9.1999999999999993</v>
      </c>
      <c r="AN194">
        <v>2.6</v>
      </c>
      <c r="AO194">
        <v>1.4</v>
      </c>
      <c r="AP194">
        <v>13.9</v>
      </c>
      <c r="AQ194">
        <v>21.8</v>
      </c>
      <c r="AR194">
        <v>0.4</v>
      </c>
      <c r="AS194">
        <v>0.9</v>
      </c>
      <c r="AT194">
        <v>1.3</v>
      </c>
      <c r="AU194">
        <v>6.3E-2</v>
      </c>
      <c r="AV194">
        <v>-1.8</v>
      </c>
      <c r="AW194">
        <v>0.4</v>
      </c>
      <c r="AX194">
        <v>-1.4</v>
      </c>
      <c r="AY194">
        <v>0.1</v>
      </c>
      <c r="AZ194">
        <f t="shared" si="4"/>
        <v>-4.9999999999999933E-2</v>
      </c>
      <c r="BA194">
        <f t="shared" si="5"/>
        <v>-9.615384615384602E-3</v>
      </c>
    </row>
    <row r="195" spans="1:53" x14ac:dyDescent="0.25">
      <c r="A195" t="s">
        <v>278</v>
      </c>
      <c r="B195" s="2">
        <v>5155500</v>
      </c>
      <c r="C195" t="s">
        <v>52</v>
      </c>
      <c r="D195">
        <v>31</v>
      </c>
      <c r="E195" t="s">
        <v>201</v>
      </c>
      <c r="F195">
        <v>62</v>
      </c>
      <c r="G195">
        <v>2</v>
      </c>
      <c r="H195">
        <v>19.8</v>
      </c>
      <c r="I195">
        <v>2.4</v>
      </c>
      <c r="J195">
        <v>5.7</v>
      </c>
      <c r="K195">
        <v>0.42699999999999999</v>
      </c>
      <c r="L195">
        <v>1.1000000000000001</v>
      </c>
      <c r="M195">
        <v>2.9</v>
      </c>
      <c r="N195">
        <v>0.38900000000000001</v>
      </c>
      <c r="O195">
        <v>1.3</v>
      </c>
      <c r="P195">
        <v>2.8</v>
      </c>
      <c r="Q195">
        <v>0.46800000000000003</v>
      </c>
      <c r="R195">
        <v>0.52700000000000002</v>
      </c>
      <c r="S195">
        <v>0.9</v>
      </c>
      <c r="T195">
        <v>1.2</v>
      </c>
      <c r="U195">
        <v>0.79200000000000004</v>
      </c>
      <c r="V195">
        <v>0.3</v>
      </c>
      <c r="W195">
        <v>1.4</v>
      </c>
      <c r="X195">
        <v>1.7</v>
      </c>
      <c r="Y195">
        <v>3.5</v>
      </c>
      <c r="Z195">
        <v>0.5</v>
      </c>
      <c r="AA195">
        <v>0.1</v>
      </c>
      <c r="AB195">
        <v>0.9</v>
      </c>
      <c r="AC195">
        <v>1.4</v>
      </c>
      <c r="AD195">
        <v>6.9</v>
      </c>
      <c r="AE195">
        <v>1227</v>
      </c>
      <c r="AF195">
        <v>12.1</v>
      </c>
      <c r="AG195">
        <v>0.55800000000000005</v>
      </c>
      <c r="AH195">
        <v>0.51300000000000001</v>
      </c>
      <c r="AI195">
        <v>0.20499999999999999</v>
      </c>
      <c r="AJ195">
        <v>1.8</v>
      </c>
      <c r="AK195">
        <v>7.9</v>
      </c>
      <c r="AL195">
        <v>4.8</v>
      </c>
      <c r="AM195">
        <v>25.4</v>
      </c>
      <c r="AN195">
        <v>1.3</v>
      </c>
      <c r="AO195">
        <v>0.6</v>
      </c>
      <c r="AP195">
        <v>12.8</v>
      </c>
      <c r="AQ195">
        <v>15.2</v>
      </c>
      <c r="AR195">
        <v>1.5</v>
      </c>
      <c r="AS195">
        <v>0.3</v>
      </c>
      <c r="AT195">
        <v>1.8</v>
      </c>
      <c r="AU195">
        <v>7.0000000000000007E-2</v>
      </c>
      <c r="AV195">
        <v>-0.7</v>
      </c>
      <c r="AW195">
        <v>-0.8</v>
      </c>
      <c r="AX195">
        <v>-1.5</v>
      </c>
      <c r="AY195">
        <v>0.2</v>
      </c>
      <c r="AZ195" s="8">
        <f t="shared" ref="AZ195:AZ258" si="6">0.5*AX195 + 0.5*AT195</f>
        <v>0.15000000000000002</v>
      </c>
      <c r="BA195" s="8">
        <f t="shared" ref="BA195:BA258" si="7">IF(B195&gt;0, AZ195*1000000/B195, 0)</f>
        <v>2.9095141111434394E-2</v>
      </c>
    </row>
    <row r="196" spans="1:53" hidden="1" x14ac:dyDescent="0.25">
      <c r="A196" t="s">
        <v>279</v>
      </c>
      <c r="B196" s="2">
        <v>5155500</v>
      </c>
      <c r="C196" t="s">
        <v>62</v>
      </c>
      <c r="D196">
        <v>36</v>
      </c>
      <c r="E196" t="s">
        <v>100</v>
      </c>
      <c r="F196">
        <v>25</v>
      </c>
      <c r="G196">
        <v>0</v>
      </c>
      <c r="H196">
        <v>6.5</v>
      </c>
      <c r="I196">
        <v>0.7</v>
      </c>
      <c r="J196">
        <v>1.8</v>
      </c>
      <c r="K196">
        <v>0.4</v>
      </c>
      <c r="L196">
        <v>0.4</v>
      </c>
      <c r="M196">
        <v>1</v>
      </c>
      <c r="N196">
        <v>0.42299999999999999</v>
      </c>
      <c r="O196">
        <v>0.3</v>
      </c>
      <c r="P196">
        <v>0.8</v>
      </c>
      <c r="Q196">
        <v>0.36799999999999999</v>
      </c>
      <c r="R196">
        <v>0.52200000000000002</v>
      </c>
      <c r="S196">
        <v>0.1</v>
      </c>
      <c r="T196">
        <v>0.2</v>
      </c>
      <c r="U196">
        <v>0.75</v>
      </c>
      <c r="V196">
        <v>0.2</v>
      </c>
      <c r="W196">
        <v>0.5</v>
      </c>
      <c r="X196">
        <v>0.7</v>
      </c>
      <c r="Y196">
        <v>0.5</v>
      </c>
      <c r="Z196">
        <v>0.4</v>
      </c>
      <c r="AA196">
        <v>0.1</v>
      </c>
      <c r="AB196">
        <v>0.2</v>
      </c>
      <c r="AC196">
        <v>0.6</v>
      </c>
      <c r="AD196">
        <v>2</v>
      </c>
      <c r="AE196">
        <v>162</v>
      </c>
      <c r="AF196">
        <v>10.5</v>
      </c>
      <c r="AG196">
        <v>0.53500000000000003</v>
      </c>
      <c r="AH196">
        <v>0.57799999999999996</v>
      </c>
      <c r="AI196">
        <v>8.8999999999999996E-2</v>
      </c>
      <c r="AJ196">
        <v>3.5</v>
      </c>
      <c r="AK196">
        <v>8.4</v>
      </c>
      <c r="AL196">
        <v>5.9</v>
      </c>
      <c r="AM196">
        <v>10.6</v>
      </c>
      <c r="AN196">
        <v>2.7</v>
      </c>
      <c r="AO196">
        <v>1.2</v>
      </c>
      <c r="AP196">
        <v>7.9</v>
      </c>
      <c r="AQ196">
        <v>13.4</v>
      </c>
      <c r="AR196">
        <v>0.1</v>
      </c>
      <c r="AS196">
        <v>0.2</v>
      </c>
      <c r="AT196">
        <v>0.3</v>
      </c>
      <c r="AU196">
        <v>9.4E-2</v>
      </c>
      <c r="AV196">
        <v>-2.5</v>
      </c>
      <c r="AW196">
        <v>1.6</v>
      </c>
      <c r="AX196">
        <v>-1</v>
      </c>
      <c r="AY196">
        <v>0</v>
      </c>
      <c r="AZ196">
        <f t="shared" si="6"/>
        <v>-0.35</v>
      </c>
      <c r="BA196">
        <f t="shared" si="7"/>
        <v>-6.7888662593346916E-2</v>
      </c>
    </row>
    <row r="197" spans="1:53" x14ac:dyDescent="0.25">
      <c r="A197" t="s">
        <v>280</v>
      </c>
      <c r="B197" s="2">
        <v>5121951</v>
      </c>
      <c r="C197" t="s">
        <v>28</v>
      </c>
      <c r="D197">
        <v>32</v>
      </c>
      <c r="E197" t="s">
        <v>60</v>
      </c>
      <c r="F197">
        <v>79</v>
      </c>
      <c r="G197">
        <v>60</v>
      </c>
      <c r="H197">
        <v>24.7</v>
      </c>
      <c r="I197">
        <v>2.9</v>
      </c>
      <c r="J197">
        <v>6.3</v>
      </c>
      <c r="K197">
        <v>0.45600000000000002</v>
      </c>
      <c r="L197">
        <v>1.3</v>
      </c>
      <c r="M197">
        <v>3.2</v>
      </c>
      <c r="N197">
        <v>0.39500000000000002</v>
      </c>
      <c r="O197">
        <v>1.6</v>
      </c>
      <c r="P197">
        <v>3.1</v>
      </c>
      <c r="Q197">
        <v>0.51800000000000002</v>
      </c>
      <c r="R197">
        <v>0.55600000000000005</v>
      </c>
      <c r="S197">
        <v>0.4</v>
      </c>
      <c r="T197">
        <v>0.6</v>
      </c>
      <c r="U197">
        <v>0.71099999999999997</v>
      </c>
      <c r="V197">
        <v>1.8</v>
      </c>
      <c r="W197">
        <v>3.6</v>
      </c>
      <c r="X197">
        <v>5.4</v>
      </c>
      <c r="Y197">
        <v>1.5</v>
      </c>
      <c r="Z197">
        <v>0.6</v>
      </c>
      <c r="AA197">
        <v>0.8</v>
      </c>
      <c r="AB197">
        <v>0.9</v>
      </c>
      <c r="AC197">
        <v>2.2999999999999998</v>
      </c>
      <c r="AD197">
        <v>7.4</v>
      </c>
      <c r="AE197">
        <v>1948</v>
      </c>
      <c r="AF197">
        <v>11.6</v>
      </c>
      <c r="AG197">
        <v>0.56599999999999995</v>
      </c>
      <c r="AH197">
        <v>0.50600000000000001</v>
      </c>
      <c r="AI197">
        <v>0.09</v>
      </c>
      <c r="AJ197">
        <v>8.1</v>
      </c>
      <c r="AK197">
        <v>16.3</v>
      </c>
      <c r="AL197">
        <v>12.1</v>
      </c>
      <c r="AM197">
        <v>7.9</v>
      </c>
      <c r="AN197">
        <v>1.3</v>
      </c>
      <c r="AO197">
        <v>2.9</v>
      </c>
      <c r="AP197">
        <v>12.3</v>
      </c>
      <c r="AQ197">
        <v>13</v>
      </c>
      <c r="AR197">
        <v>1.5</v>
      </c>
      <c r="AS197">
        <v>2.5</v>
      </c>
      <c r="AT197">
        <v>4</v>
      </c>
      <c r="AU197">
        <v>9.8000000000000004E-2</v>
      </c>
      <c r="AV197">
        <v>-1.3</v>
      </c>
      <c r="AW197">
        <v>0.7</v>
      </c>
      <c r="AX197">
        <v>-0.6</v>
      </c>
      <c r="AY197">
        <v>0.7</v>
      </c>
      <c r="AZ197" s="8">
        <f t="shared" si="6"/>
        <v>1.7</v>
      </c>
      <c r="BA197" s="8">
        <f t="shared" si="7"/>
        <v>0.33190477612925229</v>
      </c>
    </row>
    <row r="198" spans="1:53" hidden="1" x14ac:dyDescent="0.25">
      <c r="A198" t="s">
        <v>281</v>
      </c>
      <c r="B198" s="2">
        <v>5063520</v>
      </c>
      <c r="C198" t="s">
        <v>28</v>
      </c>
      <c r="D198">
        <v>19</v>
      </c>
      <c r="E198" t="s">
        <v>175</v>
      </c>
      <c r="F198">
        <v>56</v>
      </c>
      <c r="G198">
        <v>53</v>
      </c>
      <c r="H198">
        <v>26</v>
      </c>
      <c r="I198">
        <v>4.5</v>
      </c>
      <c r="J198">
        <v>9.9</v>
      </c>
      <c r="K198">
        <v>0.45300000000000001</v>
      </c>
      <c r="L198">
        <v>0.6</v>
      </c>
      <c r="M198">
        <v>2.4</v>
      </c>
      <c r="N198">
        <v>0.246</v>
      </c>
      <c r="O198">
        <v>3.9</v>
      </c>
      <c r="P198">
        <v>7.5</v>
      </c>
      <c r="Q198">
        <v>0.51900000000000002</v>
      </c>
      <c r="R198">
        <v>0.48299999999999998</v>
      </c>
      <c r="S198">
        <v>1.4</v>
      </c>
      <c r="T198">
        <v>2.1</v>
      </c>
      <c r="U198">
        <v>0.69799999999999995</v>
      </c>
      <c r="V198">
        <v>1.7</v>
      </c>
      <c r="W198">
        <v>3.6</v>
      </c>
      <c r="X198">
        <v>5.3</v>
      </c>
      <c r="Y198">
        <v>2.5</v>
      </c>
      <c r="Z198">
        <v>0.8</v>
      </c>
      <c r="AA198">
        <v>0.4</v>
      </c>
      <c r="AB198">
        <v>1.7</v>
      </c>
      <c r="AC198">
        <v>2.5</v>
      </c>
      <c r="AD198">
        <v>11</v>
      </c>
      <c r="AE198">
        <v>1458</v>
      </c>
      <c r="AF198">
        <v>11.4</v>
      </c>
      <c r="AG198">
        <v>0.50900000000000001</v>
      </c>
      <c r="AH198">
        <v>0.24299999999999999</v>
      </c>
      <c r="AI198">
        <v>0.21</v>
      </c>
      <c r="AJ198">
        <v>6.9</v>
      </c>
      <c r="AK198">
        <v>15.6</v>
      </c>
      <c r="AL198">
        <v>11</v>
      </c>
      <c r="AM198">
        <v>13.6</v>
      </c>
      <c r="AN198">
        <v>1.4</v>
      </c>
      <c r="AO198">
        <v>1.3</v>
      </c>
      <c r="AP198">
        <v>13.9</v>
      </c>
      <c r="AQ198">
        <v>19.8</v>
      </c>
      <c r="AR198">
        <v>-0.5</v>
      </c>
      <c r="AS198">
        <v>0.7</v>
      </c>
      <c r="AT198">
        <v>0.2</v>
      </c>
      <c r="AU198">
        <v>5.0000000000000001E-3</v>
      </c>
      <c r="AV198">
        <v>-2.8</v>
      </c>
      <c r="AW198">
        <v>-1.2</v>
      </c>
      <c r="AX198">
        <v>-4</v>
      </c>
      <c r="AY198">
        <v>-0.7</v>
      </c>
      <c r="AZ198">
        <f t="shared" si="6"/>
        <v>-1.9</v>
      </c>
      <c r="BA198">
        <f t="shared" si="7"/>
        <v>-0.37523303946661613</v>
      </c>
    </row>
    <row r="199" spans="1:53" hidden="1" x14ac:dyDescent="0.25">
      <c r="A199" t="s">
        <v>282</v>
      </c>
      <c r="B199" s="2">
        <v>5009633</v>
      </c>
      <c r="C199" t="s">
        <v>62</v>
      </c>
      <c r="D199">
        <v>24</v>
      </c>
      <c r="E199" t="s">
        <v>130</v>
      </c>
      <c r="F199">
        <v>59</v>
      </c>
      <c r="G199">
        <v>3</v>
      </c>
      <c r="H199">
        <v>15</v>
      </c>
      <c r="I199">
        <v>2.2000000000000002</v>
      </c>
      <c r="J199">
        <v>5</v>
      </c>
      <c r="K199">
        <v>0.44400000000000001</v>
      </c>
      <c r="L199">
        <v>1</v>
      </c>
      <c r="M199">
        <v>2.7</v>
      </c>
      <c r="N199">
        <v>0.38400000000000001</v>
      </c>
      <c r="O199">
        <v>1.2</v>
      </c>
      <c r="P199">
        <v>2.2999999999999998</v>
      </c>
      <c r="Q199">
        <v>0.51500000000000001</v>
      </c>
      <c r="R199">
        <v>0.54700000000000004</v>
      </c>
      <c r="S199">
        <v>0.7</v>
      </c>
      <c r="T199">
        <v>1</v>
      </c>
      <c r="U199">
        <v>0.66700000000000004</v>
      </c>
      <c r="V199">
        <v>0.3</v>
      </c>
      <c r="W199">
        <v>1.5</v>
      </c>
      <c r="X199">
        <v>1.7</v>
      </c>
      <c r="Y199">
        <v>1.8</v>
      </c>
      <c r="Z199">
        <v>0.5</v>
      </c>
      <c r="AA199">
        <v>0.4</v>
      </c>
      <c r="AB199">
        <v>0.9</v>
      </c>
      <c r="AC199">
        <v>1.5</v>
      </c>
      <c r="AD199">
        <v>6.2</v>
      </c>
      <c r="AE199">
        <v>884</v>
      </c>
      <c r="AF199">
        <v>11.6</v>
      </c>
      <c r="AG199">
        <v>0.56499999999999995</v>
      </c>
      <c r="AH199">
        <v>0.53900000000000003</v>
      </c>
      <c r="AI199">
        <v>0.20300000000000001</v>
      </c>
      <c r="AJ199">
        <v>1.9</v>
      </c>
      <c r="AK199">
        <v>10.5</v>
      </c>
      <c r="AL199">
        <v>6.3</v>
      </c>
      <c r="AM199">
        <v>16.7</v>
      </c>
      <c r="AN199">
        <v>1.7</v>
      </c>
      <c r="AO199">
        <v>2</v>
      </c>
      <c r="AP199">
        <v>14.6</v>
      </c>
      <c r="AQ199">
        <v>17.899999999999999</v>
      </c>
      <c r="AR199">
        <v>0.3</v>
      </c>
      <c r="AS199">
        <v>0.8</v>
      </c>
      <c r="AT199">
        <v>1.1000000000000001</v>
      </c>
      <c r="AU199">
        <v>6.2E-2</v>
      </c>
      <c r="AV199">
        <v>-1.4</v>
      </c>
      <c r="AW199">
        <v>0.4</v>
      </c>
      <c r="AX199">
        <v>-0.9</v>
      </c>
      <c r="AY199">
        <v>0.2</v>
      </c>
      <c r="AZ199">
        <f t="shared" si="6"/>
        <v>0.10000000000000003</v>
      </c>
      <c r="BA199">
        <f t="shared" si="7"/>
        <v>1.9961542093003624E-2</v>
      </c>
    </row>
    <row r="200" spans="1:53" hidden="1" x14ac:dyDescent="0.25">
      <c r="A200" t="s">
        <v>283</v>
      </c>
      <c r="B200" s="2">
        <v>5000000</v>
      </c>
      <c r="C200" t="s">
        <v>62</v>
      </c>
      <c r="D200">
        <v>25</v>
      </c>
      <c r="E200" t="s">
        <v>82</v>
      </c>
      <c r="F200">
        <v>37</v>
      </c>
      <c r="G200">
        <v>0</v>
      </c>
      <c r="H200">
        <v>9.5</v>
      </c>
      <c r="I200">
        <v>1.3</v>
      </c>
      <c r="J200">
        <v>3</v>
      </c>
      <c r="K200">
        <v>0.432</v>
      </c>
      <c r="L200">
        <v>0.5</v>
      </c>
      <c r="M200">
        <v>1.2</v>
      </c>
      <c r="N200">
        <v>0.39100000000000001</v>
      </c>
      <c r="O200">
        <v>0.8</v>
      </c>
      <c r="P200">
        <v>1.8</v>
      </c>
      <c r="Q200">
        <v>0.46200000000000002</v>
      </c>
      <c r="R200">
        <v>0.51400000000000001</v>
      </c>
      <c r="S200">
        <v>0.7</v>
      </c>
      <c r="T200">
        <v>1</v>
      </c>
      <c r="U200">
        <v>0.72199999999999998</v>
      </c>
      <c r="V200">
        <v>0.2</v>
      </c>
      <c r="W200">
        <v>1</v>
      </c>
      <c r="X200">
        <v>1.1000000000000001</v>
      </c>
      <c r="Y200">
        <v>0.6</v>
      </c>
      <c r="Z200">
        <v>0.3</v>
      </c>
      <c r="AA200">
        <v>0.1</v>
      </c>
      <c r="AB200">
        <v>0.6</v>
      </c>
      <c r="AC200">
        <v>0.5</v>
      </c>
      <c r="AD200">
        <v>3.8</v>
      </c>
      <c r="AE200">
        <v>353</v>
      </c>
      <c r="AF200">
        <v>9.3000000000000007</v>
      </c>
      <c r="AG200">
        <v>0.55200000000000005</v>
      </c>
      <c r="AH200">
        <v>0.41399999999999998</v>
      </c>
      <c r="AI200">
        <v>0.32400000000000001</v>
      </c>
      <c r="AJ200">
        <v>2</v>
      </c>
      <c r="AK200">
        <v>11.8</v>
      </c>
      <c r="AL200">
        <v>7</v>
      </c>
      <c r="AM200">
        <v>8.8000000000000007</v>
      </c>
      <c r="AN200">
        <v>1.4</v>
      </c>
      <c r="AO200">
        <v>0.8</v>
      </c>
      <c r="AP200">
        <v>15.9</v>
      </c>
      <c r="AQ200">
        <v>19.100000000000001</v>
      </c>
      <c r="AR200">
        <v>-0.2</v>
      </c>
      <c r="AS200">
        <v>0.3</v>
      </c>
      <c r="AT200">
        <v>0.1</v>
      </c>
      <c r="AU200">
        <v>1.9E-2</v>
      </c>
      <c r="AV200">
        <v>-3.3</v>
      </c>
      <c r="AW200">
        <v>-1</v>
      </c>
      <c r="AX200">
        <v>-4.4000000000000004</v>
      </c>
      <c r="AY200">
        <v>-0.2</v>
      </c>
      <c r="AZ200">
        <f t="shared" si="6"/>
        <v>-2.1500000000000004</v>
      </c>
      <c r="BA200">
        <f t="shared" si="7"/>
        <v>-0.4300000000000001</v>
      </c>
    </row>
    <row r="201" spans="1:53" x14ac:dyDescent="0.25">
      <c r="A201" t="s">
        <v>284</v>
      </c>
      <c r="B201" s="2">
        <v>4916160</v>
      </c>
      <c r="C201" t="s">
        <v>65</v>
      </c>
      <c r="D201">
        <v>22</v>
      </c>
      <c r="E201" t="s">
        <v>63</v>
      </c>
      <c r="F201">
        <v>76</v>
      </c>
      <c r="G201">
        <v>40</v>
      </c>
      <c r="H201">
        <v>26.6</v>
      </c>
      <c r="I201">
        <v>3.3</v>
      </c>
      <c r="J201">
        <v>7.6</v>
      </c>
      <c r="K201">
        <v>0.437</v>
      </c>
      <c r="L201">
        <v>0.9</v>
      </c>
      <c r="M201">
        <v>3.1</v>
      </c>
      <c r="N201">
        <v>0.29699999999999999</v>
      </c>
      <c r="O201">
        <v>2.4</v>
      </c>
      <c r="P201">
        <v>4.5999999999999996</v>
      </c>
      <c r="Q201">
        <v>0.53</v>
      </c>
      <c r="R201">
        <v>0.497</v>
      </c>
      <c r="S201">
        <v>1.6</v>
      </c>
      <c r="T201">
        <v>2.2000000000000002</v>
      </c>
      <c r="U201">
        <v>0.73899999999999999</v>
      </c>
      <c r="V201">
        <v>1</v>
      </c>
      <c r="W201">
        <v>5.4</v>
      </c>
      <c r="X201">
        <v>6.4</v>
      </c>
      <c r="Y201">
        <v>2.8</v>
      </c>
      <c r="Z201">
        <v>0.9</v>
      </c>
      <c r="AA201">
        <v>0.4</v>
      </c>
      <c r="AB201">
        <v>1.6</v>
      </c>
      <c r="AC201">
        <v>2.8</v>
      </c>
      <c r="AD201">
        <v>9.1999999999999993</v>
      </c>
      <c r="AE201">
        <v>2020</v>
      </c>
      <c r="AF201">
        <v>11.2</v>
      </c>
      <c r="AG201">
        <v>0.53500000000000003</v>
      </c>
      <c r="AH201">
        <v>0.40100000000000002</v>
      </c>
      <c r="AI201">
        <v>0.28499999999999998</v>
      </c>
      <c r="AJ201">
        <v>4.2</v>
      </c>
      <c r="AK201">
        <v>21.9</v>
      </c>
      <c r="AL201">
        <v>13.4</v>
      </c>
      <c r="AM201">
        <v>13.9</v>
      </c>
      <c r="AN201">
        <v>1.6</v>
      </c>
      <c r="AO201">
        <v>1.2</v>
      </c>
      <c r="AP201">
        <v>15.9</v>
      </c>
      <c r="AQ201">
        <v>16.7</v>
      </c>
      <c r="AR201">
        <v>0</v>
      </c>
      <c r="AS201">
        <v>2.2999999999999998</v>
      </c>
      <c r="AT201">
        <v>2.2999999999999998</v>
      </c>
      <c r="AU201">
        <v>5.3999999999999999E-2</v>
      </c>
      <c r="AV201">
        <v>-2.8</v>
      </c>
      <c r="AW201">
        <v>0.5</v>
      </c>
      <c r="AX201">
        <v>-2.2999999999999998</v>
      </c>
      <c r="AY201">
        <v>-0.1</v>
      </c>
      <c r="AZ201" s="8">
        <f t="shared" si="6"/>
        <v>0</v>
      </c>
      <c r="BA201" s="8">
        <f t="shared" si="7"/>
        <v>0</v>
      </c>
    </row>
    <row r="202" spans="1:53" hidden="1" x14ac:dyDescent="0.25">
      <c r="A202" t="s">
        <v>285</v>
      </c>
      <c r="B202" s="2">
        <v>4833600</v>
      </c>
      <c r="C202" t="s">
        <v>52</v>
      </c>
      <c r="D202">
        <v>24</v>
      </c>
      <c r="E202" t="s">
        <v>116</v>
      </c>
      <c r="F202">
        <v>80</v>
      </c>
      <c r="G202">
        <v>9</v>
      </c>
      <c r="H202">
        <v>18.100000000000001</v>
      </c>
      <c r="I202">
        <v>2.2999999999999998</v>
      </c>
      <c r="J202">
        <v>5</v>
      </c>
      <c r="K202">
        <v>0.45400000000000001</v>
      </c>
      <c r="L202">
        <v>0.8</v>
      </c>
      <c r="M202">
        <v>2.5</v>
      </c>
      <c r="N202">
        <v>0.32</v>
      </c>
      <c r="O202">
        <v>1.5</v>
      </c>
      <c r="P202">
        <v>2.5</v>
      </c>
      <c r="Q202">
        <v>0.58399999999999996</v>
      </c>
      <c r="R202">
        <v>0.53300000000000003</v>
      </c>
      <c r="S202">
        <v>0.3</v>
      </c>
      <c r="T202">
        <v>0.4</v>
      </c>
      <c r="U202">
        <v>0.80600000000000005</v>
      </c>
      <c r="V202">
        <v>0.2</v>
      </c>
      <c r="W202">
        <v>1.1000000000000001</v>
      </c>
      <c r="X202">
        <v>1.3</v>
      </c>
      <c r="Y202">
        <v>2.2999999999999998</v>
      </c>
      <c r="Z202">
        <v>0.6</v>
      </c>
      <c r="AA202">
        <v>0.2</v>
      </c>
      <c r="AB202">
        <v>0.8</v>
      </c>
      <c r="AC202">
        <v>1.4</v>
      </c>
      <c r="AD202">
        <v>5.6</v>
      </c>
      <c r="AE202">
        <v>1447</v>
      </c>
      <c r="AF202">
        <v>9.4</v>
      </c>
      <c r="AG202">
        <v>0.54500000000000004</v>
      </c>
      <c r="AH202">
        <v>0.49399999999999999</v>
      </c>
      <c r="AI202">
        <v>7.8E-2</v>
      </c>
      <c r="AJ202">
        <v>1.3</v>
      </c>
      <c r="AK202">
        <v>7</v>
      </c>
      <c r="AL202">
        <v>4.0999999999999996</v>
      </c>
      <c r="AM202">
        <v>16.5</v>
      </c>
      <c r="AN202">
        <v>1.5</v>
      </c>
      <c r="AO202">
        <v>0.9</v>
      </c>
      <c r="AP202">
        <v>13.1</v>
      </c>
      <c r="AQ202">
        <v>14.1</v>
      </c>
      <c r="AR202">
        <v>0.7</v>
      </c>
      <c r="AS202">
        <v>0.8</v>
      </c>
      <c r="AT202">
        <v>1.5</v>
      </c>
      <c r="AU202">
        <v>0.05</v>
      </c>
      <c r="AV202">
        <v>-2.4</v>
      </c>
      <c r="AW202">
        <v>-0.4</v>
      </c>
      <c r="AX202">
        <v>-2.8</v>
      </c>
      <c r="AY202">
        <v>-0.3</v>
      </c>
      <c r="AZ202">
        <f t="shared" si="6"/>
        <v>-0.64999999999999991</v>
      </c>
      <c r="BA202">
        <f t="shared" si="7"/>
        <v>-0.13447533929162528</v>
      </c>
    </row>
    <row r="203" spans="1:53" hidden="1" x14ac:dyDescent="0.25">
      <c r="A203" t="s">
        <v>286</v>
      </c>
      <c r="B203" s="2">
        <v>4810320</v>
      </c>
      <c r="C203" t="s">
        <v>62</v>
      </c>
      <c r="D203">
        <v>20</v>
      </c>
      <c r="E203" t="s">
        <v>63</v>
      </c>
      <c r="F203">
        <v>28</v>
      </c>
      <c r="G203">
        <v>5</v>
      </c>
      <c r="H203">
        <v>15.1</v>
      </c>
      <c r="I203">
        <v>2.4</v>
      </c>
      <c r="J203">
        <v>6.1</v>
      </c>
      <c r="K203">
        <v>0.38600000000000001</v>
      </c>
      <c r="L203">
        <v>0.6</v>
      </c>
      <c r="M203">
        <v>2.5</v>
      </c>
      <c r="N203">
        <v>0.24299999999999999</v>
      </c>
      <c r="O203">
        <v>1.8</v>
      </c>
      <c r="P203">
        <v>3.6</v>
      </c>
      <c r="Q203">
        <v>0.48499999999999999</v>
      </c>
      <c r="R203">
        <v>0.436</v>
      </c>
      <c r="S203">
        <v>0.5</v>
      </c>
      <c r="T203">
        <v>1</v>
      </c>
      <c r="U203">
        <v>0.51900000000000002</v>
      </c>
      <c r="V203">
        <v>0.4</v>
      </c>
      <c r="W203">
        <v>2</v>
      </c>
      <c r="X203">
        <v>2.2999999999999998</v>
      </c>
      <c r="Y203">
        <v>1</v>
      </c>
      <c r="Z203">
        <v>0.4</v>
      </c>
      <c r="AA203">
        <v>0.3</v>
      </c>
      <c r="AB203">
        <v>0.6</v>
      </c>
      <c r="AC203">
        <v>1.7</v>
      </c>
      <c r="AD203">
        <v>5.8</v>
      </c>
      <c r="AE203">
        <v>423</v>
      </c>
      <c r="AF203">
        <v>7.2</v>
      </c>
      <c r="AG203">
        <v>0.44600000000000001</v>
      </c>
      <c r="AH203">
        <v>0.40899999999999997</v>
      </c>
      <c r="AI203">
        <v>0.158</v>
      </c>
      <c r="AJ203">
        <v>2.7</v>
      </c>
      <c r="AK203">
        <v>13.9</v>
      </c>
      <c r="AL203">
        <v>8.5</v>
      </c>
      <c r="AM203">
        <v>9.1999999999999993</v>
      </c>
      <c r="AN203">
        <v>1.2</v>
      </c>
      <c r="AO203">
        <v>1.6</v>
      </c>
      <c r="AP203">
        <v>8.5</v>
      </c>
      <c r="AQ203">
        <v>20.5</v>
      </c>
      <c r="AR203">
        <v>-0.6</v>
      </c>
      <c r="AS203">
        <v>0.3</v>
      </c>
      <c r="AT203">
        <v>-0.3</v>
      </c>
      <c r="AU203">
        <v>-3.3000000000000002E-2</v>
      </c>
      <c r="AV203">
        <v>-5.8</v>
      </c>
      <c r="AW203">
        <v>-1.7</v>
      </c>
      <c r="AX203">
        <v>-7.4</v>
      </c>
      <c r="AY203">
        <v>-0.6</v>
      </c>
      <c r="AZ203">
        <f t="shared" si="6"/>
        <v>-3.85</v>
      </c>
      <c r="BA203">
        <f t="shared" si="7"/>
        <v>-0.80036255384257182</v>
      </c>
    </row>
    <row r="204" spans="1:53" hidden="1" x14ac:dyDescent="0.25">
      <c r="A204" t="s">
        <v>287</v>
      </c>
      <c r="B204" s="2">
        <v>4728948</v>
      </c>
      <c r="C204" t="s">
        <v>62</v>
      </c>
      <c r="D204">
        <v>25</v>
      </c>
      <c r="E204" t="s">
        <v>53</v>
      </c>
      <c r="F204">
        <v>45</v>
      </c>
      <c r="G204">
        <v>2</v>
      </c>
      <c r="H204">
        <v>18.100000000000001</v>
      </c>
      <c r="I204">
        <v>2.6</v>
      </c>
      <c r="J204">
        <v>5.4</v>
      </c>
      <c r="K204">
        <v>0.48799999999999999</v>
      </c>
      <c r="L204">
        <v>0.8</v>
      </c>
      <c r="M204">
        <v>2</v>
      </c>
      <c r="N204">
        <v>0.38900000000000001</v>
      </c>
      <c r="O204">
        <v>1.8</v>
      </c>
      <c r="P204">
        <v>3.4</v>
      </c>
      <c r="Q204">
        <v>0.54600000000000004</v>
      </c>
      <c r="R204">
        <v>0.56000000000000005</v>
      </c>
      <c r="S204">
        <v>0.8</v>
      </c>
      <c r="T204">
        <v>0.9</v>
      </c>
      <c r="U204">
        <v>0.92700000000000005</v>
      </c>
      <c r="V204">
        <v>0.2</v>
      </c>
      <c r="W204">
        <v>1.6</v>
      </c>
      <c r="X204">
        <v>1.7</v>
      </c>
      <c r="Y204">
        <v>3</v>
      </c>
      <c r="Z204">
        <v>0.5</v>
      </c>
      <c r="AA204">
        <v>0.1</v>
      </c>
      <c r="AB204">
        <v>0.7</v>
      </c>
      <c r="AC204">
        <v>1.4</v>
      </c>
      <c r="AD204">
        <v>6.9</v>
      </c>
      <c r="AE204">
        <v>816</v>
      </c>
      <c r="AF204">
        <v>12.8</v>
      </c>
      <c r="AG204">
        <v>0.59399999999999997</v>
      </c>
      <c r="AH204">
        <v>0.372</v>
      </c>
      <c r="AI204">
        <v>0.16900000000000001</v>
      </c>
      <c r="AJ204">
        <v>1</v>
      </c>
      <c r="AK204">
        <v>9.4</v>
      </c>
      <c r="AL204">
        <v>5.3</v>
      </c>
      <c r="AM204">
        <v>22.1</v>
      </c>
      <c r="AN204">
        <v>1.3</v>
      </c>
      <c r="AO204">
        <v>0.5</v>
      </c>
      <c r="AP204">
        <v>10.3</v>
      </c>
      <c r="AQ204">
        <v>14.9</v>
      </c>
      <c r="AR204">
        <v>1.4</v>
      </c>
      <c r="AS204">
        <v>0.7</v>
      </c>
      <c r="AT204">
        <v>2.1</v>
      </c>
      <c r="AU204">
        <v>0.124</v>
      </c>
      <c r="AV204">
        <v>-1.1000000000000001</v>
      </c>
      <c r="AW204">
        <v>0.3</v>
      </c>
      <c r="AX204">
        <v>-0.8</v>
      </c>
      <c r="AY204">
        <v>0.3</v>
      </c>
      <c r="AZ204">
        <f t="shared" si="6"/>
        <v>0.65</v>
      </c>
      <c r="BA204">
        <f t="shared" si="7"/>
        <v>0.13745128937767978</v>
      </c>
    </row>
    <row r="205" spans="1:53" x14ac:dyDescent="0.25">
      <c r="A205" t="s">
        <v>288</v>
      </c>
      <c r="B205" s="2">
        <v>4670160</v>
      </c>
      <c r="C205" t="s">
        <v>75</v>
      </c>
      <c r="D205">
        <v>22</v>
      </c>
      <c r="E205" t="s">
        <v>93</v>
      </c>
      <c r="F205">
        <v>68</v>
      </c>
      <c r="G205">
        <v>31</v>
      </c>
      <c r="H205">
        <v>18.8</v>
      </c>
      <c r="I205">
        <v>3.6</v>
      </c>
      <c r="J205">
        <v>7.5</v>
      </c>
      <c r="K205">
        <v>0.47599999999999998</v>
      </c>
      <c r="L205">
        <v>0.8</v>
      </c>
      <c r="M205">
        <v>2.8</v>
      </c>
      <c r="N205">
        <v>0.28299999999999997</v>
      </c>
      <c r="O205">
        <v>2.8</v>
      </c>
      <c r="P205">
        <v>4.7</v>
      </c>
      <c r="Q205">
        <v>0.59299999999999997</v>
      </c>
      <c r="R205">
        <v>0.53</v>
      </c>
      <c r="S205">
        <v>1.5</v>
      </c>
      <c r="T205">
        <v>2</v>
      </c>
      <c r="U205">
        <v>0.75900000000000001</v>
      </c>
      <c r="V205">
        <v>1.9</v>
      </c>
      <c r="W205">
        <v>3.9</v>
      </c>
      <c r="X205">
        <v>5.8</v>
      </c>
      <c r="Y205">
        <v>1</v>
      </c>
      <c r="Z205">
        <v>0.3</v>
      </c>
      <c r="AA205">
        <v>0.9</v>
      </c>
      <c r="AB205">
        <v>1.1000000000000001</v>
      </c>
      <c r="AC205">
        <v>2.2999999999999998</v>
      </c>
      <c r="AD205">
        <v>9.4</v>
      </c>
      <c r="AE205">
        <v>1279</v>
      </c>
      <c r="AF205">
        <v>15.9</v>
      </c>
      <c r="AG205">
        <v>0.56499999999999995</v>
      </c>
      <c r="AH205">
        <v>0.376</v>
      </c>
      <c r="AI205">
        <v>0.27</v>
      </c>
      <c r="AJ205">
        <v>11.2</v>
      </c>
      <c r="AK205">
        <v>22.9</v>
      </c>
      <c r="AL205">
        <v>17.100000000000001</v>
      </c>
      <c r="AM205">
        <v>7.6</v>
      </c>
      <c r="AN205">
        <v>0.8</v>
      </c>
      <c r="AO205">
        <v>4</v>
      </c>
      <c r="AP205">
        <v>11.2</v>
      </c>
      <c r="AQ205">
        <v>21</v>
      </c>
      <c r="AR205">
        <v>1.1000000000000001</v>
      </c>
      <c r="AS205">
        <v>1.1000000000000001</v>
      </c>
      <c r="AT205">
        <v>2.2999999999999998</v>
      </c>
      <c r="AU205">
        <v>8.5000000000000006E-2</v>
      </c>
      <c r="AV205">
        <v>-0.9</v>
      </c>
      <c r="AW205">
        <v>-1.1000000000000001</v>
      </c>
      <c r="AX205">
        <v>-2.1</v>
      </c>
      <c r="AY205">
        <v>0</v>
      </c>
      <c r="AZ205" s="8">
        <f t="shared" si="6"/>
        <v>9.9999999999999867E-2</v>
      </c>
      <c r="BA205" s="8">
        <f t="shared" si="7"/>
        <v>2.1412542610959769E-2</v>
      </c>
    </row>
    <row r="206" spans="1:53" hidden="1" x14ac:dyDescent="0.25">
      <c r="A206" t="s">
        <v>289</v>
      </c>
      <c r="B206" s="2">
        <v>4591680</v>
      </c>
      <c r="C206" t="s">
        <v>65</v>
      </c>
      <c r="D206">
        <v>21</v>
      </c>
      <c r="E206" t="s">
        <v>150</v>
      </c>
      <c r="F206">
        <v>37</v>
      </c>
      <c r="G206">
        <v>4</v>
      </c>
      <c r="H206">
        <v>15.2</v>
      </c>
      <c r="I206">
        <v>2.2999999999999998</v>
      </c>
      <c r="J206">
        <v>5.3</v>
      </c>
      <c r="K206">
        <v>0.42899999999999999</v>
      </c>
      <c r="L206">
        <v>0.7</v>
      </c>
      <c r="M206">
        <v>2.6</v>
      </c>
      <c r="N206">
        <v>0.25800000000000001</v>
      </c>
      <c r="O206">
        <v>1.6</v>
      </c>
      <c r="P206">
        <v>2.7</v>
      </c>
      <c r="Q206">
        <v>0.59599999999999997</v>
      </c>
      <c r="R206">
        <v>0.49199999999999999</v>
      </c>
      <c r="S206">
        <v>0.5</v>
      </c>
      <c r="T206">
        <v>0.6</v>
      </c>
      <c r="U206">
        <v>0.77300000000000002</v>
      </c>
      <c r="V206">
        <v>0.4</v>
      </c>
      <c r="W206">
        <v>1.7</v>
      </c>
      <c r="X206">
        <v>2.1</v>
      </c>
      <c r="Y206">
        <v>0.9</v>
      </c>
      <c r="Z206">
        <v>0.4</v>
      </c>
      <c r="AA206">
        <v>0.2</v>
      </c>
      <c r="AB206">
        <v>1</v>
      </c>
      <c r="AC206">
        <v>1.6</v>
      </c>
      <c r="AD206">
        <v>5.7</v>
      </c>
      <c r="AE206">
        <v>561</v>
      </c>
      <c r="AF206">
        <v>7.4</v>
      </c>
      <c r="AG206">
        <v>0.51100000000000001</v>
      </c>
      <c r="AH206">
        <v>0.495</v>
      </c>
      <c r="AI206">
        <v>0.112</v>
      </c>
      <c r="AJ206">
        <v>3</v>
      </c>
      <c r="AK206">
        <v>11.9</v>
      </c>
      <c r="AL206">
        <v>7.5</v>
      </c>
      <c r="AM206">
        <v>8.1999999999999993</v>
      </c>
      <c r="AN206">
        <v>1.2</v>
      </c>
      <c r="AO206">
        <v>1</v>
      </c>
      <c r="AP206">
        <v>15.2</v>
      </c>
      <c r="AQ206">
        <v>18</v>
      </c>
      <c r="AR206">
        <v>-0.5</v>
      </c>
      <c r="AS206">
        <v>0.6</v>
      </c>
      <c r="AT206">
        <v>0.1</v>
      </c>
      <c r="AU206">
        <v>1.0999999999999999E-2</v>
      </c>
      <c r="AV206">
        <v>-4.7</v>
      </c>
      <c r="AW206">
        <v>-0.8</v>
      </c>
      <c r="AX206">
        <v>-5.6</v>
      </c>
      <c r="AY206">
        <v>-0.5</v>
      </c>
      <c r="AZ206">
        <f t="shared" si="6"/>
        <v>-2.75</v>
      </c>
      <c r="BA206">
        <f t="shared" si="7"/>
        <v>-0.59890933166074289</v>
      </c>
    </row>
    <row r="207" spans="1:53" hidden="1" x14ac:dyDescent="0.25">
      <c r="A207" t="s">
        <v>290</v>
      </c>
      <c r="B207" s="2">
        <v>4569840</v>
      </c>
      <c r="C207" t="s">
        <v>28</v>
      </c>
      <c r="D207">
        <v>19</v>
      </c>
      <c r="E207" t="s">
        <v>109</v>
      </c>
      <c r="F207">
        <v>39</v>
      </c>
      <c r="G207">
        <v>1</v>
      </c>
      <c r="H207">
        <v>14.6</v>
      </c>
      <c r="I207">
        <v>1.9</v>
      </c>
      <c r="J207">
        <v>4.5999999999999996</v>
      </c>
      <c r="K207">
        <v>0.42</v>
      </c>
      <c r="L207">
        <v>0.7</v>
      </c>
      <c r="M207">
        <v>2.5</v>
      </c>
      <c r="N207">
        <v>0.26500000000000001</v>
      </c>
      <c r="O207">
        <v>1.3</v>
      </c>
      <c r="P207">
        <v>2.1</v>
      </c>
      <c r="Q207">
        <v>0.60199999999999998</v>
      </c>
      <c r="R207">
        <v>0.49199999999999999</v>
      </c>
      <c r="S207">
        <v>0.4</v>
      </c>
      <c r="T207">
        <v>0.6</v>
      </c>
      <c r="U207">
        <v>0.65200000000000002</v>
      </c>
      <c r="V207">
        <v>0.5</v>
      </c>
      <c r="W207">
        <v>2.2000000000000002</v>
      </c>
      <c r="X207">
        <v>2.7</v>
      </c>
      <c r="Y207">
        <v>1.2</v>
      </c>
      <c r="Z207">
        <v>0.4</v>
      </c>
      <c r="AA207">
        <v>0.2</v>
      </c>
      <c r="AB207">
        <v>0.7</v>
      </c>
      <c r="AC207">
        <v>1.1000000000000001</v>
      </c>
      <c r="AD207">
        <v>4.9000000000000004</v>
      </c>
      <c r="AE207">
        <v>569</v>
      </c>
      <c r="AF207">
        <v>9.3000000000000007</v>
      </c>
      <c r="AG207">
        <v>0.505</v>
      </c>
      <c r="AH207">
        <v>0.54100000000000004</v>
      </c>
      <c r="AI207">
        <v>0.127</v>
      </c>
      <c r="AJ207">
        <v>3.5</v>
      </c>
      <c r="AK207">
        <v>16.5</v>
      </c>
      <c r="AL207">
        <v>9.9</v>
      </c>
      <c r="AM207">
        <v>10.7</v>
      </c>
      <c r="AN207">
        <v>1.2</v>
      </c>
      <c r="AO207">
        <v>1.1000000000000001</v>
      </c>
      <c r="AP207">
        <v>12</v>
      </c>
      <c r="AQ207">
        <v>15.9</v>
      </c>
      <c r="AR207">
        <v>-0.1</v>
      </c>
      <c r="AS207">
        <v>0.6</v>
      </c>
      <c r="AT207">
        <v>0.4</v>
      </c>
      <c r="AU207">
        <v>3.7999999999999999E-2</v>
      </c>
      <c r="AV207">
        <v>-3.1</v>
      </c>
      <c r="AW207">
        <v>-0.5</v>
      </c>
      <c r="AX207">
        <v>-3.6</v>
      </c>
      <c r="AY207">
        <v>-0.2</v>
      </c>
      <c r="AZ207">
        <f t="shared" si="6"/>
        <v>-1.6</v>
      </c>
      <c r="BA207">
        <f t="shared" si="7"/>
        <v>-0.3501216672793796</v>
      </c>
    </row>
    <row r="208" spans="1:53" hidden="1" x14ac:dyDescent="0.25">
      <c r="A208" t="s">
        <v>291</v>
      </c>
      <c r="B208" s="2">
        <v>4500000</v>
      </c>
      <c r="C208" t="s">
        <v>28</v>
      </c>
      <c r="D208">
        <v>36</v>
      </c>
      <c r="E208" t="s">
        <v>103</v>
      </c>
      <c r="F208">
        <v>56</v>
      </c>
      <c r="G208">
        <v>4</v>
      </c>
      <c r="H208">
        <v>19.5</v>
      </c>
      <c r="I208">
        <v>2.9</v>
      </c>
      <c r="J208">
        <v>5.9</v>
      </c>
      <c r="K208">
        <v>0.48799999999999999</v>
      </c>
      <c r="L208">
        <v>0.5</v>
      </c>
      <c r="M208">
        <v>1.9</v>
      </c>
      <c r="N208">
        <v>0.28799999999999998</v>
      </c>
      <c r="O208">
        <v>2.2999999999999998</v>
      </c>
      <c r="P208">
        <v>4</v>
      </c>
      <c r="Q208">
        <v>0.57999999999999996</v>
      </c>
      <c r="R208">
        <v>0.53400000000000003</v>
      </c>
      <c r="S208">
        <v>1.6</v>
      </c>
      <c r="T208">
        <v>2.1</v>
      </c>
      <c r="U208">
        <v>0.74399999999999999</v>
      </c>
      <c r="V208">
        <v>0.7</v>
      </c>
      <c r="W208">
        <v>1.9</v>
      </c>
      <c r="X208">
        <v>2.6</v>
      </c>
      <c r="Y208">
        <v>1.2</v>
      </c>
      <c r="Z208">
        <v>0.3</v>
      </c>
      <c r="AA208">
        <v>0.3</v>
      </c>
      <c r="AB208">
        <v>0.8</v>
      </c>
      <c r="AC208">
        <v>1.8</v>
      </c>
      <c r="AD208">
        <v>7.8</v>
      </c>
      <c r="AE208">
        <v>1091</v>
      </c>
      <c r="AF208">
        <v>11</v>
      </c>
      <c r="AG208">
        <v>0.57599999999999996</v>
      </c>
      <c r="AH208">
        <v>0.317</v>
      </c>
      <c r="AI208">
        <v>0.35699999999999998</v>
      </c>
      <c r="AJ208">
        <v>4.0999999999999996</v>
      </c>
      <c r="AK208">
        <v>10.9</v>
      </c>
      <c r="AL208">
        <v>7.6</v>
      </c>
      <c r="AM208">
        <v>8.3000000000000007</v>
      </c>
      <c r="AN208">
        <v>0.8</v>
      </c>
      <c r="AO208">
        <v>1.4</v>
      </c>
      <c r="AP208">
        <v>10.8</v>
      </c>
      <c r="AQ208">
        <v>17</v>
      </c>
      <c r="AR208">
        <v>0.8</v>
      </c>
      <c r="AS208">
        <v>0.8</v>
      </c>
      <c r="AT208">
        <v>1.7</v>
      </c>
      <c r="AU208">
        <v>7.3999999999999996E-2</v>
      </c>
      <c r="AV208">
        <v>-2.4</v>
      </c>
      <c r="AW208">
        <v>-1</v>
      </c>
      <c r="AX208">
        <v>-3.4</v>
      </c>
      <c r="AY208">
        <v>-0.4</v>
      </c>
      <c r="AZ208">
        <f t="shared" si="6"/>
        <v>-0.85</v>
      </c>
      <c r="BA208">
        <f t="shared" si="7"/>
        <v>-0.18888888888888888</v>
      </c>
    </row>
    <row r="209" spans="1:53" x14ac:dyDescent="0.25">
      <c r="A209" t="s">
        <v>292</v>
      </c>
      <c r="B209" s="2">
        <v>4500000</v>
      </c>
      <c r="C209" t="s">
        <v>62</v>
      </c>
      <c r="D209">
        <v>26</v>
      </c>
      <c r="E209" t="s">
        <v>53</v>
      </c>
      <c r="F209">
        <v>72</v>
      </c>
      <c r="G209">
        <v>36</v>
      </c>
      <c r="H209">
        <v>26.3</v>
      </c>
      <c r="I209">
        <v>3.3</v>
      </c>
      <c r="J209">
        <v>7.5</v>
      </c>
      <c r="K209">
        <v>0.435</v>
      </c>
      <c r="L209">
        <v>2.1</v>
      </c>
      <c r="M209">
        <v>5.3</v>
      </c>
      <c r="N209">
        <v>0.39700000000000002</v>
      </c>
      <c r="O209">
        <v>1.2</v>
      </c>
      <c r="P209">
        <v>2.2999999999999998</v>
      </c>
      <c r="Q209">
        <v>0.52500000000000002</v>
      </c>
      <c r="R209">
        <v>0.57399999999999995</v>
      </c>
      <c r="S209">
        <v>0.8</v>
      </c>
      <c r="T209">
        <v>1</v>
      </c>
      <c r="U209">
        <v>0.81699999999999995</v>
      </c>
      <c r="V209">
        <v>1.1000000000000001</v>
      </c>
      <c r="W209">
        <v>3.4</v>
      </c>
      <c r="X209">
        <v>4.5</v>
      </c>
      <c r="Y209">
        <v>3.5</v>
      </c>
      <c r="Z209">
        <v>1.3</v>
      </c>
      <c r="AA209">
        <v>0.1</v>
      </c>
      <c r="AB209">
        <v>1.6</v>
      </c>
      <c r="AC209">
        <v>1.8</v>
      </c>
      <c r="AD209">
        <v>9.4</v>
      </c>
      <c r="AE209">
        <v>1894</v>
      </c>
      <c r="AF209">
        <v>12.8</v>
      </c>
      <c r="AG209">
        <v>0.59299999999999997</v>
      </c>
      <c r="AH209">
        <v>0.7</v>
      </c>
      <c r="AI209">
        <v>0.13100000000000001</v>
      </c>
      <c r="AJ209">
        <v>4.7</v>
      </c>
      <c r="AK209">
        <v>14</v>
      </c>
      <c r="AL209">
        <v>9.4</v>
      </c>
      <c r="AM209">
        <v>17.3</v>
      </c>
      <c r="AN209">
        <v>2.4</v>
      </c>
      <c r="AO209">
        <v>0.5</v>
      </c>
      <c r="AP209">
        <v>16.399999999999999</v>
      </c>
      <c r="AQ209">
        <v>15.1</v>
      </c>
      <c r="AR209">
        <v>1.9</v>
      </c>
      <c r="AS209">
        <v>2.2999999999999998</v>
      </c>
      <c r="AT209">
        <v>4.2</v>
      </c>
      <c r="AU209">
        <v>0.106</v>
      </c>
      <c r="AV209">
        <v>-0.6</v>
      </c>
      <c r="AW209">
        <v>1.3</v>
      </c>
      <c r="AX209">
        <v>0.7</v>
      </c>
      <c r="AY209">
        <v>1.3</v>
      </c>
      <c r="AZ209" s="8">
        <f t="shared" si="6"/>
        <v>2.4500000000000002</v>
      </c>
      <c r="BA209" s="8">
        <f t="shared" si="7"/>
        <v>0.5444444444444444</v>
      </c>
    </row>
    <row r="210" spans="1:53" x14ac:dyDescent="0.25">
      <c r="A210" t="s">
        <v>293</v>
      </c>
      <c r="B210" s="2">
        <v>4437000</v>
      </c>
      <c r="C210" t="s">
        <v>62</v>
      </c>
      <c r="D210">
        <v>22</v>
      </c>
      <c r="E210" t="s">
        <v>175</v>
      </c>
      <c r="F210">
        <v>38</v>
      </c>
      <c r="G210">
        <v>32</v>
      </c>
      <c r="H210">
        <v>31</v>
      </c>
      <c r="I210">
        <v>6.9</v>
      </c>
      <c r="J210">
        <v>15.7</v>
      </c>
      <c r="K210">
        <v>0.439</v>
      </c>
      <c r="L210">
        <v>2.7</v>
      </c>
      <c r="M210">
        <v>7</v>
      </c>
      <c r="N210">
        <v>0.38700000000000001</v>
      </c>
      <c r="O210">
        <v>4.2</v>
      </c>
      <c r="P210">
        <v>8.6999999999999993</v>
      </c>
      <c r="Q210">
        <v>0.48</v>
      </c>
      <c r="R210">
        <v>0.52500000000000002</v>
      </c>
      <c r="S210">
        <v>2.1</v>
      </c>
      <c r="T210">
        <v>2.6</v>
      </c>
      <c r="U210">
        <v>0.78</v>
      </c>
      <c r="V210">
        <v>0.2</v>
      </c>
      <c r="W210">
        <v>3.7</v>
      </c>
      <c r="X210">
        <v>3.9</v>
      </c>
      <c r="Y210">
        <v>3.6</v>
      </c>
      <c r="Z210">
        <v>1.1000000000000001</v>
      </c>
      <c r="AA210">
        <v>0.4</v>
      </c>
      <c r="AB210">
        <v>1.5</v>
      </c>
      <c r="AC210">
        <v>1.5</v>
      </c>
      <c r="AD210">
        <v>18.5</v>
      </c>
      <c r="AE210">
        <v>1178</v>
      </c>
      <c r="AF210">
        <v>15.5</v>
      </c>
      <c r="AG210">
        <v>0.55000000000000004</v>
      </c>
      <c r="AH210">
        <v>0.44700000000000001</v>
      </c>
      <c r="AI210">
        <v>0.16800000000000001</v>
      </c>
      <c r="AJ210">
        <v>0.7</v>
      </c>
      <c r="AK210">
        <v>13.5</v>
      </c>
      <c r="AL210">
        <v>6.9</v>
      </c>
      <c r="AM210">
        <v>17.3</v>
      </c>
      <c r="AN210">
        <v>1.7</v>
      </c>
      <c r="AO210">
        <v>1.2</v>
      </c>
      <c r="AP210">
        <v>8.1999999999999993</v>
      </c>
      <c r="AQ210">
        <v>24.4</v>
      </c>
      <c r="AR210">
        <v>0.7</v>
      </c>
      <c r="AS210">
        <v>0.5</v>
      </c>
      <c r="AT210">
        <v>1.2</v>
      </c>
      <c r="AU210">
        <v>5.0999999999999997E-2</v>
      </c>
      <c r="AV210">
        <v>1.3</v>
      </c>
      <c r="AW210">
        <v>-0.9</v>
      </c>
      <c r="AX210">
        <v>0.4</v>
      </c>
      <c r="AY210">
        <v>0.7</v>
      </c>
      <c r="AZ210" s="8">
        <f t="shared" si="6"/>
        <v>0.8</v>
      </c>
      <c r="BA210" s="8">
        <f t="shared" si="7"/>
        <v>0.18030200585981518</v>
      </c>
    </row>
    <row r="211" spans="1:53" x14ac:dyDescent="0.25">
      <c r="A211" t="s">
        <v>294</v>
      </c>
      <c r="B211" s="2">
        <v>4379526</v>
      </c>
      <c r="C211" t="s">
        <v>62</v>
      </c>
      <c r="D211">
        <v>25</v>
      </c>
      <c r="E211" t="s">
        <v>70</v>
      </c>
      <c r="F211">
        <v>71</v>
      </c>
      <c r="G211">
        <v>28</v>
      </c>
      <c r="H211">
        <v>16.899999999999999</v>
      </c>
      <c r="I211">
        <v>1.5</v>
      </c>
      <c r="J211">
        <v>3.6</v>
      </c>
      <c r="K211">
        <v>0.435</v>
      </c>
      <c r="L211">
        <v>0.8</v>
      </c>
      <c r="M211">
        <v>2.1</v>
      </c>
      <c r="N211">
        <v>0.36499999999999999</v>
      </c>
      <c r="O211">
        <v>0.8</v>
      </c>
      <c r="P211">
        <v>1.5</v>
      </c>
      <c r="Q211">
        <v>0.53300000000000003</v>
      </c>
      <c r="R211">
        <v>0.54200000000000004</v>
      </c>
      <c r="S211">
        <v>0.3</v>
      </c>
      <c r="T211">
        <v>0.4</v>
      </c>
      <c r="U211">
        <v>0.67900000000000005</v>
      </c>
      <c r="V211">
        <v>0.6</v>
      </c>
      <c r="W211">
        <v>1.4</v>
      </c>
      <c r="X211">
        <v>2</v>
      </c>
      <c r="Y211">
        <v>0.7</v>
      </c>
      <c r="Z211">
        <v>1.2</v>
      </c>
      <c r="AA211">
        <v>0.5</v>
      </c>
      <c r="AB211">
        <v>0.3</v>
      </c>
      <c r="AC211">
        <v>1.6</v>
      </c>
      <c r="AD211">
        <v>4.0999999999999996</v>
      </c>
      <c r="AE211">
        <v>1200</v>
      </c>
      <c r="AF211">
        <v>10.5</v>
      </c>
      <c r="AG211">
        <v>0.55200000000000005</v>
      </c>
      <c r="AH211">
        <v>0.58499999999999996</v>
      </c>
      <c r="AI211">
        <v>0.111</v>
      </c>
      <c r="AJ211">
        <v>3.9</v>
      </c>
      <c r="AK211">
        <v>9.6999999999999993</v>
      </c>
      <c r="AL211">
        <v>6.8</v>
      </c>
      <c r="AM211">
        <v>5.9</v>
      </c>
      <c r="AN211">
        <v>3.4</v>
      </c>
      <c r="AO211">
        <v>2.4</v>
      </c>
      <c r="AP211">
        <v>8.3000000000000007</v>
      </c>
      <c r="AQ211">
        <v>10.6</v>
      </c>
      <c r="AR211">
        <v>0.6</v>
      </c>
      <c r="AS211">
        <v>1.5</v>
      </c>
      <c r="AT211">
        <v>2.1</v>
      </c>
      <c r="AU211">
        <v>8.5999999999999993E-2</v>
      </c>
      <c r="AV211">
        <v>-2.7</v>
      </c>
      <c r="AW211">
        <v>2.2000000000000002</v>
      </c>
      <c r="AX211">
        <v>-0.5</v>
      </c>
      <c r="AY211">
        <v>0.4</v>
      </c>
      <c r="AZ211" s="8">
        <f t="shared" si="6"/>
        <v>0.8</v>
      </c>
      <c r="BA211" s="8">
        <f t="shared" si="7"/>
        <v>0.18266817002570598</v>
      </c>
    </row>
    <row r="212" spans="1:53" x14ac:dyDescent="0.25">
      <c r="A212" t="s">
        <v>295</v>
      </c>
      <c r="B212" s="2">
        <v>4374000</v>
      </c>
      <c r="C212" t="s">
        <v>28</v>
      </c>
      <c r="D212">
        <v>23</v>
      </c>
      <c r="E212" t="s">
        <v>130</v>
      </c>
      <c r="F212">
        <v>78</v>
      </c>
      <c r="G212">
        <v>65</v>
      </c>
      <c r="H212">
        <v>24.1</v>
      </c>
      <c r="I212">
        <v>3.2</v>
      </c>
      <c r="J212">
        <v>5.8</v>
      </c>
      <c r="K212">
        <v>0.54800000000000004</v>
      </c>
      <c r="L212">
        <v>0.4</v>
      </c>
      <c r="M212">
        <v>1.2</v>
      </c>
      <c r="N212">
        <v>0.32200000000000001</v>
      </c>
      <c r="O212">
        <v>2.8</v>
      </c>
      <c r="P212">
        <v>4.5999999999999996</v>
      </c>
      <c r="Q212">
        <v>0.60399999999999998</v>
      </c>
      <c r="R212">
        <v>0.57999999999999996</v>
      </c>
      <c r="S212">
        <v>1.2</v>
      </c>
      <c r="T212">
        <v>1.8</v>
      </c>
      <c r="U212">
        <v>0.69099999999999995</v>
      </c>
      <c r="V212">
        <v>2.2000000000000002</v>
      </c>
      <c r="W212">
        <v>5.3</v>
      </c>
      <c r="X212">
        <v>7.5</v>
      </c>
      <c r="Y212">
        <v>2.4</v>
      </c>
      <c r="Z212">
        <v>1.1000000000000001</v>
      </c>
      <c r="AA212">
        <v>0.3</v>
      </c>
      <c r="AB212">
        <v>1.2</v>
      </c>
      <c r="AC212">
        <v>2.4</v>
      </c>
      <c r="AD212">
        <v>7.9</v>
      </c>
      <c r="AE212">
        <v>1879</v>
      </c>
      <c r="AF212">
        <v>15.1</v>
      </c>
      <c r="AG212">
        <v>0.60399999999999998</v>
      </c>
      <c r="AH212">
        <v>0.2</v>
      </c>
      <c r="AI212">
        <v>0.308</v>
      </c>
      <c r="AJ212">
        <v>10</v>
      </c>
      <c r="AK212">
        <v>23.2</v>
      </c>
      <c r="AL212">
        <v>16.7</v>
      </c>
      <c r="AM212">
        <v>13.1</v>
      </c>
      <c r="AN212">
        <v>2.1</v>
      </c>
      <c r="AO212">
        <v>0.9</v>
      </c>
      <c r="AP212">
        <v>15.9</v>
      </c>
      <c r="AQ212">
        <v>13.6</v>
      </c>
      <c r="AR212">
        <v>2.7</v>
      </c>
      <c r="AS212">
        <v>2.5</v>
      </c>
      <c r="AT212">
        <v>5.2</v>
      </c>
      <c r="AU212">
        <v>0.13200000000000001</v>
      </c>
      <c r="AV212">
        <v>-0.6</v>
      </c>
      <c r="AW212">
        <v>1.6</v>
      </c>
      <c r="AX212">
        <v>1.1000000000000001</v>
      </c>
      <c r="AY212">
        <v>1.5</v>
      </c>
      <c r="AZ212" s="8">
        <f t="shared" si="6"/>
        <v>3.1500000000000004</v>
      </c>
      <c r="BA212" s="8">
        <f t="shared" si="7"/>
        <v>0.72016460905349799</v>
      </c>
    </row>
    <row r="213" spans="1:53" hidden="1" x14ac:dyDescent="0.25">
      <c r="A213" t="s">
        <v>296</v>
      </c>
      <c r="B213" s="2">
        <v>4362240</v>
      </c>
      <c r="C213" t="s">
        <v>62</v>
      </c>
      <c r="D213">
        <v>22</v>
      </c>
      <c r="E213" t="s">
        <v>118</v>
      </c>
      <c r="F213">
        <v>34</v>
      </c>
      <c r="G213">
        <v>0</v>
      </c>
      <c r="H213">
        <v>15.1</v>
      </c>
      <c r="I213">
        <v>2</v>
      </c>
      <c r="J213">
        <v>5.7</v>
      </c>
      <c r="K213">
        <v>0.35799999999999998</v>
      </c>
      <c r="L213">
        <v>1</v>
      </c>
      <c r="M213">
        <v>3.2</v>
      </c>
      <c r="N213">
        <v>0.30299999999999999</v>
      </c>
      <c r="O213">
        <v>1.1000000000000001</v>
      </c>
      <c r="P213">
        <v>2.5</v>
      </c>
      <c r="Q213">
        <v>0.42899999999999999</v>
      </c>
      <c r="R213">
        <v>0.443</v>
      </c>
      <c r="S213">
        <v>0.6</v>
      </c>
      <c r="T213">
        <v>0.9</v>
      </c>
      <c r="U213">
        <v>0.66700000000000004</v>
      </c>
      <c r="V213">
        <v>0.2</v>
      </c>
      <c r="W213">
        <v>1.9</v>
      </c>
      <c r="X213">
        <v>2.1</v>
      </c>
      <c r="Y213">
        <v>1.2</v>
      </c>
      <c r="Z213">
        <v>0.4</v>
      </c>
      <c r="AA213">
        <v>0.1</v>
      </c>
      <c r="AB213">
        <v>0.9</v>
      </c>
      <c r="AC213">
        <v>1.4</v>
      </c>
      <c r="AD213">
        <v>5.6</v>
      </c>
      <c r="AE213">
        <v>515</v>
      </c>
      <c r="AF213">
        <v>6.2</v>
      </c>
      <c r="AG213">
        <v>0.46300000000000002</v>
      </c>
      <c r="AH213">
        <v>0.56499999999999995</v>
      </c>
      <c r="AI213">
        <v>0.155</v>
      </c>
      <c r="AJ213">
        <v>1.6</v>
      </c>
      <c r="AK213">
        <v>13.5</v>
      </c>
      <c r="AL213">
        <v>7.5</v>
      </c>
      <c r="AM213">
        <v>11.1</v>
      </c>
      <c r="AN213">
        <v>1.3</v>
      </c>
      <c r="AO213">
        <v>0.8</v>
      </c>
      <c r="AP213">
        <v>13.4</v>
      </c>
      <c r="AQ213">
        <v>19.5</v>
      </c>
      <c r="AR213">
        <v>-0.8</v>
      </c>
      <c r="AS213">
        <v>0.4</v>
      </c>
      <c r="AT213">
        <v>-0.4</v>
      </c>
      <c r="AU213">
        <v>-0.04</v>
      </c>
      <c r="AV213">
        <v>-5.4</v>
      </c>
      <c r="AW213">
        <v>-1.1000000000000001</v>
      </c>
      <c r="AX213">
        <v>-6.5</v>
      </c>
      <c r="AY213">
        <v>-0.6</v>
      </c>
      <c r="AZ213">
        <f t="shared" si="6"/>
        <v>-3.45</v>
      </c>
      <c r="BA213">
        <f t="shared" si="7"/>
        <v>-0.7908780809859155</v>
      </c>
    </row>
    <row r="214" spans="1:53" x14ac:dyDescent="0.25">
      <c r="A214" t="s">
        <v>297</v>
      </c>
      <c r="B214" s="2">
        <v>4343919</v>
      </c>
      <c r="C214" t="s">
        <v>28</v>
      </c>
      <c r="D214">
        <v>26</v>
      </c>
      <c r="E214" t="s">
        <v>150</v>
      </c>
      <c r="F214">
        <v>56</v>
      </c>
      <c r="G214">
        <v>8</v>
      </c>
      <c r="H214">
        <v>19.5</v>
      </c>
      <c r="I214">
        <v>4.0999999999999996</v>
      </c>
      <c r="J214">
        <v>6.2</v>
      </c>
      <c r="K214">
        <v>0.65600000000000003</v>
      </c>
      <c r="L214">
        <v>0</v>
      </c>
      <c r="M214">
        <v>0.1</v>
      </c>
      <c r="N214">
        <v>0.16700000000000001</v>
      </c>
      <c r="O214">
        <v>4.0999999999999996</v>
      </c>
      <c r="P214">
        <v>6.1</v>
      </c>
      <c r="Q214">
        <v>0.66500000000000004</v>
      </c>
      <c r="R214">
        <v>0.65800000000000003</v>
      </c>
      <c r="S214">
        <v>1.8</v>
      </c>
      <c r="T214">
        <v>2.4</v>
      </c>
      <c r="U214">
        <v>0.72299999999999998</v>
      </c>
      <c r="V214">
        <v>1.6</v>
      </c>
      <c r="W214">
        <v>3.9</v>
      </c>
      <c r="X214">
        <v>5.5</v>
      </c>
      <c r="Y214">
        <v>1.3</v>
      </c>
      <c r="Z214">
        <v>0.6</v>
      </c>
      <c r="AA214">
        <v>0.7</v>
      </c>
      <c r="AB214">
        <v>1</v>
      </c>
      <c r="AC214">
        <v>2.2999999999999998</v>
      </c>
      <c r="AD214">
        <v>10</v>
      </c>
      <c r="AE214">
        <v>1090</v>
      </c>
      <c r="AF214">
        <v>20</v>
      </c>
      <c r="AG214">
        <v>0.68200000000000005</v>
      </c>
      <c r="AH214">
        <v>1.7000000000000001E-2</v>
      </c>
      <c r="AI214">
        <v>0.39300000000000002</v>
      </c>
      <c r="AJ214">
        <v>9</v>
      </c>
      <c r="AK214">
        <v>21.2</v>
      </c>
      <c r="AL214">
        <v>15.1</v>
      </c>
      <c r="AM214">
        <v>9.5</v>
      </c>
      <c r="AN214">
        <v>1.5</v>
      </c>
      <c r="AO214">
        <v>3.1</v>
      </c>
      <c r="AP214">
        <v>11.8</v>
      </c>
      <c r="AQ214">
        <v>17.7</v>
      </c>
      <c r="AR214">
        <v>2.7</v>
      </c>
      <c r="AS214">
        <v>1.8</v>
      </c>
      <c r="AT214">
        <v>4.5</v>
      </c>
      <c r="AU214">
        <v>0.19900000000000001</v>
      </c>
      <c r="AV214">
        <v>0.8</v>
      </c>
      <c r="AW214">
        <v>1.8</v>
      </c>
      <c r="AX214">
        <v>2.5</v>
      </c>
      <c r="AY214">
        <v>1.3</v>
      </c>
      <c r="AZ214" s="8">
        <f t="shared" si="6"/>
        <v>3.5</v>
      </c>
      <c r="BA214" s="8">
        <f t="shared" si="7"/>
        <v>0.80572404780107543</v>
      </c>
    </row>
    <row r="215" spans="1:53" x14ac:dyDescent="0.25">
      <c r="A215" t="s">
        <v>298</v>
      </c>
      <c r="B215" s="2">
        <v>4341480</v>
      </c>
      <c r="C215" t="s">
        <v>62</v>
      </c>
      <c r="D215">
        <v>21</v>
      </c>
      <c r="E215" t="s">
        <v>109</v>
      </c>
      <c r="F215">
        <v>75</v>
      </c>
      <c r="G215">
        <v>62</v>
      </c>
      <c r="H215">
        <v>30.3</v>
      </c>
      <c r="I215">
        <v>5.5</v>
      </c>
      <c r="J215">
        <v>10.6</v>
      </c>
      <c r="K215">
        <v>0.52100000000000002</v>
      </c>
      <c r="L215">
        <v>1</v>
      </c>
      <c r="M215">
        <v>2.7</v>
      </c>
      <c r="N215">
        <v>0.35599999999999998</v>
      </c>
      <c r="O215">
        <v>4.5</v>
      </c>
      <c r="P215">
        <v>7.9</v>
      </c>
      <c r="Q215">
        <v>0.57899999999999996</v>
      </c>
      <c r="R215">
        <v>0.56699999999999995</v>
      </c>
      <c r="S215">
        <v>2.1</v>
      </c>
      <c r="T215">
        <v>2.5</v>
      </c>
      <c r="U215">
        <v>0.81200000000000006</v>
      </c>
      <c r="V215">
        <v>1.1000000000000001</v>
      </c>
      <c r="W215">
        <v>3.4</v>
      </c>
      <c r="X215">
        <v>4.5</v>
      </c>
      <c r="Y215">
        <v>3.3</v>
      </c>
      <c r="Z215">
        <v>1.4</v>
      </c>
      <c r="AA215">
        <v>0.5</v>
      </c>
      <c r="AB215">
        <v>1.6</v>
      </c>
      <c r="AC215">
        <v>2.5</v>
      </c>
      <c r="AD215">
        <v>14.1</v>
      </c>
      <c r="AE215">
        <v>2276</v>
      </c>
      <c r="AF215">
        <v>15.6</v>
      </c>
      <c r="AG215">
        <v>0.60099999999999998</v>
      </c>
      <c r="AH215">
        <v>0.25800000000000001</v>
      </c>
      <c r="AI215">
        <v>0.24099999999999999</v>
      </c>
      <c r="AJ215">
        <v>3.9</v>
      </c>
      <c r="AK215">
        <v>12.2</v>
      </c>
      <c r="AL215">
        <v>7.9</v>
      </c>
      <c r="AM215">
        <v>15.4</v>
      </c>
      <c r="AN215">
        <v>2.1</v>
      </c>
      <c r="AO215">
        <v>1.4</v>
      </c>
      <c r="AP215">
        <v>12.3</v>
      </c>
      <c r="AQ215">
        <v>18.399999999999999</v>
      </c>
      <c r="AR215">
        <v>3</v>
      </c>
      <c r="AS215">
        <v>2.6</v>
      </c>
      <c r="AT215">
        <v>5.6</v>
      </c>
      <c r="AU215">
        <v>0.11899999999999999</v>
      </c>
      <c r="AV215">
        <v>-0.4</v>
      </c>
      <c r="AW215">
        <v>0.7</v>
      </c>
      <c r="AX215">
        <v>0.3</v>
      </c>
      <c r="AY215">
        <v>1.3</v>
      </c>
      <c r="AZ215" s="8">
        <f t="shared" si="6"/>
        <v>2.9499999999999997</v>
      </c>
      <c r="BA215" s="8">
        <f t="shared" si="7"/>
        <v>0.67949178621115369</v>
      </c>
    </row>
    <row r="216" spans="1:53" x14ac:dyDescent="0.25">
      <c r="A216" t="s">
        <v>299</v>
      </c>
      <c r="B216" s="2">
        <v>4306281</v>
      </c>
      <c r="C216" t="s">
        <v>28</v>
      </c>
      <c r="D216">
        <v>24</v>
      </c>
      <c r="E216" t="s">
        <v>113</v>
      </c>
      <c r="F216">
        <v>79</v>
      </c>
      <c r="G216">
        <v>23</v>
      </c>
      <c r="H216">
        <v>25.9</v>
      </c>
      <c r="I216">
        <v>2.7</v>
      </c>
      <c r="J216">
        <v>6</v>
      </c>
      <c r="K216">
        <v>0.45400000000000001</v>
      </c>
      <c r="L216">
        <v>1.5</v>
      </c>
      <c r="M216">
        <v>3.7</v>
      </c>
      <c r="N216">
        <v>0.39500000000000002</v>
      </c>
      <c r="O216">
        <v>1.3</v>
      </c>
      <c r="P216">
        <v>2.2999999999999998</v>
      </c>
      <c r="Q216">
        <v>0.54600000000000004</v>
      </c>
      <c r="R216">
        <v>0.57499999999999996</v>
      </c>
      <c r="S216">
        <v>1.2</v>
      </c>
      <c r="T216">
        <v>1.5</v>
      </c>
      <c r="U216">
        <v>0.77</v>
      </c>
      <c r="V216">
        <v>1.1000000000000001</v>
      </c>
      <c r="W216">
        <v>3.5</v>
      </c>
      <c r="X216">
        <v>4.5999999999999996</v>
      </c>
      <c r="Y216">
        <v>1.7</v>
      </c>
      <c r="Z216">
        <v>0.5</v>
      </c>
      <c r="AA216">
        <v>0.4</v>
      </c>
      <c r="AB216">
        <v>1</v>
      </c>
      <c r="AC216">
        <v>2.4</v>
      </c>
      <c r="AD216">
        <v>8.1</v>
      </c>
      <c r="AE216">
        <v>2045</v>
      </c>
      <c r="AF216">
        <v>10.3</v>
      </c>
      <c r="AG216">
        <v>0.60499999999999998</v>
      </c>
      <c r="AH216">
        <v>0.61099999999999999</v>
      </c>
      <c r="AI216">
        <v>0.25600000000000001</v>
      </c>
      <c r="AJ216">
        <v>4.7</v>
      </c>
      <c r="AK216">
        <v>14.5</v>
      </c>
      <c r="AL216">
        <v>9.6999999999999993</v>
      </c>
      <c r="AM216">
        <v>8.4</v>
      </c>
      <c r="AN216">
        <v>1</v>
      </c>
      <c r="AO216">
        <v>1.3</v>
      </c>
      <c r="AP216">
        <v>13.4</v>
      </c>
      <c r="AQ216">
        <v>13.1</v>
      </c>
      <c r="AR216">
        <v>1.9</v>
      </c>
      <c r="AS216">
        <v>2.6</v>
      </c>
      <c r="AT216">
        <v>4.4000000000000004</v>
      </c>
      <c r="AU216">
        <v>0.104</v>
      </c>
      <c r="AV216">
        <v>-1.8</v>
      </c>
      <c r="AW216">
        <v>0.7</v>
      </c>
      <c r="AX216">
        <v>-1.1000000000000001</v>
      </c>
      <c r="AY216">
        <v>0.5</v>
      </c>
      <c r="AZ216" s="8">
        <f t="shared" si="6"/>
        <v>1.6500000000000001</v>
      </c>
      <c r="BA216" s="8">
        <f t="shared" si="7"/>
        <v>0.38316124748942304</v>
      </c>
    </row>
    <row r="217" spans="1:53" hidden="1" x14ac:dyDescent="0.25">
      <c r="A217" t="s">
        <v>300</v>
      </c>
      <c r="B217" s="2">
        <v>4264628</v>
      </c>
      <c r="C217" t="s">
        <v>75</v>
      </c>
      <c r="D217">
        <v>22</v>
      </c>
      <c r="E217" t="s">
        <v>60</v>
      </c>
      <c r="F217">
        <v>43</v>
      </c>
      <c r="G217">
        <v>1</v>
      </c>
      <c r="H217">
        <v>14.3</v>
      </c>
      <c r="I217">
        <v>1.9</v>
      </c>
      <c r="J217">
        <v>4.3</v>
      </c>
      <c r="K217">
        <v>0.45400000000000001</v>
      </c>
      <c r="L217">
        <v>0.5</v>
      </c>
      <c r="M217">
        <v>1.2</v>
      </c>
      <c r="N217">
        <v>0.377</v>
      </c>
      <c r="O217">
        <v>1.5</v>
      </c>
      <c r="P217">
        <v>3</v>
      </c>
      <c r="Q217">
        <v>0.48499999999999999</v>
      </c>
      <c r="R217">
        <v>0.50800000000000001</v>
      </c>
      <c r="S217">
        <v>0.9</v>
      </c>
      <c r="T217">
        <v>1.6</v>
      </c>
      <c r="U217">
        <v>0.54300000000000004</v>
      </c>
      <c r="V217">
        <v>0.8</v>
      </c>
      <c r="W217">
        <v>2.4</v>
      </c>
      <c r="X217">
        <v>3.2</v>
      </c>
      <c r="Y217">
        <v>0.9</v>
      </c>
      <c r="Z217">
        <v>0.5</v>
      </c>
      <c r="AA217">
        <v>0.8</v>
      </c>
      <c r="AB217">
        <v>0.6</v>
      </c>
      <c r="AC217">
        <v>1</v>
      </c>
      <c r="AD217">
        <v>5.2</v>
      </c>
      <c r="AE217">
        <v>616</v>
      </c>
      <c r="AF217">
        <v>13.1</v>
      </c>
      <c r="AG217">
        <v>0.52400000000000002</v>
      </c>
      <c r="AH217">
        <v>0.28999999999999998</v>
      </c>
      <c r="AI217">
        <v>0.38300000000000001</v>
      </c>
      <c r="AJ217">
        <v>5.8</v>
      </c>
      <c r="AK217">
        <v>18.5</v>
      </c>
      <c r="AL217">
        <v>12.1</v>
      </c>
      <c r="AM217">
        <v>8.3000000000000007</v>
      </c>
      <c r="AN217">
        <v>1.7</v>
      </c>
      <c r="AO217">
        <v>5.0999999999999996</v>
      </c>
      <c r="AP217">
        <v>11.2</v>
      </c>
      <c r="AQ217">
        <v>16.399999999999999</v>
      </c>
      <c r="AR217">
        <v>0.1</v>
      </c>
      <c r="AS217">
        <v>0.9</v>
      </c>
      <c r="AT217">
        <v>1</v>
      </c>
      <c r="AU217">
        <v>7.8E-2</v>
      </c>
      <c r="AV217">
        <v>-2</v>
      </c>
      <c r="AW217">
        <v>1</v>
      </c>
      <c r="AX217">
        <v>-1</v>
      </c>
      <c r="AY217">
        <v>0.2</v>
      </c>
      <c r="AZ217">
        <f t="shared" si="6"/>
        <v>0</v>
      </c>
      <c r="BA217">
        <f t="shared" si="7"/>
        <v>0</v>
      </c>
    </row>
    <row r="218" spans="1:53" x14ac:dyDescent="0.25">
      <c r="A218" t="s">
        <v>301</v>
      </c>
      <c r="B218" s="2">
        <v>4215120</v>
      </c>
      <c r="C218" t="s">
        <v>52</v>
      </c>
      <c r="D218">
        <v>22</v>
      </c>
      <c r="E218" t="s">
        <v>93</v>
      </c>
      <c r="F218">
        <v>56</v>
      </c>
      <c r="G218">
        <v>56</v>
      </c>
      <c r="H218">
        <v>33.6</v>
      </c>
      <c r="I218">
        <v>7.4</v>
      </c>
      <c r="J218">
        <v>15</v>
      </c>
      <c r="K218">
        <v>0.49</v>
      </c>
      <c r="L218">
        <v>2.9</v>
      </c>
      <c r="M218">
        <v>7.2</v>
      </c>
      <c r="N218">
        <v>0.4</v>
      </c>
      <c r="O218">
        <v>4.5</v>
      </c>
      <c r="P218">
        <v>7.8</v>
      </c>
      <c r="Q218">
        <v>0.57199999999999995</v>
      </c>
      <c r="R218">
        <v>0.58599999999999997</v>
      </c>
      <c r="S218">
        <v>3.1</v>
      </c>
      <c r="T218">
        <v>3.6</v>
      </c>
      <c r="U218">
        <v>0.871</v>
      </c>
      <c r="V218">
        <v>0.6</v>
      </c>
      <c r="W218">
        <v>3.1</v>
      </c>
      <c r="X218">
        <v>3.7</v>
      </c>
      <c r="Y218">
        <v>10.4</v>
      </c>
      <c r="Z218">
        <v>1.6</v>
      </c>
      <c r="AA218">
        <v>0.4</v>
      </c>
      <c r="AB218">
        <v>2.5</v>
      </c>
      <c r="AC218">
        <v>1.2</v>
      </c>
      <c r="AD218">
        <v>20.7</v>
      </c>
      <c r="AE218">
        <v>1883</v>
      </c>
      <c r="AF218">
        <v>23.6</v>
      </c>
      <c r="AG218">
        <v>0.624</v>
      </c>
      <c r="AH218">
        <v>0.47799999999999998</v>
      </c>
      <c r="AI218">
        <v>0.23899999999999999</v>
      </c>
      <c r="AJ218">
        <v>1.9</v>
      </c>
      <c r="AK218">
        <v>10.1</v>
      </c>
      <c r="AL218">
        <v>6</v>
      </c>
      <c r="AM218">
        <v>47.6</v>
      </c>
      <c r="AN218">
        <v>2.2999999999999998</v>
      </c>
      <c r="AO218">
        <v>1.1000000000000001</v>
      </c>
      <c r="AP218">
        <v>13.2</v>
      </c>
      <c r="AQ218">
        <v>23.8</v>
      </c>
      <c r="AR218">
        <v>6.4</v>
      </c>
      <c r="AS218">
        <v>1.2</v>
      </c>
      <c r="AT218">
        <v>7.6</v>
      </c>
      <c r="AU218">
        <v>0.19500000000000001</v>
      </c>
      <c r="AV218">
        <v>7</v>
      </c>
      <c r="AW218">
        <v>0.2</v>
      </c>
      <c r="AX218">
        <v>7.2</v>
      </c>
      <c r="AY218">
        <v>4.4000000000000004</v>
      </c>
      <c r="AZ218" s="8">
        <f t="shared" si="6"/>
        <v>7.4</v>
      </c>
      <c r="BA218" s="8">
        <f t="shared" si="7"/>
        <v>1.7555846571390612</v>
      </c>
    </row>
    <row r="219" spans="1:53" hidden="1" x14ac:dyDescent="0.25">
      <c r="A219" t="s">
        <v>302</v>
      </c>
      <c r="B219" s="2">
        <v>4171548</v>
      </c>
      <c r="C219" t="s">
        <v>65</v>
      </c>
      <c r="D219">
        <v>22</v>
      </c>
      <c r="E219" t="s">
        <v>70</v>
      </c>
      <c r="F219">
        <v>54</v>
      </c>
      <c r="G219">
        <v>4</v>
      </c>
      <c r="H219">
        <v>18.100000000000001</v>
      </c>
      <c r="I219">
        <v>2.5</v>
      </c>
      <c r="J219">
        <v>5.6</v>
      </c>
      <c r="K219">
        <v>0.442</v>
      </c>
      <c r="L219">
        <v>1.1000000000000001</v>
      </c>
      <c r="M219">
        <v>2.9</v>
      </c>
      <c r="N219">
        <v>0.36699999999999999</v>
      </c>
      <c r="O219">
        <v>1.4</v>
      </c>
      <c r="P219">
        <v>2.7</v>
      </c>
      <c r="Q219">
        <v>0.52400000000000002</v>
      </c>
      <c r="R219">
        <v>0.53800000000000003</v>
      </c>
      <c r="S219">
        <v>0.6</v>
      </c>
      <c r="T219">
        <v>0.9</v>
      </c>
      <c r="U219">
        <v>0.71699999999999997</v>
      </c>
      <c r="V219">
        <v>0.5</v>
      </c>
      <c r="W219">
        <v>2.1</v>
      </c>
      <c r="X219">
        <v>2.6</v>
      </c>
      <c r="Y219">
        <v>0.9</v>
      </c>
      <c r="Z219">
        <v>0.4</v>
      </c>
      <c r="AA219">
        <v>0.4</v>
      </c>
      <c r="AB219">
        <v>0.7</v>
      </c>
      <c r="AC219">
        <v>1.2</v>
      </c>
      <c r="AD219">
        <v>6.6</v>
      </c>
      <c r="AE219">
        <v>976</v>
      </c>
      <c r="AF219">
        <v>10.199999999999999</v>
      </c>
      <c r="AG219">
        <v>0.55500000000000005</v>
      </c>
      <c r="AH219">
        <v>0.52100000000000002</v>
      </c>
      <c r="AI219">
        <v>0.152</v>
      </c>
      <c r="AJ219">
        <v>3.2</v>
      </c>
      <c r="AK219">
        <v>13.5</v>
      </c>
      <c r="AL219">
        <v>8.3000000000000007</v>
      </c>
      <c r="AM219">
        <v>7.3</v>
      </c>
      <c r="AN219">
        <v>1</v>
      </c>
      <c r="AO219">
        <v>1.8</v>
      </c>
      <c r="AP219">
        <v>10</v>
      </c>
      <c r="AQ219">
        <v>16</v>
      </c>
      <c r="AR219">
        <v>0.2</v>
      </c>
      <c r="AS219">
        <v>0.4</v>
      </c>
      <c r="AT219">
        <v>0.7</v>
      </c>
      <c r="AU219">
        <v>3.2000000000000001E-2</v>
      </c>
      <c r="AV219">
        <v>-1.6</v>
      </c>
      <c r="AW219">
        <v>-1.4</v>
      </c>
      <c r="AX219">
        <v>-3</v>
      </c>
      <c r="AY219">
        <v>-0.3</v>
      </c>
      <c r="AZ219">
        <f t="shared" si="6"/>
        <v>-1.1499999999999999</v>
      </c>
      <c r="BA219">
        <f t="shared" si="7"/>
        <v>-0.27567703883546346</v>
      </c>
    </row>
    <row r="220" spans="1:53" x14ac:dyDescent="0.25">
      <c r="A220" t="s">
        <v>303</v>
      </c>
      <c r="B220" s="2">
        <v>4124280</v>
      </c>
      <c r="C220" t="s">
        <v>75</v>
      </c>
      <c r="D220">
        <v>19</v>
      </c>
      <c r="E220" t="s">
        <v>201</v>
      </c>
      <c r="F220">
        <v>67</v>
      </c>
      <c r="G220">
        <v>31</v>
      </c>
      <c r="H220">
        <v>24.9</v>
      </c>
      <c r="I220">
        <v>3.9</v>
      </c>
      <c r="J220">
        <v>5.9</v>
      </c>
      <c r="K220">
        <v>0.64800000000000002</v>
      </c>
      <c r="L220">
        <v>0</v>
      </c>
      <c r="M220">
        <v>0</v>
      </c>
      <c r="N220">
        <v>0</v>
      </c>
      <c r="O220">
        <v>3.9</v>
      </c>
      <c r="P220">
        <v>5.9</v>
      </c>
      <c r="Q220">
        <v>0.65200000000000002</v>
      </c>
      <c r="R220">
        <v>0.64800000000000002</v>
      </c>
      <c r="S220">
        <v>1.4</v>
      </c>
      <c r="T220">
        <v>2.2999999999999998</v>
      </c>
      <c r="U220">
        <v>0.61099999999999999</v>
      </c>
      <c r="V220">
        <v>3.4</v>
      </c>
      <c r="W220">
        <v>5.5</v>
      </c>
      <c r="X220">
        <v>8.9</v>
      </c>
      <c r="Y220">
        <v>1.1000000000000001</v>
      </c>
      <c r="Z220">
        <v>0.7</v>
      </c>
      <c r="AA220">
        <v>0.9</v>
      </c>
      <c r="AB220">
        <v>1.4</v>
      </c>
      <c r="AC220">
        <v>2.7</v>
      </c>
      <c r="AD220">
        <v>9.1</v>
      </c>
      <c r="AE220">
        <v>1670</v>
      </c>
      <c r="AF220">
        <v>17.3</v>
      </c>
      <c r="AG220">
        <v>0.65500000000000003</v>
      </c>
      <c r="AH220">
        <v>5.0000000000000001E-3</v>
      </c>
      <c r="AI220">
        <v>0.39400000000000002</v>
      </c>
      <c r="AJ220">
        <v>14.7</v>
      </c>
      <c r="AK220">
        <v>25.1</v>
      </c>
      <c r="AL220">
        <v>19.7</v>
      </c>
      <c r="AM220">
        <v>6.8</v>
      </c>
      <c r="AN220">
        <v>1.3</v>
      </c>
      <c r="AO220">
        <v>3.1</v>
      </c>
      <c r="AP220">
        <v>16.5</v>
      </c>
      <c r="AQ220">
        <v>14.3</v>
      </c>
      <c r="AR220">
        <v>2.9</v>
      </c>
      <c r="AS220">
        <v>1.6</v>
      </c>
      <c r="AT220">
        <v>4.5</v>
      </c>
      <c r="AU220">
        <v>0.129</v>
      </c>
      <c r="AV220">
        <v>-0.4</v>
      </c>
      <c r="AW220">
        <v>-0.4</v>
      </c>
      <c r="AX220">
        <v>-0.8</v>
      </c>
      <c r="AY220">
        <v>0.5</v>
      </c>
      <c r="AZ220" s="8">
        <f t="shared" si="6"/>
        <v>1.85</v>
      </c>
      <c r="BA220" s="8">
        <f t="shared" si="7"/>
        <v>0.44856314314256063</v>
      </c>
    </row>
    <row r="221" spans="1:53" hidden="1" x14ac:dyDescent="0.25">
      <c r="A221" t="s">
        <v>304</v>
      </c>
      <c r="B221" s="2">
        <v>4105236</v>
      </c>
      <c r="C221" t="s">
        <v>75</v>
      </c>
      <c r="D221">
        <v>33</v>
      </c>
      <c r="E221" t="s">
        <v>175</v>
      </c>
      <c r="F221">
        <v>31</v>
      </c>
      <c r="G221">
        <v>1</v>
      </c>
      <c r="H221">
        <v>11.5</v>
      </c>
      <c r="I221">
        <v>1.5</v>
      </c>
      <c r="J221">
        <v>3.8</v>
      </c>
      <c r="K221">
        <v>0.38500000000000001</v>
      </c>
      <c r="L221">
        <v>0.7</v>
      </c>
      <c r="M221">
        <v>2.4</v>
      </c>
      <c r="N221">
        <v>0.28000000000000003</v>
      </c>
      <c r="O221">
        <v>0.8</v>
      </c>
      <c r="P221">
        <v>1.4</v>
      </c>
      <c r="Q221">
        <v>0.57099999999999995</v>
      </c>
      <c r="R221">
        <v>0.47399999999999998</v>
      </c>
      <c r="S221">
        <v>0.3</v>
      </c>
      <c r="T221">
        <v>0.4</v>
      </c>
      <c r="U221">
        <v>0.76900000000000002</v>
      </c>
      <c r="V221">
        <v>0.9</v>
      </c>
      <c r="W221">
        <v>2.6</v>
      </c>
      <c r="X221">
        <v>3.5</v>
      </c>
      <c r="Y221">
        <v>1.7</v>
      </c>
      <c r="Z221">
        <v>0.1</v>
      </c>
      <c r="AA221">
        <v>0.5</v>
      </c>
      <c r="AB221">
        <v>1</v>
      </c>
      <c r="AC221">
        <v>1.8</v>
      </c>
      <c r="AD221">
        <v>3.9</v>
      </c>
      <c r="AE221">
        <v>358</v>
      </c>
      <c r="AF221">
        <v>9.9</v>
      </c>
      <c r="AG221">
        <v>0.49299999999999999</v>
      </c>
      <c r="AH221">
        <v>0.64100000000000001</v>
      </c>
      <c r="AI221">
        <v>0.111</v>
      </c>
      <c r="AJ221">
        <v>7.9</v>
      </c>
      <c r="AK221">
        <v>25.4</v>
      </c>
      <c r="AL221">
        <v>16.3</v>
      </c>
      <c r="AM221">
        <v>19.399999999999999</v>
      </c>
      <c r="AN221">
        <v>0.5</v>
      </c>
      <c r="AO221">
        <v>3.2</v>
      </c>
      <c r="AP221">
        <v>20.7</v>
      </c>
      <c r="AQ221">
        <v>17.899999999999999</v>
      </c>
      <c r="AR221">
        <v>-0.2</v>
      </c>
      <c r="AS221">
        <v>0.2</v>
      </c>
      <c r="AT221">
        <v>0</v>
      </c>
      <c r="AU221">
        <v>1E-3</v>
      </c>
      <c r="AV221">
        <v>-4</v>
      </c>
      <c r="AW221">
        <v>0.1</v>
      </c>
      <c r="AX221">
        <v>-3.9</v>
      </c>
      <c r="AY221">
        <v>-0.2</v>
      </c>
      <c r="AZ221">
        <f t="shared" si="6"/>
        <v>-1.95</v>
      </c>
      <c r="BA221">
        <f t="shared" si="7"/>
        <v>-0.47500314232848001</v>
      </c>
    </row>
    <row r="222" spans="1:53" hidden="1" x14ac:dyDescent="0.25">
      <c r="A222" t="s">
        <v>305</v>
      </c>
      <c r="B222" s="2">
        <v>4097561</v>
      </c>
      <c r="C222" t="s">
        <v>28</v>
      </c>
      <c r="D222">
        <v>26</v>
      </c>
      <c r="E222" t="s">
        <v>70</v>
      </c>
      <c r="F222">
        <v>29</v>
      </c>
      <c r="G222">
        <v>11</v>
      </c>
      <c r="H222">
        <v>26.8</v>
      </c>
      <c r="I222">
        <v>2.8</v>
      </c>
      <c r="J222">
        <v>6.8</v>
      </c>
      <c r="K222">
        <v>0.40899999999999997</v>
      </c>
      <c r="L222">
        <v>0.5</v>
      </c>
      <c r="M222">
        <v>1.6</v>
      </c>
      <c r="N222">
        <v>0.311</v>
      </c>
      <c r="O222">
        <v>2.2999999999999998</v>
      </c>
      <c r="P222">
        <v>5.3</v>
      </c>
      <c r="Q222">
        <v>0.438</v>
      </c>
      <c r="R222">
        <v>0.44400000000000001</v>
      </c>
      <c r="S222">
        <v>0.7</v>
      </c>
      <c r="T222">
        <v>1</v>
      </c>
      <c r="U222">
        <v>0.71399999999999997</v>
      </c>
      <c r="V222">
        <v>1.7</v>
      </c>
      <c r="W222">
        <v>3.3</v>
      </c>
      <c r="X222">
        <v>5</v>
      </c>
      <c r="Y222">
        <v>3.4</v>
      </c>
      <c r="Z222">
        <v>1</v>
      </c>
      <c r="AA222">
        <v>0.4</v>
      </c>
      <c r="AB222">
        <v>1.5</v>
      </c>
      <c r="AC222">
        <v>3.1</v>
      </c>
      <c r="AD222">
        <v>6.8</v>
      </c>
      <c r="AE222">
        <v>776</v>
      </c>
      <c r="AF222">
        <v>9.3000000000000007</v>
      </c>
      <c r="AG222">
        <v>0.46600000000000003</v>
      </c>
      <c r="AH222">
        <v>0.22700000000000001</v>
      </c>
      <c r="AI222">
        <v>0.14099999999999999</v>
      </c>
      <c r="AJ222">
        <v>7.2</v>
      </c>
      <c r="AK222">
        <v>14.3</v>
      </c>
      <c r="AL222">
        <v>10.7</v>
      </c>
      <c r="AM222">
        <v>17.2</v>
      </c>
      <c r="AN222">
        <v>1.9</v>
      </c>
      <c r="AO222">
        <v>1.3</v>
      </c>
      <c r="AP222">
        <v>17</v>
      </c>
      <c r="AQ222">
        <v>14.2</v>
      </c>
      <c r="AR222">
        <v>-0.1</v>
      </c>
      <c r="AS222">
        <v>0.5</v>
      </c>
      <c r="AT222">
        <v>0.4</v>
      </c>
      <c r="AU222">
        <v>2.1999999999999999E-2</v>
      </c>
      <c r="AV222">
        <v>-3.4</v>
      </c>
      <c r="AW222">
        <v>0.6</v>
      </c>
      <c r="AX222">
        <v>-2.8</v>
      </c>
      <c r="AY222">
        <v>-0.2</v>
      </c>
      <c r="AZ222">
        <f t="shared" si="6"/>
        <v>-1.2</v>
      </c>
      <c r="BA222">
        <f t="shared" si="7"/>
        <v>-0.29285714111394556</v>
      </c>
    </row>
    <row r="223" spans="1:53" hidden="1" x14ac:dyDescent="0.25">
      <c r="A223" t="s">
        <v>306</v>
      </c>
      <c r="B223" s="2">
        <v>4037277</v>
      </c>
      <c r="C223" t="s">
        <v>65</v>
      </c>
      <c r="D223">
        <v>26</v>
      </c>
      <c r="E223" t="s">
        <v>107</v>
      </c>
      <c r="F223">
        <v>3</v>
      </c>
      <c r="G223">
        <v>0</v>
      </c>
      <c r="H223">
        <v>3.3</v>
      </c>
      <c r="I223">
        <v>0.7</v>
      </c>
      <c r="J223">
        <v>1</v>
      </c>
      <c r="K223">
        <v>0.66700000000000004</v>
      </c>
      <c r="L223">
        <v>0.3</v>
      </c>
      <c r="M223">
        <v>0.7</v>
      </c>
      <c r="N223">
        <v>0.5</v>
      </c>
      <c r="O223">
        <v>0.3</v>
      </c>
      <c r="P223">
        <v>0.3</v>
      </c>
      <c r="Q223">
        <v>1</v>
      </c>
      <c r="R223">
        <v>0.83299999999999996</v>
      </c>
      <c r="S223">
        <v>0</v>
      </c>
      <c r="T223">
        <v>0</v>
      </c>
      <c r="V223">
        <v>0</v>
      </c>
      <c r="W223">
        <v>0</v>
      </c>
      <c r="X223">
        <v>0</v>
      </c>
      <c r="Y223">
        <v>0.3</v>
      </c>
      <c r="Z223">
        <v>0.3</v>
      </c>
      <c r="AA223">
        <v>0</v>
      </c>
      <c r="AB223">
        <v>0.3</v>
      </c>
      <c r="AC223">
        <v>0</v>
      </c>
      <c r="AD223">
        <v>1.7</v>
      </c>
      <c r="AE223">
        <v>10</v>
      </c>
      <c r="AF223">
        <v>19</v>
      </c>
      <c r="AG223">
        <v>0.83299999999999996</v>
      </c>
      <c r="AH223">
        <v>0.66700000000000004</v>
      </c>
      <c r="AI223">
        <v>0</v>
      </c>
      <c r="AJ223">
        <v>0</v>
      </c>
      <c r="AK223">
        <v>0</v>
      </c>
      <c r="AL223">
        <v>0</v>
      </c>
      <c r="AM223">
        <v>15.2</v>
      </c>
      <c r="AN223">
        <v>5</v>
      </c>
      <c r="AO223">
        <v>0</v>
      </c>
      <c r="AP223">
        <v>25</v>
      </c>
      <c r="AQ223">
        <v>17.899999999999999</v>
      </c>
      <c r="AR223">
        <v>0</v>
      </c>
      <c r="AS223">
        <v>0</v>
      </c>
      <c r="AT223">
        <v>0</v>
      </c>
      <c r="AU223">
        <v>0.14899999999999999</v>
      </c>
      <c r="AV223">
        <v>3.2</v>
      </c>
      <c r="AW223">
        <v>3.5</v>
      </c>
      <c r="AX223">
        <v>6.7</v>
      </c>
      <c r="AY223">
        <v>0</v>
      </c>
      <c r="AZ223">
        <f t="shared" si="6"/>
        <v>3.35</v>
      </c>
      <c r="BA223">
        <f t="shared" si="7"/>
        <v>0.829767192095068</v>
      </c>
    </row>
    <row r="224" spans="1:53" hidden="1" x14ac:dyDescent="0.25">
      <c r="A224" t="s">
        <v>307</v>
      </c>
      <c r="B224" s="2">
        <v>4022164</v>
      </c>
      <c r="C224" t="s">
        <v>65</v>
      </c>
      <c r="D224">
        <v>26</v>
      </c>
      <c r="E224" t="s">
        <v>175</v>
      </c>
      <c r="F224">
        <v>30</v>
      </c>
      <c r="G224">
        <v>0</v>
      </c>
      <c r="H224">
        <v>15.6</v>
      </c>
      <c r="I224">
        <v>2.2000000000000002</v>
      </c>
      <c r="J224">
        <v>4.0999999999999996</v>
      </c>
      <c r="K224">
        <v>0.53300000000000003</v>
      </c>
      <c r="L224">
        <v>0.6</v>
      </c>
      <c r="M224">
        <v>1.3</v>
      </c>
      <c r="N224">
        <v>0.45</v>
      </c>
      <c r="O224">
        <v>1.6</v>
      </c>
      <c r="P224">
        <v>2.7</v>
      </c>
      <c r="Q224">
        <v>0.57299999999999995</v>
      </c>
      <c r="R224">
        <v>0.60699999999999998</v>
      </c>
      <c r="S224">
        <v>0.9</v>
      </c>
      <c r="T224">
        <v>1.3</v>
      </c>
      <c r="U224">
        <v>0.66700000000000004</v>
      </c>
      <c r="V224">
        <v>0.7</v>
      </c>
      <c r="W224">
        <v>2.4</v>
      </c>
      <c r="X224">
        <v>3.2</v>
      </c>
      <c r="Y224">
        <v>2.2000000000000002</v>
      </c>
      <c r="Z224">
        <v>0.5</v>
      </c>
      <c r="AA224">
        <v>0.2</v>
      </c>
      <c r="AB224">
        <v>1.1000000000000001</v>
      </c>
      <c r="AC224">
        <v>1.6</v>
      </c>
      <c r="AD224">
        <v>5.8</v>
      </c>
      <c r="AE224">
        <v>469</v>
      </c>
      <c r="AF224">
        <v>13.5</v>
      </c>
      <c r="AG224">
        <v>0.625</v>
      </c>
      <c r="AH224">
        <v>0.32800000000000001</v>
      </c>
      <c r="AI224">
        <v>0.32</v>
      </c>
      <c r="AJ224">
        <v>4.9000000000000004</v>
      </c>
      <c r="AK224">
        <v>17.7</v>
      </c>
      <c r="AL224">
        <v>11.1</v>
      </c>
      <c r="AM224">
        <v>19</v>
      </c>
      <c r="AN224">
        <v>1.6</v>
      </c>
      <c r="AO224">
        <v>1.1000000000000001</v>
      </c>
      <c r="AP224">
        <v>19.2</v>
      </c>
      <c r="AQ224">
        <v>15.2</v>
      </c>
      <c r="AR224">
        <v>0.5</v>
      </c>
      <c r="AS224">
        <v>0.3</v>
      </c>
      <c r="AT224">
        <v>0.7</v>
      </c>
      <c r="AU224">
        <v>7.5999999999999998E-2</v>
      </c>
      <c r="AV224">
        <v>-0.8</v>
      </c>
      <c r="AW224">
        <v>-0.2</v>
      </c>
      <c r="AX224">
        <v>-1</v>
      </c>
      <c r="AY224">
        <v>0.1</v>
      </c>
      <c r="AZ224">
        <f t="shared" si="6"/>
        <v>-0.15000000000000002</v>
      </c>
      <c r="BA224">
        <f t="shared" si="7"/>
        <v>-3.7293357506058937E-2</v>
      </c>
    </row>
    <row r="225" spans="1:53" hidden="1" x14ac:dyDescent="0.25">
      <c r="A225" t="s">
        <v>308</v>
      </c>
      <c r="B225" s="2">
        <v>4000000</v>
      </c>
      <c r="C225" t="s">
        <v>62</v>
      </c>
      <c r="D225">
        <v>36</v>
      </c>
      <c r="E225" t="s">
        <v>93</v>
      </c>
      <c r="F225">
        <v>46</v>
      </c>
      <c r="G225">
        <v>1</v>
      </c>
      <c r="H225">
        <v>18.100000000000001</v>
      </c>
      <c r="I225">
        <v>1.7</v>
      </c>
      <c r="J225">
        <v>3.6</v>
      </c>
      <c r="K225">
        <v>0.47</v>
      </c>
      <c r="L225">
        <v>0.7</v>
      </c>
      <c r="M225">
        <v>2.1</v>
      </c>
      <c r="N225">
        <v>0.35799999999999998</v>
      </c>
      <c r="O225">
        <v>1</v>
      </c>
      <c r="P225">
        <v>1.5</v>
      </c>
      <c r="Q225">
        <v>0.62</v>
      </c>
      <c r="R225">
        <v>0.57199999999999995</v>
      </c>
      <c r="S225">
        <v>0.9</v>
      </c>
      <c r="T225">
        <v>1.2</v>
      </c>
      <c r="U225">
        <v>0.76400000000000001</v>
      </c>
      <c r="V225">
        <v>0.3</v>
      </c>
      <c r="W225">
        <v>1.5</v>
      </c>
      <c r="X225">
        <v>1.8</v>
      </c>
      <c r="Y225">
        <v>2.4</v>
      </c>
      <c r="Z225">
        <v>0.6</v>
      </c>
      <c r="AA225">
        <v>0.1</v>
      </c>
      <c r="AB225">
        <v>0.7</v>
      </c>
      <c r="AC225">
        <v>1.2</v>
      </c>
      <c r="AD225">
        <v>5</v>
      </c>
      <c r="AE225">
        <v>834</v>
      </c>
      <c r="AF225">
        <v>10.6</v>
      </c>
      <c r="AG225">
        <v>0.61</v>
      </c>
      <c r="AH225">
        <v>0.57199999999999995</v>
      </c>
      <c r="AI225">
        <v>0.33100000000000002</v>
      </c>
      <c r="AJ225">
        <v>2</v>
      </c>
      <c r="AK225">
        <v>8.6</v>
      </c>
      <c r="AL225">
        <v>5.4</v>
      </c>
      <c r="AM225">
        <v>16.7</v>
      </c>
      <c r="AN225">
        <v>1.5</v>
      </c>
      <c r="AO225">
        <v>0.6</v>
      </c>
      <c r="AP225">
        <v>15.2</v>
      </c>
      <c r="AQ225">
        <v>11.3</v>
      </c>
      <c r="AR225">
        <v>1.1000000000000001</v>
      </c>
      <c r="AS225">
        <v>0.8</v>
      </c>
      <c r="AT225">
        <v>1.9</v>
      </c>
      <c r="AU225">
        <v>0.107</v>
      </c>
      <c r="AV225">
        <v>-2.4</v>
      </c>
      <c r="AW225">
        <v>0.9</v>
      </c>
      <c r="AX225">
        <v>-1.5</v>
      </c>
      <c r="AY225">
        <v>0.1</v>
      </c>
      <c r="AZ225">
        <f t="shared" si="6"/>
        <v>0.19999999999999996</v>
      </c>
      <c r="BA225">
        <f t="shared" si="7"/>
        <v>4.9999999999999989E-2</v>
      </c>
    </row>
    <row r="226" spans="1:53" hidden="1" x14ac:dyDescent="0.25">
      <c r="A226" t="s">
        <v>309</v>
      </c>
      <c r="B226" s="2">
        <v>4000000</v>
      </c>
      <c r="C226" t="s">
        <v>62</v>
      </c>
      <c r="D226">
        <v>25</v>
      </c>
      <c r="E226" t="s">
        <v>116</v>
      </c>
      <c r="F226">
        <v>64</v>
      </c>
      <c r="G226">
        <v>5</v>
      </c>
      <c r="H226">
        <v>13.1</v>
      </c>
      <c r="I226">
        <v>2.4</v>
      </c>
      <c r="J226">
        <v>5.7</v>
      </c>
      <c r="K226">
        <v>0.42299999999999999</v>
      </c>
      <c r="L226">
        <v>1.4</v>
      </c>
      <c r="M226">
        <v>3.8</v>
      </c>
      <c r="N226">
        <v>0.36599999999999999</v>
      </c>
      <c r="O226">
        <v>1</v>
      </c>
      <c r="P226">
        <v>1.9</v>
      </c>
      <c r="Q226">
        <v>0.53700000000000003</v>
      </c>
      <c r="R226">
        <v>0.54500000000000004</v>
      </c>
      <c r="S226">
        <v>0.5</v>
      </c>
      <c r="T226">
        <v>0.7</v>
      </c>
      <c r="U226">
        <v>0.79100000000000004</v>
      </c>
      <c r="V226">
        <v>0.3</v>
      </c>
      <c r="W226">
        <v>1.9</v>
      </c>
      <c r="X226">
        <v>2.2000000000000002</v>
      </c>
      <c r="Y226">
        <v>1</v>
      </c>
      <c r="Z226">
        <v>0.7</v>
      </c>
      <c r="AA226">
        <v>0.2</v>
      </c>
      <c r="AB226">
        <v>0.8</v>
      </c>
      <c r="AC226">
        <v>1.6</v>
      </c>
      <c r="AD226">
        <v>6.7</v>
      </c>
      <c r="AE226">
        <v>841</v>
      </c>
      <c r="AF226">
        <v>12.9</v>
      </c>
      <c r="AG226">
        <v>0.56299999999999994</v>
      </c>
      <c r="AH226">
        <v>0.66800000000000004</v>
      </c>
      <c r="AI226">
        <v>0.11799999999999999</v>
      </c>
      <c r="AJ226">
        <v>2.7</v>
      </c>
      <c r="AK226">
        <v>16.100000000000001</v>
      </c>
      <c r="AL226">
        <v>9.4</v>
      </c>
      <c r="AM226">
        <v>11.1</v>
      </c>
      <c r="AN226">
        <v>2.4</v>
      </c>
      <c r="AO226">
        <v>1.2</v>
      </c>
      <c r="AP226">
        <v>12.2</v>
      </c>
      <c r="AQ226">
        <v>22.2</v>
      </c>
      <c r="AR226">
        <v>0</v>
      </c>
      <c r="AS226">
        <v>0.9</v>
      </c>
      <c r="AT226">
        <v>0.9</v>
      </c>
      <c r="AU226">
        <v>5.3999999999999999E-2</v>
      </c>
      <c r="AV226">
        <v>-1.3</v>
      </c>
      <c r="AW226">
        <v>-0.3</v>
      </c>
      <c r="AX226">
        <v>-1.5</v>
      </c>
      <c r="AY226">
        <v>0.1</v>
      </c>
      <c r="AZ226">
        <f t="shared" si="6"/>
        <v>-0.3</v>
      </c>
      <c r="BA226">
        <f t="shared" si="7"/>
        <v>-7.4999999999999997E-2</v>
      </c>
    </row>
    <row r="227" spans="1:53" hidden="1" x14ac:dyDescent="0.25">
      <c r="A227" t="s">
        <v>310</v>
      </c>
      <c r="B227" s="2">
        <v>3936960</v>
      </c>
      <c r="C227" t="s">
        <v>65</v>
      </c>
      <c r="D227">
        <v>25</v>
      </c>
      <c r="E227" t="s">
        <v>93</v>
      </c>
      <c r="F227">
        <v>46</v>
      </c>
      <c r="G227">
        <v>12</v>
      </c>
      <c r="H227">
        <v>19.5</v>
      </c>
      <c r="I227">
        <v>2.7</v>
      </c>
      <c r="J227">
        <v>7.2</v>
      </c>
      <c r="K227">
        <v>0.36899999999999999</v>
      </c>
      <c r="L227">
        <v>1.2</v>
      </c>
      <c r="M227">
        <v>3.8</v>
      </c>
      <c r="N227">
        <v>0.316</v>
      </c>
      <c r="O227">
        <v>1.5</v>
      </c>
      <c r="P227">
        <v>3.5</v>
      </c>
      <c r="Q227">
        <v>0.42799999999999999</v>
      </c>
      <c r="R227">
        <v>0.45200000000000001</v>
      </c>
      <c r="S227">
        <v>1.3</v>
      </c>
      <c r="T227">
        <v>1.6</v>
      </c>
      <c r="U227">
        <v>0.84699999999999998</v>
      </c>
      <c r="V227">
        <v>0.4</v>
      </c>
      <c r="W227">
        <v>2.1</v>
      </c>
      <c r="X227">
        <v>2.5</v>
      </c>
      <c r="Y227">
        <v>1.4</v>
      </c>
      <c r="Z227">
        <v>0.5</v>
      </c>
      <c r="AA227">
        <v>0.2</v>
      </c>
      <c r="AB227">
        <v>0.9</v>
      </c>
      <c r="AC227">
        <v>1.4</v>
      </c>
      <c r="AD227">
        <v>7.9</v>
      </c>
      <c r="AE227">
        <v>897</v>
      </c>
      <c r="AF227">
        <v>8.6</v>
      </c>
      <c r="AG227">
        <v>0.496</v>
      </c>
      <c r="AH227">
        <v>0.52300000000000002</v>
      </c>
      <c r="AI227">
        <v>0.216</v>
      </c>
      <c r="AJ227">
        <v>2.4</v>
      </c>
      <c r="AK227">
        <v>11.9</v>
      </c>
      <c r="AL227">
        <v>7.1</v>
      </c>
      <c r="AM227">
        <v>9.6999999999999993</v>
      </c>
      <c r="AN227">
        <v>1.3</v>
      </c>
      <c r="AO227">
        <v>0.9</v>
      </c>
      <c r="AP227">
        <v>10.1</v>
      </c>
      <c r="AQ227">
        <v>19</v>
      </c>
      <c r="AR227">
        <v>-0.5</v>
      </c>
      <c r="AS227">
        <v>0.4</v>
      </c>
      <c r="AT227">
        <v>0</v>
      </c>
      <c r="AU227">
        <v>-3.0000000000000001E-3</v>
      </c>
      <c r="AV227">
        <v>-2.9</v>
      </c>
      <c r="AW227">
        <v>-1.6</v>
      </c>
      <c r="AX227">
        <v>-4.5</v>
      </c>
      <c r="AY227">
        <v>-0.6</v>
      </c>
      <c r="AZ227">
        <f t="shared" si="6"/>
        <v>-2.25</v>
      </c>
      <c r="BA227">
        <f t="shared" si="7"/>
        <v>-0.5715069495245062</v>
      </c>
    </row>
    <row r="228" spans="1:53" hidden="1" x14ac:dyDescent="0.25">
      <c r="A228" t="s">
        <v>311</v>
      </c>
      <c r="B228" s="2">
        <v>3918600</v>
      </c>
      <c r="C228" t="s">
        <v>75</v>
      </c>
      <c r="D228">
        <v>29</v>
      </c>
      <c r="E228" t="s">
        <v>116</v>
      </c>
      <c r="F228">
        <v>26</v>
      </c>
      <c r="G228">
        <v>2</v>
      </c>
      <c r="H228">
        <v>6.2</v>
      </c>
      <c r="I228">
        <v>0.6</v>
      </c>
      <c r="J228">
        <v>1.2</v>
      </c>
      <c r="K228">
        <v>0.53300000000000003</v>
      </c>
      <c r="L228">
        <v>0</v>
      </c>
      <c r="M228">
        <v>0.1</v>
      </c>
      <c r="N228">
        <v>0</v>
      </c>
      <c r="O228">
        <v>0.6</v>
      </c>
      <c r="P228">
        <v>1.1000000000000001</v>
      </c>
      <c r="Q228">
        <v>0.57099999999999995</v>
      </c>
      <c r="R228">
        <v>0.53300000000000003</v>
      </c>
      <c r="S228">
        <v>0.4</v>
      </c>
      <c r="T228">
        <v>0.6</v>
      </c>
      <c r="U228">
        <v>0.68799999999999994</v>
      </c>
      <c r="V228">
        <v>0.9</v>
      </c>
      <c r="W228">
        <v>1.4</v>
      </c>
      <c r="X228">
        <v>2.2999999999999998</v>
      </c>
      <c r="Y228">
        <v>0.5</v>
      </c>
      <c r="Z228">
        <v>0.2</v>
      </c>
      <c r="AA228">
        <v>0.4</v>
      </c>
      <c r="AB228">
        <v>0.6</v>
      </c>
      <c r="AC228">
        <v>1.1000000000000001</v>
      </c>
      <c r="AD228">
        <v>1.7</v>
      </c>
      <c r="AE228">
        <v>161</v>
      </c>
      <c r="AF228">
        <v>12.8</v>
      </c>
      <c r="AG228">
        <v>0.57999999999999996</v>
      </c>
      <c r="AH228">
        <v>6.7000000000000004E-2</v>
      </c>
      <c r="AI228">
        <v>0.53300000000000003</v>
      </c>
      <c r="AJ228">
        <v>17.2</v>
      </c>
      <c r="AK228">
        <v>25.4</v>
      </c>
      <c r="AL228">
        <v>21.3</v>
      </c>
      <c r="AM228">
        <v>9.3000000000000007</v>
      </c>
      <c r="AN228">
        <v>1.2</v>
      </c>
      <c r="AO228">
        <v>6</v>
      </c>
      <c r="AP228">
        <v>30.2</v>
      </c>
      <c r="AQ228">
        <v>14.1</v>
      </c>
      <c r="AR228">
        <v>0.1</v>
      </c>
      <c r="AS228">
        <v>0.2</v>
      </c>
      <c r="AT228">
        <v>0.3</v>
      </c>
      <c r="AU228">
        <v>8.5000000000000006E-2</v>
      </c>
      <c r="AV228">
        <v>-4.9000000000000004</v>
      </c>
      <c r="AW228">
        <v>0.9</v>
      </c>
      <c r="AX228">
        <v>-4</v>
      </c>
      <c r="AY228">
        <v>-0.1</v>
      </c>
      <c r="AZ228">
        <f t="shared" si="6"/>
        <v>-1.85</v>
      </c>
      <c r="BA228">
        <f t="shared" si="7"/>
        <v>-0.47210738529066504</v>
      </c>
    </row>
    <row r="229" spans="1:53" hidden="1" x14ac:dyDescent="0.25">
      <c r="A229" t="s">
        <v>312</v>
      </c>
      <c r="B229" s="2">
        <v>3918360</v>
      </c>
      <c r="C229" t="s">
        <v>62</v>
      </c>
      <c r="D229">
        <v>22</v>
      </c>
      <c r="E229" t="s">
        <v>130</v>
      </c>
      <c r="F229">
        <v>59</v>
      </c>
      <c r="G229">
        <v>22</v>
      </c>
      <c r="H229">
        <v>20.5</v>
      </c>
      <c r="I229">
        <v>2.8</v>
      </c>
      <c r="J229">
        <v>6.5</v>
      </c>
      <c r="K229">
        <v>0.42699999999999999</v>
      </c>
      <c r="L229">
        <v>1.4</v>
      </c>
      <c r="M229">
        <v>3.9</v>
      </c>
      <c r="N229">
        <v>0.35499999999999998</v>
      </c>
      <c r="O229">
        <v>1.4</v>
      </c>
      <c r="P229">
        <v>2.7</v>
      </c>
      <c r="Q229">
        <v>0.53200000000000003</v>
      </c>
      <c r="R229">
        <v>0.53200000000000003</v>
      </c>
      <c r="S229">
        <v>0.9</v>
      </c>
      <c r="T229">
        <v>1.2</v>
      </c>
      <c r="U229">
        <v>0.81200000000000006</v>
      </c>
      <c r="V229">
        <v>0.7</v>
      </c>
      <c r="W229">
        <v>1.3</v>
      </c>
      <c r="X229">
        <v>2.1</v>
      </c>
      <c r="Y229">
        <v>1.1000000000000001</v>
      </c>
      <c r="Z229">
        <v>0.3</v>
      </c>
      <c r="AA229">
        <v>0.3</v>
      </c>
      <c r="AB229">
        <v>0.7</v>
      </c>
      <c r="AC229">
        <v>1.7</v>
      </c>
      <c r="AD229">
        <v>7.9</v>
      </c>
      <c r="AE229">
        <v>1209</v>
      </c>
      <c r="AF229">
        <v>9.5</v>
      </c>
      <c r="AG229">
        <v>0.56100000000000005</v>
      </c>
      <c r="AH229">
        <v>0.59099999999999997</v>
      </c>
      <c r="AI229">
        <v>0.17899999999999999</v>
      </c>
      <c r="AJ229">
        <v>3.9</v>
      </c>
      <c r="AK229">
        <v>6.9</v>
      </c>
      <c r="AL229">
        <v>5.4</v>
      </c>
      <c r="AM229">
        <v>7.5</v>
      </c>
      <c r="AN229">
        <v>0.6</v>
      </c>
      <c r="AO229">
        <v>1</v>
      </c>
      <c r="AP229">
        <v>9</v>
      </c>
      <c r="AQ229">
        <v>15.8</v>
      </c>
      <c r="AR229">
        <v>0.9</v>
      </c>
      <c r="AS229">
        <v>0.4</v>
      </c>
      <c r="AT229">
        <v>1.3</v>
      </c>
      <c r="AU229">
        <v>5.2999999999999999E-2</v>
      </c>
      <c r="AV229">
        <v>-1.7</v>
      </c>
      <c r="AW229">
        <v>-1.4</v>
      </c>
      <c r="AX229">
        <v>-3</v>
      </c>
      <c r="AY229">
        <v>-0.3</v>
      </c>
      <c r="AZ229">
        <f t="shared" si="6"/>
        <v>-0.85</v>
      </c>
      <c r="BA229">
        <f t="shared" si="7"/>
        <v>-0.21692749007237722</v>
      </c>
    </row>
    <row r="230" spans="1:53" x14ac:dyDescent="0.25">
      <c r="A230" t="s">
        <v>313</v>
      </c>
      <c r="B230" s="2">
        <v>3901399</v>
      </c>
      <c r="C230" t="s">
        <v>52</v>
      </c>
      <c r="D230">
        <v>23</v>
      </c>
      <c r="E230" t="s">
        <v>53</v>
      </c>
      <c r="F230">
        <v>82</v>
      </c>
      <c r="G230">
        <v>43</v>
      </c>
      <c r="H230">
        <v>30</v>
      </c>
      <c r="I230">
        <v>6.7</v>
      </c>
      <c r="J230">
        <v>15.6</v>
      </c>
      <c r="K230">
        <v>0.43</v>
      </c>
      <c r="L230">
        <v>2.6</v>
      </c>
      <c r="M230">
        <v>7.8</v>
      </c>
      <c r="N230">
        <v>0.33600000000000002</v>
      </c>
      <c r="O230">
        <v>4.0999999999999996</v>
      </c>
      <c r="P230">
        <v>7.8</v>
      </c>
      <c r="Q230">
        <v>0.52400000000000002</v>
      </c>
      <c r="R230">
        <v>0.51400000000000001</v>
      </c>
      <c r="S230">
        <v>4.4000000000000004</v>
      </c>
      <c r="T230">
        <v>5.0999999999999996</v>
      </c>
      <c r="U230">
        <v>0.87</v>
      </c>
      <c r="V230">
        <v>0.4</v>
      </c>
      <c r="W230">
        <v>2.4</v>
      </c>
      <c r="X230">
        <v>2.7</v>
      </c>
      <c r="Y230">
        <v>4.5</v>
      </c>
      <c r="Z230">
        <v>0.8</v>
      </c>
      <c r="AA230">
        <v>0.3</v>
      </c>
      <c r="AB230">
        <v>3.1</v>
      </c>
      <c r="AC230">
        <v>2.6</v>
      </c>
      <c r="AD230">
        <v>20.399999999999999</v>
      </c>
      <c r="AE230">
        <v>2458</v>
      </c>
      <c r="AF230">
        <v>14.6</v>
      </c>
      <c r="AG230">
        <v>0.57299999999999995</v>
      </c>
      <c r="AH230">
        <v>0.498</v>
      </c>
      <c r="AI230">
        <v>0.32500000000000001</v>
      </c>
      <c r="AJ230">
        <v>1.5</v>
      </c>
      <c r="AK230">
        <v>8.5</v>
      </c>
      <c r="AL230">
        <v>5</v>
      </c>
      <c r="AM230">
        <v>22.5</v>
      </c>
      <c r="AN230">
        <v>1.2</v>
      </c>
      <c r="AO230">
        <v>0.8</v>
      </c>
      <c r="AP230">
        <v>14.7</v>
      </c>
      <c r="AQ230">
        <v>29.2</v>
      </c>
      <c r="AR230">
        <v>1.4</v>
      </c>
      <c r="AS230">
        <v>1.9</v>
      </c>
      <c r="AT230">
        <v>3.2</v>
      </c>
      <c r="AU230">
        <v>6.3E-2</v>
      </c>
      <c r="AV230">
        <v>-0.1</v>
      </c>
      <c r="AW230">
        <v>-1.8</v>
      </c>
      <c r="AX230">
        <v>-1.9</v>
      </c>
      <c r="AY230">
        <v>0.1</v>
      </c>
      <c r="AZ230" s="8">
        <f t="shared" si="6"/>
        <v>0.65000000000000013</v>
      </c>
      <c r="BA230" s="8">
        <f t="shared" si="7"/>
        <v>0.16660690178061771</v>
      </c>
    </row>
    <row r="231" spans="1:53" hidden="1" x14ac:dyDescent="0.25">
      <c r="A231" t="s">
        <v>314</v>
      </c>
      <c r="B231" s="2">
        <v>3873024</v>
      </c>
      <c r="C231" t="s">
        <v>65</v>
      </c>
      <c r="D231">
        <v>23</v>
      </c>
      <c r="E231" t="s">
        <v>175</v>
      </c>
      <c r="F231">
        <v>63</v>
      </c>
      <c r="G231">
        <v>63</v>
      </c>
      <c r="H231">
        <v>32.700000000000003</v>
      </c>
      <c r="I231">
        <v>8</v>
      </c>
      <c r="J231">
        <v>17.7</v>
      </c>
      <c r="K231">
        <v>0.45200000000000001</v>
      </c>
      <c r="L231">
        <v>2.1</v>
      </c>
      <c r="M231">
        <v>6.5</v>
      </c>
      <c r="N231">
        <v>0.32900000000000001</v>
      </c>
      <c r="O231">
        <v>5.9</v>
      </c>
      <c r="P231">
        <v>11.2</v>
      </c>
      <c r="Q231">
        <v>0.52300000000000002</v>
      </c>
      <c r="R231">
        <v>0.51200000000000001</v>
      </c>
      <c r="S231">
        <v>3.9</v>
      </c>
      <c r="T231">
        <v>5.2</v>
      </c>
      <c r="U231">
        <v>0.749</v>
      </c>
      <c r="V231">
        <v>0.9</v>
      </c>
      <c r="W231">
        <v>4.2</v>
      </c>
      <c r="X231">
        <v>5</v>
      </c>
      <c r="Y231">
        <v>2.9</v>
      </c>
      <c r="Z231">
        <v>0.7</v>
      </c>
      <c r="AA231">
        <v>0.2</v>
      </c>
      <c r="AB231">
        <v>2.1</v>
      </c>
      <c r="AC231">
        <v>2</v>
      </c>
      <c r="AD231">
        <v>22</v>
      </c>
      <c r="AE231">
        <v>2063</v>
      </c>
      <c r="AF231">
        <v>15.3</v>
      </c>
      <c r="AG231">
        <v>0.55100000000000005</v>
      </c>
      <c r="AH231">
        <v>0.36599999999999999</v>
      </c>
      <c r="AI231">
        <v>0.29399999999999998</v>
      </c>
      <c r="AJ231">
        <v>2.9</v>
      </c>
      <c r="AK231">
        <v>14.4</v>
      </c>
      <c r="AL231">
        <v>8.4</v>
      </c>
      <c r="AM231">
        <v>13.7</v>
      </c>
      <c r="AN231">
        <v>1.1000000000000001</v>
      </c>
      <c r="AO231">
        <v>0.4</v>
      </c>
      <c r="AP231">
        <v>9.6</v>
      </c>
      <c r="AQ231">
        <v>27.9</v>
      </c>
      <c r="AR231">
        <v>0.7</v>
      </c>
      <c r="AS231">
        <v>0.5</v>
      </c>
      <c r="AT231">
        <v>1.3</v>
      </c>
      <c r="AU231">
        <v>0.03</v>
      </c>
      <c r="AV231">
        <v>0.7</v>
      </c>
      <c r="AW231">
        <v>-2.5</v>
      </c>
      <c r="AX231">
        <v>-1.8</v>
      </c>
      <c r="AY231">
        <v>0.1</v>
      </c>
      <c r="AZ231">
        <f t="shared" si="6"/>
        <v>-0.25</v>
      </c>
      <c r="BA231">
        <f t="shared" si="7"/>
        <v>-6.4549044880692713E-2</v>
      </c>
    </row>
    <row r="232" spans="1:53" hidden="1" x14ac:dyDescent="0.25">
      <c r="A232" t="s">
        <v>315</v>
      </c>
      <c r="B232" s="2">
        <v>3841067</v>
      </c>
      <c r="C232" t="s">
        <v>28</v>
      </c>
      <c r="D232">
        <v>35</v>
      </c>
      <c r="E232" t="s">
        <v>93</v>
      </c>
      <c r="F232">
        <v>18</v>
      </c>
      <c r="G232">
        <v>1</v>
      </c>
      <c r="H232">
        <v>9</v>
      </c>
      <c r="I232">
        <v>1.2</v>
      </c>
      <c r="J232">
        <v>2.7</v>
      </c>
      <c r="K232">
        <v>0.44900000000000001</v>
      </c>
      <c r="L232">
        <v>0.2</v>
      </c>
      <c r="M232">
        <v>0.8</v>
      </c>
      <c r="N232">
        <v>0.2</v>
      </c>
      <c r="O232">
        <v>1.1000000000000001</v>
      </c>
      <c r="P232">
        <v>1.9</v>
      </c>
      <c r="Q232">
        <v>0.55900000000000005</v>
      </c>
      <c r="R232">
        <v>0.48</v>
      </c>
      <c r="S232">
        <v>0.2</v>
      </c>
      <c r="T232">
        <v>0.4</v>
      </c>
      <c r="U232">
        <v>0.5</v>
      </c>
      <c r="V232">
        <v>0.2</v>
      </c>
      <c r="W232">
        <v>1.4</v>
      </c>
      <c r="X232">
        <v>1.7</v>
      </c>
      <c r="Y232">
        <v>0.8</v>
      </c>
      <c r="Z232">
        <v>0.4</v>
      </c>
      <c r="AA232">
        <v>0.3</v>
      </c>
      <c r="AB232">
        <v>0.4</v>
      </c>
      <c r="AC232">
        <v>1.8</v>
      </c>
      <c r="AD232">
        <v>2.8</v>
      </c>
      <c r="AE232">
        <v>162</v>
      </c>
      <c r="AF232">
        <v>8.4</v>
      </c>
      <c r="AG232">
        <v>0.48599999999999999</v>
      </c>
      <c r="AH232">
        <v>0.30599999999999999</v>
      </c>
      <c r="AI232">
        <v>0.16300000000000001</v>
      </c>
      <c r="AJ232">
        <v>2.7</v>
      </c>
      <c r="AK232">
        <v>17.8</v>
      </c>
      <c r="AL232">
        <v>10.3</v>
      </c>
      <c r="AM232">
        <v>12.6</v>
      </c>
      <c r="AN232">
        <v>2.1</v>
      </c>
      <c r="AO232">
        <v>3.2</v>
      </c>
      <c r="AP232">
        <v>13.2</v>
      </c>
      <c r="AQ232">
        <v>15.7</v>
      </c>
      <c r="AR232">
        <v>-0.1</v>
      </c>
      <c r="AS232">
        <v>0.2</v>
      </c>
      <c r="AT232">
        <v>0.1</v>
      </c>
      <c r="AU232">
        <v>1.7000000000000001E-2</v>
      </c>
      <c r="AV232">
        <v>-5.7</v>
      </c>
      <c r="AW232">
        <v>1.2</v>
      </c>
      <c r="AX232">
        <v>-4.4000000000000004</v>
      </c>
      <c r="AY232">
        <v>-0.1</v>
      </c>
      <c r="AZ232">
        <f t="shared" si="6"/>
        <v>-2.1500000000000004</v>
      </c>
      <c r="BA232">
        <f t="shared" si="7"/>
        <v>-0.55974030132773012</v>
      </c>
    </row>
    <row r="233" spans="1:53" hidden="1" x14ac:dyDescent="0.25">
      <c r="A233" t="s">
        <v>316</v>
      </c>
      <c r="B233" s="2">
        <v>3804360</v>
      </c>
      <c r="C233" t="s">
        <v>65</v>
      </c>
      <c r="D233">
        <v>23</v>
      </c>
      <c r="E233" t="s">
        <v>93</v>
      </c>
      <c r="F233">
        <v>73</v>
      </c>
      <c r="G233">
        <v>60</v>
      </c>
      <c r="H233">
        <v>24.9</v>
      </c>
      <c r="I233">
        <v>3.5</v>
      </c>
      <c r="J233">
        <v>8.1</v>
      </c>
      <c r="K233">
        <v>0.42699999999999999</v>
      </c>
      <c r="L233">
        <v>1.6</v>
      </c>
      <c r="M233">
        <v>4.3</v>
      </c>
      <c r="N233">
        <v>0.36599999999999999</v>
      </c>
      <c r="O233">
        <v>1.9</v>
      </c>
      <c r="P233">
        <v>3.8</v>
      </c>
      <c r="Q233">
        <v>0.496</v>
      </c>
      <c r="R233">
        <v>0.52500000000000002</v>
      </c>
      <c r="S233">
        <v>1.6</v>
      </c>
      <c r="T233">
        <v>1.9</v>
      </c>
      <c r="U233">
        <v>0.83799999999999997</v>
      </c>
      <c r="V233">
        <v>0.8</v>
      </c>
      <c r="W233">
        <v>2.9</v>
      </c>
      <c r="X233">
        <v>3.8</v>
      </c>
      <c r="Y233">
        <v>1.3</v>
      </c>
      <c r="Z233">
        <v>0.8</v>
      </c>
      <c r="AA233">
        <v>0.5</v>
      </c>
      <c r="AB233">
        <v>1</v>
      </c>
      <c r="AC233">
        <v>3.2</v>
      </c>
      <c r="AD233">
        <v>10.1</v>
      </c>
      <c r="AE233">
        <v>1816</v>
      </c>
      <c r="AF233">
        <v>10.5</v>
      </c>
      <c r="AG233">
        <v>0.56599999999999995</v>
      </c>
      <c r="AH233">
        <v>0.53200000000000003</v>
      </c>
      <c r="AI233">
        <v>0.24099999999999999</v>
      </c>
      <c r="AJ233">
        <v>3.8</v>
      </c>
      <c r="AK233">
        <v>13.1</v>
      </c>
      <c r="AL233">
        <v>8.5</v>
      </c>
      <c r="AM233">
        <v>7.4</v>
      </c>
      <c r="AN233">
        <v>1.4</v>
      </c>
      <c r="AO233">
        <v>1.6</v>
      </c>
      <c r="AP233">
        <v>10.3</v>
      </c>
      <c r="AQ233">
        <v>16.8</v>
      </c>
      <c r="AR233">
        <v>0.9</v>
      </c>
      <c r="AS233">
        <v>1.1000000000000001</v>
      </c>
      <c r="AT233">
        <v>2</v>
      </c>
      <c r="AU233">
        <v>5.1999999999999998E-2</v>
      </c>
      <c r="AV233">
        <v>-2.2999999999999998</v>
      </c>
      <c r="AW233">
        <v>-0.7</v>
      </c>
      <c r="AX233">
        <v>-3</v>
      </c>
      <c r="AY233">
        <v>-0.4</v>
      </c>
      <c r="AZ233">
        <f t="shared" si="6"/>
        <v>-0.5</v>
      </c>
      <c r="BA233">
        <f t="shared" si="7"/>
        <v>-0.13142815085848869</v>
      </c>
    </row>
    <row r="234" spans="1:53" hidden="1" x14ac:dyDescent="0.25">
      <c r="A234" t="s">
        <v>317</v>
      </c>
      <c r="B234" s="2">
        <v>3740160</v>
      </c>
      <c r="C234" t="s">
        <v>62</v>
      </c>
      <c r="D234">
        <v>20</v>
      </c>
      <c r="E234" t="s">
        <v>53</v>
      </c>
      <c r="F234">
        <v>63</v>
      </c>
      <c r="G234">
        <v>3</v>
      </c>
      <c r="H234">
        <v>13</v>
      </c>
      <c r="I234">
        <v>1.7</v>
      </c>
      <c r="J234">
        <v>3.6</v>
      </c>
      <c r="K234">
        <v>0.47599999999999998</v>
      </c>
      <c r="L234">
        <v>0.8</v>
      </c>
      <c r="M234">
        <v>2.1</v>
      </c>
      <c r="N234">
        <v>0.36299999999999999</v>
      </c>
      <c r="O234">
        <v>0.9</v>
      </c>
      <c r="P234">
        <v>1.5</v>
      </c>
      <c r="Q234">
        <v>0.64100000000000001</v>
      </c>
      <c r="R234">
        <v>0.58399999999999996</v>
      </c>
      <c r="S234">
        <v>0.6</v>
      </c>
      <c r="T234">
        <v>0.8</v>
      </c>
      <c r="U234">
        <v>0.69799999999999995</v>
      </c>
      <c r="V234">
        <v>0.4</v>
      </c>
      <c r="W234">
        <v>1.2</v>
      </c>
      <c r="X234">
        <v>1.7</v>
      </c>
      <c r="Y234">
        <v>0.8</v>
      </c>
      <c r="Z234">
        <v>0.3</v>
      </c>
      <c r="AA234">
        <v>0.1</v>
      </c>
      <c r="AB234">
        <v>0.5</v>
      </c>
      <c r="AC234">
        <v>0.9</v>
      </c>
      <c r="AD234">
        <v>4.8</v>
      </c>
      <c r="AE234">
        <v>817</v>
      </c>
      <c r="AF234">
        <v>10.3</v>
      </c>
      <c r="AG234">
        <v>0.60299999999999998</v>
      </c>
      <c r="AH234">
        <v>0.59499999999999997</v>
      </c>
      <c r="AI234">
        <v>0.23300000000000001</v>
      </c>
      <c r="AJ234">
        <v>3.8</v>
      </c>
      <c r="AK234">
        <v>10.199999999999999</v>
      </c>
      <c r="AL234">
        <v>7.1</v>
      </c>
      <c r="AM234">
        <v>8.1999999999999993</v>
      </c>
      <c r="AN234">
        <v>1</v>
      </c>
      <c r="AO234">
        <v>0.8</v>
      </c>
      <c r="AP234">
        <v>12</v>
      </c>
      <c r="AQ234">
        <v>14.6</v>
      </c>
      <c r="AR234">
        <v>0.7</v>
      </c>
      <c r="AS234">
        <v>0.6</v>
      </c>
      <c r="AT234">
        <v>1.3</v>
      </c>
      <c r="AU234">
        <v>7.5999999999999998E-2</v>
      </c>
      <c r="AV234">
        <v>-1.7</v>
      </c>
      <c r="AW234">
        <v>-0.9</v>
      </c>
      <c r="AX234">
        <v>-2.6</v>
      </c>
      <c r="AY234">
        <v>-0.1</v>
      </c>
      <c r="AZ234">
        <f t="shared" si="6"/>
        <v>-0.65</v>
      </c>
      <c r="BA234">
        <f t="shared" si="7"/>
        <v>-0.17378935660506503</v>
      </c>
    </row>
    <row r="235" spans="1:53" hidden="1" x14ac:dyDescent="0.25">
      <c r="A235" t="s">
        <v>318</v>
      </c>
      <c r="B235" s="2">
        <v>3722040</v>
      </c>
      <c r="C235" t="s">
        <v>75</v>
      </c>
      <c r="D235">
        <v>21</v>
      </c>
      <c r="E235" t="s">
        <v>118</v>
      </c>
      <c r="F235">
        <v>43</v>
      </c>
      <c r="G235">
        <v>17</v>
      </c>
      <c r="H235">
        <v>19.3</v>
      </c>
      <c r="I235">
        <v>3.7</v>
      </c>
      <c r="J235">
        <v>5.8</v>
      </c>
      <c r="K235">
        <v>0.63700000000000001</v>
      </c>
      <c r="L235">
        <v>0</v>
      </c>
      <c r="M235">
        <v>0</v>
      </c>
      <c r="O235">
        <v>3.7</v>
      </c>
      <c r="P235">
        <v>5.8</v>
      </c>
      <c r="Q235">
        <v>0.63700000000000001</v>
      </c>
      <c r="R235">
        <v>0.63700000000000001</v>
      </c>
      <c r="S235">
        <v>1.6</v>
      </c>
      <c r="T235">
        <v>2.2999999999999998</v>
      </c>
      <c r="U235">
        <v>0.69099999999999995</v>
      </c>
      <c r="V235">
        <v>2.2000000000000002</v>
      </c>
      <c r="W235">
        <v>4.9000000000000004</v>
      </c>
      <c r="X235">
        <v>7.1</v>
      </c>
      <c r="Y235">
        <v>0.4</v>
      </c>
      <c r="Z235">
        <v>0.7</v>
      </c>
      <c r="AA235">
        <v>1</v>
      </c>
      <c r="AB235">
        <v>0.9</v>
      </c>
      <c r="AC235">
        <v>2.2000000000000002</v>
      </c>
      <c r="AD235">
        <v>9</v>
      </c>
      <c r="AE235">
        <v>828</v>
      </c>
      <c r="AF235">
        <v>19.8</v>
      </c>
      <c r="AG235">
        <v>0.65900000000000003</v>
      </c>
      <c r="AH235">
        <v>0</v>
      </c>
      <c r="AI235">
        <v>0.38600000000000001</v>
      </c>
      <c r="AJ235">
        <v>11.7</v>
      </c>
      <c r="AK235">
        <v>27.7</v>
      </c>
      <c r="AL235">
        <v>19.600000000000001</v>
      </c>
      <c r="AM235">
        <v>3.3</v>
      </c>
      <c r="AN235">
        <v>1.6</v>
      </c>
      <c r="AO235">
        <v>4.7</v>
      </c>
      <c r="AP235">
        <v>12</v>
      </c>
      <c r="AQ235">
        <v>17</v>
      </c>
      <c r="AR235">
        <v>1.5</v>
      </c>
      <c r="AS235">
        <v>1.3</v>
      </c>
      <c r="AT235">
        <v>2.8</v>
      </c>
      <c r="AU235">
        <v>0.16300000000000001</v>
      </c>
      <c r="AV235">
        <v>-0.5</v>
      </c>
      <c r="AW235">
        <v>0.6</v>
      </c>
      <c r="AX235">
        <v>0.1</v>
      </c>
      <c r="AY235">
        <v>0.4</v>
      </c>
      <c r="AZ235">
        <f t="shared" si="6"/>
        <v>1.45</v>
      </c>
      <c r="BA235">
        <f t="shared" si="7"/>
        <v>0.38957131035668613</v>
      </c>
    </row>
    <row r="236" spans="1:53" x14ac:dyDescent="0.25">
      <c r="A236" t="s">
        <v>319</v>
      </c>
      <c r="B236" s="2">
        <v>3613680</v>
      </c>
      <c r="C236" t="s">
        <v>52</v>
      </c>
      <c r="D236">
        <v>22</v>
      </c>
      <c r="E236" t="s">
        <v>152</v>
      </c>
      <c r="F236">
        <v>60</v>
      </c>
      <c r="G236">
        <v>4</v>
      </c>
      <c r="H236">
        <v>25.9</v>
      </c>
      <c r="I236">
        <v>4.5999999999999996</v>
      </c>
      <c r="J236">
        <v>10.199999999999999</v>
      </c>
      <c r="K236">
        <v>0.45400000000000001</v>
      </c>
      <c r="L236">
        <v>1.3</v>
      </c>
      <c r="M236">
        <v>3.4</v>
      </c>
      <c r="N236">
        <v>0.36399999999999999</v>
      </c>
      <c r="O236">
        <v>3.4</v>
      </c>
      <c r="P236">
        <v>6.7</v>
      </c>
      <c r="Q236">
        <v>0.5</v>
      </c>
      <c r="R236">
        <v>0.51600000000000001</v>
      </c>
      <c r="S236">
        <v>2.5</v>
      </c>
      <c r="T236">
        <v>2.8</v>
      </c>
      <c r="U236">
        <v>0.89400000000000002</v>
      </c>
      <c r="V236">
        <v>0.8</v>
      </c>
      <c r="W236">
        <v>4</v>
      </c>
      <c r="X236">
        <v>4.8</v>
      </c>
      <c r="Y236">
        <v>3.9</v>
      </c>
      <c r="Z236">
        <v>0.6</v>
      </c>
      <c r="AA236">
        <v>0.5</v>
      </c>
      <c r="AB236">
        <v>1.5</v>
      </c>
      <c r="AC236">
        <v>2.6</v>
      </c>
      <c r="AD236">
        <v>13</v>
      </c>
      <c r="AE236">
        <v>1552</v>
      </c>
      <c r="AF236">
        <v>16</v>
      </c>
      <c r="AG236">
        <v>0.56999999999999995</v>
      </c>
      <c r="AH236">
        <v>0.33800000000000002</v>
      </c>
      <c r="AI236">
        <v>0.27900000000000003</v>
      </c>
      <c r="AJ236">
        <v>3.4</v>
      </c>
      <c r="AK236">
        <v>17.600000000000001</v>
      </c>
      <c r="AL236">
        <v>10.5</v>
      </c>
      <c r="AM236">
        <v>22.9</v>
      </c>
      <c r="AN236">
        <v>1.2</v>
      </c>
      <c r="AO236">
        <v>1.9</v>
      </c>
      <c r="AP236">
        <v>11.7</v>
      </c>
      <c r="AQ236">
        <v>21.5</v>
      </c>
      <c r="AR236">
        <v>2.1</v>
      </c>
      <c r="AS236">
        <v>1.7</v>
      </c>
      <c r="AT236">
        <v>3.7</v>
      </c>
      <c r="AU236">
        <v>0.11600000000000001</v>
      </c>
      <c r="AV236">
        <v>0.7</v>
      </c>
      <c r="AW236">
        <v>0.5</v>
      </c>
      <c r="AX236">
        <v>1.3</v>
      </c>
      <c r="AY236">
        <v>1.3</v>
      </c>
      <c r="AZ236" s="8">
        <f t="shared" si="6"/>
        <v>2.5</v>
      </c>
      <c r="BA236" s="8">
        <f t="shared" si="7"/>
        <v>0.69181554537203072</v>
      </c>
    </row>
    <row r="237" spans="1:53" x14ac:dyDescent="0.25">
      <c r="A237" t="s">
        <v>320</v>
      </c>
      <c r="B237" s="2">
        <v>3552840</v>
      </c>
      <c r="C237" t="s">
        <v>65</v>
      </c>
      <c r="D237">
        <v>23</v>
      </c>
      <c r="E237" t="s">
        <v>63</v>
      </c>
      <c r="F237">
        <v>74</v>
      </c>
      <c r="G237">
        <v>45</v>
      </c>
      <c r="H237">
        <v>28.3</v>
      </c>
      <c r="I237">
        <v>3.9</v>
      </c>
      <c r="J237">
        <v>7.9</v>
      </c>
      <c r="K237">
        <v>0.497</v>
      </c>
      <c r="L237">
        <v>2.2000000000000002</v>
      </c>
      <c r="M237">
        <v>5.2</v>
      </c>
      <c r="N237">
        <v>0.42399999999999999</v>
      </c>
      <c r="O237">
        <v>1.7</v>
      </c>
      <c r="P237">
        <v>2.7</v>
      </c>
      <c r="Q237">
        <v>0.63700000000000001</v>
      </c>
      <c r="R237">
        <v>0.63700000000000001</v>
      </c>
      <c r="S237">
        <v>1</v>
      </c>
      <c r="T237">
        <v>1.2</v>
      </c>
      <c r="U237">
        <v>0.85199999999999998</v>
      </c>
      <c r="V237">
        <v>0.4</v>
      </c>
      <c r="W237">
        <v>2.4</v>
      </c>
      <c r="X237">
        <v>2.8</v>
      </c>
      <c r="Y237">
        <v>1.2</v>
      </c>
      <c r="Z237">
        <v>0.4</v>
      </c>
      <c r="AA237">
        <v>0.1</v>
      </c>
      <c r="AB237">
        <v>0.7</v>
      </c>
      <c r="AC237">
        <v>1.3</v>
      </c>
      <c r="AD237">
        <v>11.1</v>
      </c>
      <c r="AE237">
        <v>2093</v>
      </c>
      <c r="AF237">
        <v>11.5</v>
      </c>
      <c r="AG237">
        <v>0.65700000000000003</v>
      </c>
      <c r="AH237">
        <v>0.65600000000000003</v>
      </c>
      <c r="AI237">
        <v>0.15</v>
      </c>
      <c r="AJ237">
        <v>1.8</v>
      </c>
      <c r="AK237">
        <v>8.9</v>
      </c>
      <c r="AL237">
        <v>5.5</v>
      </c>
      <c r="AM237">
        <v>5.7</v>
      </c>
      <c r="AN237">
        <v>0.7</v>
      </c>
      <c r="AO237">
        <v>0.4</v>
      </c>
      <c r="AP237">
        <v>8.1</v>
      </c>
      <c r="AQ237">
        <v>14.1</v>
      </c>
      <c r="AR237">
        <v>2.9</v>
      </c>
      <c r="AS237">
        <v>0.9</v>
      </c>
      <c r="AT237">
        <v>3.8</v>
      </c>
      <c r="AU237">
        <v>8.7999999999999995E-2</v>
      </c>
      <c r="AV237">
        <v>-0.1</v>
      </c>
      <c r="AW237">
        <v>-1.4</v>
      </c>
      <c r="AX237">
        <v>-1.5</v>
      </c>
      <c r="AY237">
        <v>0.2</v>
      </c>
      <c r="AZ237" s="8">
        <f t="shared" si="6"/>
        <v>1.1499999999999999</v>
      </c>
      <c r="BA237" s="8">
        <f t="shared" si="7"/>
        <v>0.32368471420047062</v>
      </c>
    </row>
    <row r="238" spans="1:53" x14ac:dyDescent="0.25">
      <c r="A238" t="s">
        <v>321</v>
      </c>
      <c r="B238" s="2">
        <v>3536160</v>
      </c>
      <c r="C238" t="s">
        <v>65</v>
      </c>
      <c r="D238">
        <v>19</v>
      </c>
      <c r="E238" t="s">
        <v>85</v>
      </c>
      <c r="F238">
        <v>72</v>
      </c>
      <c r="G238">
        <v>12</v>
      </c>
      <c r="H238">
        <v>19.5</v>
      </c>
      <c r="I238">
        <v>3.4</v>
      </c>
      <c r="J238">
        <v>7.4</v>
      </c>
      <c r="K238">
        <v>0.46500000000000002</v>
      </c>
      <c r="L238">
        <v>1.4</v>
      </c>
      <c r="M238">
        <v>3.6</v>
      </c>
      <c r="N238">
        <v>0.39</v>
      </c>
      <c r="O238">
        <v>2</v>
      </c>
      <c r="P238">
        <v>3.8</v>
      </c>
      <c r="Q238">
        <v>0.53600000000000003</v>
      </c>
      <c r="R238">
        <v>0.56000000000000005</v>
      </c>
      <c r="S238">
        <v>0.6</v>
      </c>
      <c r="T238">
        <v>0.7</v>
      </c>
      <c r="U238">
        <v>0.89400000000000002</v>
      </c>
      <c r="V238">
        <v>0.5</v>
      </c>
      <c r="W238">
        <v>1.6</v>
      </c>
      <c r="X238">
        <v>2.1</v>
      </c>
      <c r="Y238">
        <v>1</v>
      </c>
      <c r="Z238">
        <v>0.6</v>
      </c>
      <c r="AA238">
        <v>0.2</v>
      </c>
      <c r="AB238">
        <v>0.6</v>
      </c>
      <c r="AC238">
        <v>1.2</v>
      </c>
      <c r="AD238">
        <v>8.9</v>
      </c>
      <c r="AE238">
        <v>1401</v>
      </c>
      <c r="AF238">
        <v>12.6</v>
      </c>
      <c r="AG238">
        <v>0.57699999999999996</v>
      </c>
      <c r="AH238">
        <v>0.48599999999999999</v>
      </c>
      <c r="AI238">
        <v>8.7999999999999995E-2</v>
      </c>
      <c r="AJ238">
        <v>2.9</v>
      </c>
      <c r="AK238">
        <v>9.1999999999999993</v>
      </c>
      <c r="AL238">
        <v>6</v>
      </c>
      <c r="AM238">
        <v>7</v>
      </c>
      <c r="AN238">
        <v>1.4</v>
      </c>
      <c r="AO238">
        <v>0.7</v>
      </c>
      <c r="AP238">
        <v>7.1</v>
      </c>
      <c r="AQ238">
        <v>17.899999999999999</v>
      </c>
      <c r="AR238">
        <v>1.3</v>
      </c>
      <c r="AS238">
        <v>0.9</v>
      </c>
      <c r="AT238">
        <v>2.2000000000000002</v>
      </c>
      <c r="AU238">
        <v>7.4999999999999997E-2</v>
      </c>
      <c r="AV238">
        <v>-0.3</v>
      </c>
      <c r="AW238">
        <v>-0.5</v>
      </c>
      <c r="AX238">
        <v>-0.8</v>
      </c>
      <c r="AY238">
        <v>0.4</v>
      </c>
      <c r="AZ238" s="8">
        <f t="shared" si="6"/>
        <v>0.70000000000000007</v>
      </c>
      <c r="BA238" s="8">
        <f t="shared" si="7"/>
        <v>0.19795484367223207</v>
      </c>
    </row>
    <row r="239" spans="1:53" hidden="1" x14ac:dyDescent="0.25">
      <c r="A239" t="s">
        <v>322</v>
      </c>
      <c r="B239" s="2">
        <v>3500000</v>
      </c>
      <c r="C239" t="s">
        <v>75</v>
      </c>
      <c r="D239">
        <v>31</v>
      </c>
      <c r="E239" t="s">
        <v>109</v>
      </c>
      <c r="F239">
        <v>63</v>
      </c>
      <c r="G239">
        <v>9</v>
      </c>
      <c r="H239">
        <v>15</v>
      </c>
      <c r="I239">
        <v>2.1</v>
      </c>
      <c r="J239">
        <v>4.5999999999999996</v>
      </c>
      <c r="K239">
        <v>0.44900000000000001</v>
      </c>
      <c r="L239">
        <v>1.3</v>
      </c>
      <c r="M239">
        <v>3.3</v>
      </c>
      <c r="N239">
        <v>0.39100000000000001</v>
      </c>
      <c r="O239">
        <v>0.8</v>
      </c>
      <c r="P239">
        <v>1.3</v>
      </c>
      <c r="Q239">
        <v>0.58799999999999997</v>
      </c>
      <c r="R239">
        <v>0.58699999999999997</v>
      </c>
      <c r="S239">
        <v>0.6</v>
      </c>
      <c r="T239">
        <v>0.8</v>
      </c>
      <c r="U239">
        <v>0.76900000000000002</v>
      </c>
      <c r="V239">
        <v>0.6</v>
      </c>
      <c r="W239">
        <v>2.6</v>
      </c>
      <c r="X239">
        <v>3.2</v>
      </c>
      <c r="Y239">
        <v>0.8</v>
      </c>
      <c r="Z239">
        <v>0.2</v>
      </c>
      <c r="AA239">
        <v>0.4</v>
      </c>
      <c r="AB239">
        <v>0.4</v>
      </c>
      <c r="AC239">
        <v>1.6</v>
      </c>
      <c r="AD239">
        <v>6.1</v>
      </c>
      <c r="AE239">
        <v>945</v>
      </c>
      <c r="AF239">
        <v>13</v>
      </c>
      <c r="AG239">
        <v>0.60799999999999998</v>
      </c>
      <c r="AH239">
        <v>0.70899999999999996</v>
      </c>
      <c r="AI239">
        <v>0.17799999999999999</v>
      </c>
      <c r="AJ239">
        <v>4.2</v>
      </c>
      <c r="AK239">
        <v>19.100000000000001</v>
      </c>
      <c r="AL239">
        <v>11.6</v>
      </c>
      <c r="AM239">
        <v>7.1</v>
      </c>
      <c r="AN239">
        <v>0.8</v>
      </c>
      <c r="AO239">
        <v>2.2999999999999998</v>
      </c>
      <c r="AP239">
        <v>6.8</v>
      </c>
      <c r="AQ239">
        <v>15.1</v>
      </c>
      <c r="AR239">
        <v>1.4</v>
      </c>
      <c r="AS239">
        <v>1.1000000000000001</v>
      </c>
      <c r="AT239">
        <v>2.5</v>
      </c>
      <c r="AU239">
        <v>0.128</v>
      </c>
      <c r="AV239">
        <v>-0.3</v>
      </c>
      <c r="AW239">
        <v>-0.1</v>
      </c>
      <c r="AX239">
        <v>-0.4</v>
      </c>
      <c r="AY239">
        <v>0.4</v>
      </c>
      <c r="AZ239">
        <f t="shared" si="6"/>
        <v>1.05</v>
      </c>
      <c r="BA239">
        <f t="shared" si="7"/>
        <v>0.3</v>
      </c>
    </row>
    <row r="240" spans="1:53" x14ac:dyDescent="0.25">
      <c r="A240" t="s">
        <v>323</v>
      </c>
      <c r="B240" s="2">
        <v>3465000</v>
      </c>
      <c r="C240" t="s">
        <v>28</v>
      </c>
      <c r="D240">
        <v>29</v>
      </c>
      <c r="E240" t="s">
        <v>82</v>
      </c>
      <c r="F240">
        <v>78</v>
      </c>
      <c r="G240">
        <v>1</v>
      </c>
      <c r="H240">
        <v>19.399999999999999</v>
      </c>
      <c r="I240">
        <v>2.8</v>
      </c>
      <c r="J240">
        <v>6.4</v>
      </c>
      <c r="K240">
        <v>0.442</v>
      </c>
      <c r="L240">
        <v>2</v>
      </c>
      <c r="M240">
        <v>4.9000000000000004</v>
      </c>
      <c r="N240">
        <v>0.40100000000000002</v>
      </c>
      <c r="O240">
        <v>0.9</v>
      </c>
      <c r="P240">
        <v>1.5</v>
      </c>
      <c r="Q240">
        <v>0.57599999999999996</v>
      </c>
      <c r="R240">
        <v>0.59599999999999997</v>
      </c>
      <c r="S240">
        <v>0.5</v>
      </c>
      <c r="T240">
        <v>0.6</v>
      </c>
      <c r="U240">
        <v>0.86699999999999999</v>
      </c>
      <c r="V240">
        <v>0.2</v>
      </c>
      <c r="W240">
        <v>2.1</v>
      </c>
      <c r="X240">
        <v>2.4</v>
      </c>
      <c r="Y240">
        <v>1</v>
      </c>
      <c r="Z240">
        <v>0.4</v>
      </c>
      <c r="AA240">
        <v>0.2</v>
      </c>
      <c r="AB240">
        <v>0.7</v>
      </c>
      <c r="AC240">
        <v>1.9</v>
      </c>
      <c r="AD240">
        <v>8.1999999999999993</v>
      </c>
      <c r="AE240">
        <v>1512</v>
      </c>
      <c r="AF240">
        <v>10.9</v>
      </c>
      <c r="AG240">
        <v>0.61</v>
      </c>
      <c r="AH240">
        <v>0.76500000000000001</v>
      </c>
      <c r="AI240">
        <v>0.09</v>
      </c>
      <c r="AJ240">
        <v>1.5</v>
      </c>
      <c r="AK240">
        <v>12.8</v>
      </c>
      <c r="AL240">
        <v>7.2</v>
      </c>
      <c r="AM240">
        <v>7.3</v>
      </c>
      <c r="AN240">
        <v>1</v>
      </c>
      <c r="AO240">
        <v>0.9</v>
      </c>
      <c r="AP240">
        <v>9.4</v>
      </c>
      <c r="AQ240">
        <v>17</v>
      </c>
      <c r="AR240">
        <v>1.1000000000000001</v>
      </c>
      <c r="AS240">
        <v>1.4</v>
      </c>
      <c r="AT240">
        <v>2.5</v>
      </c>
      <c r="AU240">
        <v>7.8E-2</v>
      </c>
      <c r="AV240">
        <v>-0.4</v>
      </c>
      <c r="AW240">
        <v>-1</v>
      </c>
      <c r="AX240">
        <v>-1.4</v>
      </c>
      <c r="AY240">
        <v>0.2</v>
      </c>
      <c r="AZ240" s="8">
        <f t="shared" si="6"/>
        <v>0.55000000000000004</v>
      </c>
      <c r="BA240" s="8">
        <f t="shared" si="7"/>
        <v>0.15873015873015872</v>
      </c>
    </row>
    <row r="241" spans="1:53" hidden="1" x14ac:dyDescent="0.25">
      <c r="A241" t="s">
        <v>324</v>
      </c>
      <c r="B241" s="2">
        <v>3433320</v>
      </c>
      <c r="C241" t="s">
        <v>75</v>
      </c>
      <c r="D241">
        <v>21</v>
      </c>
      <c r="E241" t="s">
        <v>201</v>
      </c>
      <c r="F241">
        <v>50</v>
      </c>
      <c r="G241">
        <v>47</v>
      </c>
      <c r="H241">
        <v>28.3</v>
      </c>
      <c r="I241">
        <v>3.9</v>
      </c>
      <c r="J241">
        <v>8.8000000000000007</v>
      </c>
      <c r="K241">
        <v>0.442</v>
      </c>
      <c r="L241">
        <v>1.3</v>
      </c>
      <c r="M241">
        <v>4.0999999999999996</v>
      </c>
      <c r="N241">
        <v>0.32700000000000001</v>
      </c>
      <c r="O241">
        <v>2.6</v>
      </c>
      <c r="P241">
        <v>4.7</v>
      </c>
      <c r="Q241">
        <v>0.54200000000000004</v>
      </c>
      <c r="R241">
        <v>0.51800000000000002</v>
      </c>
      <c r="S241">
        <v>2.2000000000000002</v>
      </c>
      <c r="T241">
        <v>3</v>
      </c>
      <c r="U241">
        <v>0.73799999999999999</v>
      </c>
      <c r="V241">
        <v>2.2999999999999998</v>
      </c>
      <c r="W241">
        <v>5.8</v>
      </c>
      <c r="X241">
        <v>8.1</v>
      </c>
      <c r="Y241">
        <v>1.4</v>
      </c>
      <c r="Z241">
        <v>0.4</v>
      </c>
      <c r="AA241">
        <v>0.7</v>
      </c>
      <c r="AB241">
        <v>1.4</v>
      </c>
      <c r="AC241">
        <v>2.7</v>
      </c>
      <c r="AD241">
        <v>11.3</v>
      </c>
      <c r="AE241">
        <v>1414</v>
      </c>
      <c r="AF241">
        <v>13.1</v>
      </c>
      <c r="AG241">
        <v>0.56000000000000005</v>
      </c>
      <c r="AH241">
        <v>0.46500000000000002</v>
      </c>
      <c r="AI241">
        <v>0.33800000000000002</v>
      </c>
      <c r="AJ241">
        <v>8.6999999999999993</v>
      </c>
      <c r="AK241">
        <v>23.3</v>
      </c>
      <c r="AL241">
        <v>15.8</v>
      </c>
      <c r="AM241">
        <v>7.3</v>
      </c>
      <c r="AN241">
        <v>0.7</v>
      </c>
      <c r="AO241">
        <v>2.1</v>
      </c>
      <c r="AP241">
        <v>11.8</v>
      </c>
      <c r="AQ241">
        <v>17.3</v>
      </c>
      <c r="AR241">
        <v>1.1000000000000001</v>
      </c>
      <c r="AS241">
        <v>0.9</v>
      </c>
      <c r="AT241">
        <v>2</v>
      </c>
      <c r="AU241">
        <v>6.8000000000000005E-2</v>
      </c>
      <c r="AV241">
        <v>-1</v>
      </c>
      <c r="AW241">
        <v>-1.1000000000000001</v>
      </c>
      <c r="AX241">
        <v>-2.1</v>
      </c>
      <c r="AY241">
        <v>0</v>
      </c>
      <c r="AZ241">
        <f t="shared" si="6"/>
        <v>-5.0000000000000044E-2</v>
      </c>
      <c r="BA241">
        <f t="shared" si="7"/>
        <v>-1.4563163352090701E-2</v>
      </c>
    </row>
    <row r="242" spans="1:53" hidden="1" x14ac:dyDescent="0.25">
      <c r="A242" t="s">
        <v>325</v>
      </c>
      <c r="B242" s="2">
        <v>3433320</v>
      </c>
      <c r="C242" t="s">
        <v>65</v>
      </c>
      <c r="D242">
        <v>24</v>
      </c>
      <c r="E242" t="s">
        <v>152</v>
      </c>
      <c r="F242">
        <v>27</v>
      </c>
      <c r="G242">
        <v>8</v>
      </c>
      <c r="H242">
        <v>19.2</v>
      </c>
      <c r="I242">
        <v>1.6</v>
      </c>
      <c r="J242">
        <v>4.5</v>
      </c>
      <c r="K242">
        <v>0.35199999999999998</v>
      </c>
      <c r="L242">
        <v>1</v>
      </c>
      <c r="M242">
        <v>3.2</v>
      </c>
      <c r="N242">
        <v>0.30199999999999999</v>
      </c>
      <c r="O242">
        <v>0.6</v>
      </c>
      <c r="P242">
        <v>1.3</v>
      </c>
      <c r="Q242">
        <v>0.47199999999999998</v>
      </c>
      <c r="R242">
        <v>0.45900000000000002</v>
      </c>
      <c r="S242">
        <v>0.6</v>
      </c>
      <c r="T242">
        <v>0.8</v>
      </c>
      <c r="U242">
        <v>0.76200000000000001</v>
      </c>
      <c r="V242">
        <v>1</v>
      </c>
      <c r="W242">
        <v>2.6</v>
      </c>
      <c r="X242">
        <v>3.6</v>
      </c>
      <c r="Y242">
        <v>1.4</v>
      </c>
      <c r="Z242">
        <v>0.7</v>
      </c>
      <c r="AA242">
        <v>0.4</v>
      </c>
      <c r="AB242">
        <v>0.6</v>
      </c>
      <c r="AC242">
        <v>1.5</v>
      </c>
      <c r="AD242">
        <v>4.7</v>
      </c>
      <c r="AE242">
        <v>518</v>
      </c>
      <c r="AF242">
        <v>9.1</v>
      </c>
      <c r="AG242">
        <v>0.48799999999999999</v>
      </c>
      <c r="AH242">
        <v>0.70499999999999996</v>
      </c>
      <c r="AI242">
        <v>0.17199999999999999</v>
      </c>
      <c r="AJ242">
        <v>5.7</v>
      </c>
      <c r="AK242">
        <v>15.3</v>
      </c>
      <c r="AL242">
        <v>10.5</v>
      </c>
      <c r="AM242">
        <v>9.4</v>
      </c>
      <c r="AN242">
        <v>1.8</v>
      </c>
      <c r="AO242">
        <v>2.1</v>
      </c>
      <c r="AP242">
        <v>11.5</v>
      </c>
      <c r="AQ242">
        <v>12.3</v>
      </c>
      <c r="AR242">
        <v>0</v>
      </c>
      <c r="AS242">
        <v>0.6</v>
      </c>
      <c r="AT242">
        <v>0.7</v>
      </c>
      <c r="AU242">
        <v>6.0999999999999999E-2</v>
      </c>
      <c r="AV242">
        <v>-2.4</v>
      </c>
      <c r="AW242">
        <v>0.8</v>
      </c>
      <c r="AX242">
        <v>-1.6</v>
      </c>
      <c r="AY242">
        <v>0.1</v>
      </c>
      <c r="AZ242">
        <f t="shared" si="6"/>
        <v>-0.45000000000000007</v>
      </c>
      <c r="BA242">
        <f t="shared" si="7"/>
        <v>-0.1310684701688162</v>
      </c>
    </row>
    <row r="243" spans="1:53" hidden="1" x14ac:dyDescent="0.25">
      <c r="A243" t="s">
        <v>326</v>
      </c>
      <c r="B243" s="2">
        <v>3395062</v>
      </c>
      <c r="C243" t="s">
        <v>65</v>
      </c>
      <c r="D243">
        <v>25</v>
      </c>
      <c r="E243" t="s">
        <v>55</v>
      </c>
      <c r="F243">
        <v>50</v>
      </c>
      <c r="G243">
        <v>9</v>
      </c>
      <c r="H243">
        <v>12.5</v>
      </c>
      <c r="I243">
        <v>1.1000000000000001</v>
      </c>
      <c r="J243">
        <v>2.9</v>
      </c>
      <c r="K243">
        <v>0.38600000000000001</v>
      </c>
      <c r="L243">
        <v>0.2</v>
      </c>
      <c r="M243">
        <v>0.8</v>
      </c>
      <c r="N243">
        <v>0.27500000000000002</v>
      </c>
      <c r="O243">
        <v>0.9</v>
      </c>
      <c r="P243">
        <v>2.1</v>
      </c>
      <c r="Q243">
        <v>0.42899999999999999</v>
      </c>
      <c r="R243">
        <v>0.42399999999999999</v>
      </c>
      <c r="S243">
        <v>1</v>
      </c>
      <c r="T243">
        <v>1.3</v>
      </c>
      <c r="U243">
        <v>0.77800000000000002</v>
      </c>
      <c r="V243">
        <v>0.3</v>
      </c>
      <c r="W243">
        <v>0.7</v>
      </c>
      <c r="X243">
        <v>1.1000000000000001</v>
      </c>
      <c r="Y243">
        <v>1.1000000000000001</v>
      </c>
      <c r="Z243">
        <v>0.1</v>
      </c>
      <c r="AA243">
        <v>0.1</v>
      </c>
      <c r="AB243">
        <v>0.4</v>
      </c>
      <c r="AC243">
        <v>1</v>
      </c>
      <c r="AD243">
        <v>3.4</v>
      </c>
      <c r="AE243">
        <v>625</v>
      </c>
      <c r="AF243">
        <v>7</v>
      </c>
      <c r="AG243">
        <v>0.498</v>
      </c>
      <c r="AH243">
        <v>0.27600000000000002</v>
      </c>
      <c r="AI243">
        <v>0.434</v>
      </c>
      <c r="AJ243">
        <v>3.1</v>
      </c>
      <c r="AK243">
        <v>6.4</v>
      </c>
      <c r="AL243">
        <v>4.7</v>
      </c>
      <c r="AM243">
        <v>11.2</v>
      </c>
      <c r="AN243">
        <v>0.5</v>
      </c>
      <c r="AO243">
        <v>0.7</v>
      </c>
      <c r="AP243">
        <v>10.8</v>
      </c>
      <c r="AQ243">
        <v>13.5</v>
      </c>
      <c r="AR243">
        <v>0.1</v>
      </c>
      <c r="AS243">
        <v>0.3</v>
      </c>
      <c r="AT243">
        <v>0.4</v>
      </c>
      <c r="AU243">
        <v>3.3000000000000002E-2</v>
      </c>
      <c r="AV243">
        <v>-4.3</v>
      </c>
      <c r="AW243">
        <v>-0.7</v>
      </c>
      <c r="AX243">
        <v>-5</v>
      </c>
      <c r="AY243">
        <v>-0.5</v>
      </c>
      <c r="AZ243">
        <f t="shared" si="6"/>
        <v>-2.2999999999999998</v>
      </c>
      <c r="BA243">
        <f t="shared" si="7"/>
        <v>-0.67745449125818613</v>
      </c>
    </row>
    <row r="244" spans="1:53" x14ac:dyDescent="0.25">
      <c r="A244" t="s">
        <v>327</v>
      </c>
      <c r="B244" s="2">
        <v>3359160</v>
      </c>
      <c r="C244" t="s">
        <v>28</v>
      </c>
      <c r="D244">
        <v>21</v>
      </c>
      <c r="E244" t="s">
        <v>213</v>
      </c>
      <c r="F244">
        <v>82</v>
      </c>
      <c r="G244">
        <v>5</v>
      </c>
      <c r="H244">
        <v>21.5</v>
      </c>
      <c r="I244">
        <v>3.6</v>
      </c>
      <c r="J244">
        <v>8</v>
      </c>
      <c r="K244">
        <v>0.44800000000000001</v>
      </c>
      <c r="L244">
        <v>0.7</v>
      </c>
      <c r="M244">
        <v>2.1</v>
      </c>
      <c r="N244">
        <v>0.34300000000000003</v>
      </c>
      <c r="O244">
        <v>2.9</v>
      </c>
      <c r="P244">
        <v>6</v>
      </c>
      <c r="Q244">
        <v>0.48599999999999999</v>
      </c>
      <c r="R244">
        <v>0.49299999999999999</v>
      </c>
      <c r="S244">
        <v>1.3</v>
      </c>
      <c r="T244">
        <v>1.8</v>
      </c>
      <c r="U244">
        <v>0.752</v>
      </c>
      <c r="V244">
        <v>2.4</v>
      </c>
      <c r="W244">
        <v>3.7</v>
      </c>
      <c r="X244">
        <v>6</v>
      </c>
      <c r="Y244">
        <v>1.1000000000000001</v>
      </c>
      <c r="Z244">
        <v>1.2</v>
      </c>
      <c r="AA244">
        <v>0.6</v>
      </c>
      <c r="AB244">
        <v>1.2</v>
      </c>
      <c r="AC244">
        <v>2.2999999999999998</v>
      </c>
      <c r="AD244">
        <v>9.3000000000000007</v>
      </c>
      <c r="AE244">
        <v>1767</v>
      </c>
      <c r="AF244">
        <v>15.2</v>
      </c>
      <c r="AG244">
        <v>0.52500000000000002</v>
      </c>
      <c r="AH244">
        <v>0.26100000000000001</v>
      </c>
      <c r="AI244">
        <v>0.22</v>
      </c>
      <c r="AJ244">
        <v>12</v>
      </c>
      <c r="AK244">
        <v>18.899999999999999</v>
      </c>
      <c r="AL244">
        <v>15.4</v>
      </c>
      <c r="AM244">
        <v>7.4</v>
      </c>
      <c r="AN244">
        <v>2.6</v>
      </c>
      <c r="AO244">
        <v>2.6</v>
      </c>
      <c r="AP244">
        <v>12.2</v>
      </c>
      <c r="AQ244">
        <v>19.3</v>
      </c>
      <c r="AR244">
        <v>0.9</v>
      </c>
      <c r="AS244">
        <v>1.7</v>
      </c>
      <c r="AT244">
        <v>2.6</v>
      </c>
      <c r="AU244">
        <v>7.0000000000000007E-2</v>
      </c>
      <c r="AV244">
        <v>-1.3</v>
      </c>
      <c r="AW244">
        <v>-0.4</v>
      </c>
      <c r="AX244">
        <v>-1.7</v>
      </c>
      <c r="AY244">
        <v>0.1</v>
      </c>
      <c r="AZ244" s="8">
        <f t="shared" si="6"/>
        <v>0.45000000000000007</v>
      </c>
      <c r="BA244" s="8">
        <f t="shared" si="7"/>
        <v>0.13396206194405746</v>
      </c>
    </row>
    <row r="245" spans="1:53" hidden="1" x14ac:dyDescent="0.25">
      <c r="A245" t="s">
        <v>328</v>
      </c>
      <c r="B245" s="2">
        <v>3261480</v>
      </c>
      <c r="C245" t="s">
        <v>28</v>
      </c>
      <c r="D245">
        <v>21</v>
      </c>
      <c r="E245" t="s">
        <v>109</v>
      </c>
      <c r="F245">
        <v>34</v>
      </c>
      <c r="G245">
        <v>25</v>
      </c>
      <c r="H245">
        <v>20.6</v>
      </c>
      <c r="I245">
        <v>3.2</v>
      </c>
      <c r="J245">
        <v>7.3</v>
      </c>
      <c r="K245">
        <v>0.434</v>
      </c>
      <c r="L245">
        <v>1.1000000000000001</v>
      </c>
      <c r="M245">
        <v>3.1</v>
      </c>
      <c r="N245">
        <v>0.36499999999999999</v>
      </c>
      <c r="O245">
        <v>2.1</v>
      </c>
      <c r="P245">
        <v>4.3</v>
      </c>
      <c r="Q245">
        <v>0.48299999999999998</v>
      </c>
      <c r="R245">
        <v>0.51</v>
      </c>
      <c r="S245">
        <v>0.6</v>
      </c>
      <c r="T245">
        <v>1</v>
      </c>
      <c r="U245">
        <v>0.629</v>
      </c>
      <c r="V245">
        <v>1.3</v>
      </c>
      <c r="W245">
        <v>3.4</v>
      </c>
      <c r="X245">
        <v>4.7</v>
      </c>
      <c r="Y245">
        <v>1.9</v>
      </c>
      <c r="Z245">
        <v>0.6</v>
      </c>
      <c r="AA245">
        <v>1.3</v>
      </c>
      <c r="AB245">
        <v>1.3</v>
      </c>
      <c r="AC245">
        <v>1.7</v>
      </c>
      <c r="AD245">
        <v>8.1</v>
      </c>
      <c r="AE245">
        <v>701</v>
      </c>
      <c r="AF245">
        <v>13.4</v>
      </c>
      <c r="AG245">
        <v>0.52200000000000002</v>
      </c>
      <c r="AH245">
        <v>0.41799999999999998</v>
      </c>
      <c r="AI245">
        <v>0.14099999999999999</v>
      </c>
      <c r="AJ245">
        <v>6.8</v>
      </c>
      <c r="AK245">
        <v>17.8</v>
      </c>
      <c r="AL245">
        <v>12.2</v>
      </c>
      <c r="AM245">
        <v>12.4</v>
      </c>
      <c r="AN245">
        <v>1.4</v>
      </c>
      <c r="AO245">
        <v>5.7</v>
      </c>
      <c r="AP245">
        <v>14</v>
      </c>
      <c r="AQ245">
        <v>18.3</v>
      </c>
      <c r="AR245">
        <v>0</v>
      </c>
      <c r="AS245">
        <v>1</v>
      </c>
      <c r="AT245">
        <v>1</v>
      </c>
      <c r="AU245">
        <v>6.6000000000000003E-2</v>
      </c>
      <c r="AV245">
        <v>-1</v>
      </c>
      <c r="AW245">
        <v>1</v>
      </c>
      <c r="AX245">
        <v>0</v>
      </c>
      <c r="AY245">
        <v>0.3</v>
      </c>
      <c r="AZ245">
        <f t="shared" si="6"/>
        <v>0.5</v>
      </c>
      <c r="BA245">
        <f t="shared" si="7"/>
        <v>0.15330463470571642</v>
      </c>
    </row>
    <row r="246" spans="1:53" hidden="1" x14ac:dyDescent="0.25">
      <c r="A246" t="s">
        <v>329</v>
      </c>
      <c r="B246" s="2">
        <v>3205128</v>
      </c>
      <c r="C246" t="s">
        <v>65</v>
      </c>
      <c r="D246">
        <v>27</v>
      </c>
      <c r="E246" t="s">
        <v>130</v>
      </c>
      <c r="F246">
        <v>52</v>
      </c>
      <c r="G246">
        <v>6</v>
      </c>
      <c r="H246">
        <v>14.7</v>
      </c>
      <c r="I246">
        <v>2.2000000000000002</v>
      </c>
      <c r="J246">
        <v>6</v>
      </c>
      <c r="K246">
        <v>0.36899999999999999</v>
      </c>
      <c r="L246">
        <v>1.2</v>
      </c>
      <c r="M246">
        <v>3.7</v>
      </c>
      <c r="N246">
        <v>0.33</v>
      </c>
      <c r="O246">
        <v>1</v>
      </c>
      <c r="P246">
        <v>2.2999999999999998</v>
      </c>
      <c r="Q246">
        <v>0.43</v>
      </c>
      <c r="R246">
        <v>0.47</v>
      </c>
      <c r="S246">
        <v>0.7</v>
      </c>
      <c r="T246">
        <v>0.8</v>
      </c>
      <c r="U246">
        <v>0.79500000000000004</v>
      </c>
      <c r="V246">
        <v>0.6</v>
      </c>
      <c r="W246">
        <v>1.1000000000000001</v>
      </c>
      <c r="X246">
        <v>1.7</v>
      </c>
      <c r="Y246">
        <v>0.8</v>
      </c>
      <c r="Z246">
        <v>0.3</v>
      </c>
      <c r="AA246">
        <v>0.2</v>
      </c>
      <c r="AB246">
        <v>0.8</v>
      </c>
      <c r="AC246">
        <v>1.2</v>
      </c>
      <c r="AD246">
        <v>6.3</v>
      </c>
      <c r="AE246">
        <v>766</v>
      </c>
      <c r="AF246">
        <v>8</v>
      </c>
      <c r="AG246">
        <v>0.495</v>
      </c>
      <c r="AH246">
        <v>0.61199999999999999</v>
      </c>
      <c r="AI246">
        <v>0.14099999999999999</v>
      </c>
      <c r="AJ246">
        <v>4.4000000000000004</v>
      </c>
      <c r="AK246">
        <v>7.7</v>
      </c>
      <c r="AL246">
        <v>6.1</v>
      </c>
      <c r="AM246">
        <v>7.5</v>
      </c>
      <c r="AN246">
        <v>0.9</v>
      </c>
      <c r="AO246">
        <v>0.9</v>
      </c>
      <c r="AP246">
        <v>10.5</v>
      </c>
      <c r="AQ246">
        <v>20.2</v>
      </c>
      <c r="AR246">
        <v>-0.4</v>
      </c>
      <c r="AS246">
        <v>0.3</v>
      </c>
      <c r="AT246">
        <v>-0.1</v>
      </c>
      <c r="AU246">
        <v>-4.0000000000000001E-3</v>
      </c>
      <c r="AV246">
        <v>-3</v>
      </c>
      <c r="AW246">
        <v>-2.1</v>
      </c>
      <c r="AX246">
        <v>-5.2</v>
      </c>
      <c r="AY246">
        <v>-0.6</v>
      </c>
      <c r="AZ246">
        <f t="shared" si="6"/>
        <v>-2.65</v>
      </c>
      <c r="BA246">
        <f t="shared" si="7"/>
        <v>-0.82680005291520342</v>
      </c>
    </row>
    <row r="247" spans="1:53" hidden="1" x14ac:dyDescent="0.25">
      <c r="A247" t="s">
        <v>330</v>
      </c>
      <c r="B247" s="2">
        <v>3200000</v>
      </c>
      <c r="C247" t="s">
        <v>75</v>
      </c>
      <c r="D247">
        <v>29</v>
      </c>
      <c r="E247" t="s">
        <v>87</v>
      </c>
      <c r="F247">
        <v>67</v>
      </c>
      <c r="G247">
        <v>0</v>
      </c>
      <c r="H247">
        <v>12.7</v>
      </c>
      <c r="I247">
        <v>2.5</v>
      </c>
      <c r="J247">
        <v>4.0999999999999996</v>
      </c>
      <c r="K247">
        <v>0.60599999999999998</v>
      </c>
      <c r="L247">
        <v>0</v>
      </c>
      <c r="M247">
        <v>0</v>
      </c>
      <c r="N247">
        <v>0</v>
      </c>
      <c r="O247">
        <v>2.5</v>
      </c>
      <c r="P247">
        <v>4</v>
      </c>
      <c r="Q247">
        <v>0.61299999999999999</v>
      </c>
      <c r="R247">
        <v>0.60599999999999998</v>
      </c>
      <c r="S247">
        <v>1</v>
      </c>
      <c r="T247">
        <v>1.9</v>
      </c>
      <c r="U247">
        <v>0.53600000000000003</v>
      </c>
      <c r="V247">
        <v>2.1</v>
      </c>
      <c r="W247">
        <v>4.5999999999999996</v>
      </c>
      <c r="X247">
        <v>6.6</v>
      </c>
      <c r="Y247">
        <v>0.5</v>
      </c>
      <c r="Z247">
        <v>0.7</v>
      </c>
      <c r="AA247">
        <v>0.4</v>
      </c>
      <c r="AB247">
        <v>1.1000000000000001</v>
      </c>
      <c r="AC247">
        <v>1.7</v>
      </c>
      <c r="AD247">
        <v>6</v>
      </c>
      <c r="AE247">
        <v>849</v>
      </c>
      <c r="AF247">
        <v>20.8</v>
      </c>
      <c r="AG247">
        <v>0.60599999999999998</v>
      </c>
      <c r="AH247">
        <v>1.0999999999999999E-2</v>
      </c>
      <c r="AI247">
        <v>0.45600000000000002</v>
      </c>
      <c r="AJ247">
        <v>18.7</v>
      </c>
      <c r="AK247">
        <v>40.200000000000003</v>
      </c>
      <c r="AL247">
        <v>29.6</v>
      </c>
      <c r="AM247">
        <v>5.7</v>
      </c>
      <c r="AN247">
        <v>2.6</v>
      </c>
      <c r="AO247">
        <v>3.1</v>
      </c>
      <c r="AP247">
        <v>18.600000000000001</v>
      </c>
      <c r="AQ247">
        <v>21</v>
      </c>
      <c r="AR247">
        <v>0.8</v>
      </c>
      <c r="AS247">
        <v>2</v>
      </c>
      <c r="AT247">
        <v>2.8</v>
      </c>
      <c r="AU247">
        <v>0.159</v>
      </c>
      <c r="AV247">
        <v>-1.2</v>
      </c>
      <c r="AW247">
        <v>0.5</v>
      </c>
      <c r="AX247">
        <v>-0.8</v>
      </c>
      <c r="AY247">
        <v>0.3</v>
      </c>
      <c r="AZ247">
        <f t="shared" si="6"/>
        <v>0.99999999999999989</v>
      </c>
      <c r="BA247">
        <f t="shared" si="7"/>
        <v>0.31249999999999994</v>
      </c>
    </row>
    <row r="248" spans="1:53" hidden="1" x14ac:dyDescent="0.25">
      <c r="A248" t="s">
        <v>331</v>
      </c>
      <c r="B248" s="2">
        <v>3191400</v>
      </c>
      <c r="C248" t="s">
        <v>62</v>
      </c>
      <c r="D248">
        <v>20</v>
      </c>
      <c r="E248" t="s">
        <v>87</v>
      </c>
      <c r="F248">
        <v>38</v>
      </c>
      <c r="G248">
        <v>0</v>
      </c>
      <c r="H248">
        <v>5.6</v>
      </c>
      <c r="I248">
        <v>0.8</v>
      </c>
      <c r="J248">
        <v>1.9</v>
      </c>
      <c r="K248">
        <v>0.44400000000000001</v>
      </c>
      <c r="L248">
        <v>0.2</v>
      </c>
      <c r="M248">
        <v>0.7</v>
      </c>
      <c r="N248">
        <v>0.25900000000000001</v>
      </c>
      <c r="O248">
        <v>0.7</v>
      </c>
      <c r="P248">
        <v>1.2</v>
      </c>
      <c r="Q248">
        <v>0.55600000000000005</v>
      </c>
      <c r="R248">
        <v>0.49299999999999999</v>
      </c>
      <c r="S248">
        <v>0.4</v>
      </c>
      <c r="T248">
        <v>0.6</v>
      </c>
      <c r="U248">
        <v>0.66700000000000004</v>
      </c>
      <c r="V248">
        <v>0.3</v>
      </c>
      <c r="W248">
        <v>0.7</v>
      </c>
      <c r="X248">
        <v>1</v>
      </c>
      <c r="Y248">
        <v>0.6</v>
      </c>
      <c r="Z248">
        <v>0.3</v>
      </c>
      <c r="AA248">
        <v>0.1</v>
      </c>
      <c r="AB248">
        <v>0.2</v>
      </c>
      <c r="AC248">
        <v>0.6</v>
      </c>
      <c r="AD248">
        <v>2.2000000000000002</v>
      </c>
      <c r="AE248">
        <v>214</v>
      </c>
      <c r="AF248">
        <v>14.1</v>
      </c>
      <c r="AG248">
        <v>0.52300000000000002</v>
      </c>
      <c r="AH248">
        <v>0.375</v>
      </c>
      <c r="AI248">
        <v>0.29199999999999998</v>
      </c>
      <c r="AJ248">
        <v>6.5</v>
      </c>
      <c r="AK248">
        <v>13</v>
      </c>
      <c r="AL248">
        <v>9.8000000000000007</v>
      </c>
      <c r="AM248">
        <v>14.1</v>
      </c>
      <c r="AN248">
        <v>2.5</v>
      </c>
      <c r="AO248">
        <v>2.2999999999999998</v>
      </c>
      <c r="AP248">
        <v>9</v>
      </c>
      <c r="AQ248">
        <v>18.399999999999999</v>
      </c>
      <c r="AR248">
        <v>0.1</v>
      </c>
      <c r="AS248">
        <v>0.3</v>
      </c>
      <c r="AT248">
        <v>0.5</v>
      </c>
      <c r="AU248">
        <v>0.105</v>
      </c>
      <c r="AV248">
        <v>-1.7</v>
      </c>
      <c r="AW248">
        <v>1.7</v>
      </c>
      <c r="AX248">
        <v>0</v>
      </c>
      <c r="AY248">
        <v>0.1</v>
      </c>
      <c r="AZ248">
        <f t="shared" si="6"/>
        <v>0.25</v>
      </c>
      <c r="BA248">
        <f t="shared" si="7"/>
        <v>7.8335526728081722E-2</v>
      </c>
    </row>
    <row r="249" spans="1:53" hidden="1" x14ac:dyDescent="0.25">
      <c r="A249" t="s">
        <v>332</v>
      </c>
      <c r="B249" s="2">
        <v>3122602</v>
      </c>
      <c r="C249" t="s">
        <v>65</v>
      </c>
      <c r="D249">
        <v>27</v>
      </c>
      <c r="E249" t="s">
        <v>58</v>
      </c>
      <c r="F249">
        <v>4</v>
      </c>
      <c r="G249">
        <v>0</v>
      </c>
      <c r="H249">
        <v>6</v>
      </c>
      <c r="I249">
        <v>0</v>
      </c>
      <c r="J249">
        <v>1</v>
      </c>
      <c r="K249">
        <v>0</v>
      </c>
      <c r="L249">
        <v>0</v>
      </c>
      <c r="M249">
        <v>0.5</v>
      </c>
      <c r="N249">
        <v>0</v>
      </c>
      <c r="O249">
        <v>0</v>
      </c>
      <c r="P249">
        <v>0.5</v>
      </c>
      <c r="Q249">
        <v>0</v>
      </c>
      <c r="R249">
        <v>0</v>
      </c>
      <c r="S249">
        <v>0</v>
      </c>
      <c r="T249">
        <v>0</v>
      </c>
      <c r="V249">
        <v>0.8</v>
      </c>
      <c r="W249">
        <v>1.3</v>
      </c>
      <c r="X249">
        <v>2</v>
      </c>
      <c r="Y249">
        <v>0.5</v>
      </c>
      <c r="Z249">
        <v>0.8</v>
      </c>
      <c r="AA249">
        <v>0</v>
      </c>
      <c r="AB249">
        <v>0</v>
      </c>
      <c r="AC249">
        <v>1</v>
      </c>
      <c r="AD249">
        <v>0</v>
      </c>
      <c r="AE249">
        <v>24</v>
      </c>
      <c r="AF249">
        <v>7</v>
      </c>
      <c r="AG249">
        <v>0</v>
      </c>
      <c r="AH249">
        <v>0.5</v>
      </c>
      <c r="AI249">
        <v>0</v>
      </c>
      <c r="AJ249">
        <v>13.9</v>
      </c>
      <c r="AK249">
        <v>21.6</v>
      </c>
      <c r="AL249">
        <v>17.8</v>
      </c>
      <c r="AM249">
        <v>9.4</v>
      </c>
      <c r="AN249">
        <v>5.9</v>
      </c>
      <c r="AO249">
        <v>0</v>
      </c>
      <c r="AP249">
        <v>0</v>
      </c>
      <c r="AQ249">
        <v>7</v>
      </c>
      <c r="AR249">
        <v>0</v>
      </c>
      <c r="AS249">
        <v>0.1</v>
      </c>
      <c r="AT249">
        <v>0</v>
      </c>
      <c r="AU249">
        <v>0.04</v>
      </c>
      <c r="AV249">
        <v>-7.7</v>
      </c>
      <c r="AW249">
        <v>4.3</v>
      </c>
      <c r="AX249">
        <v>-3.3</v>
      </c>
      <c r="AY249">
        <v>0</v>
      </c>
      <c r="AZ249">
        <f t="shared" si="6"/>
        <v>-1.65</v>
      </c>
      <c r="BA249">
        <f t="shared" si="7"/>
        <v>-0.52840547722700493</v>
      </c>
    </row>
    <row r="250" spans="1:53" x14ac:dyDescent="0.25">
      <c r="A250" t="s">
        <v>333</v>
      </c>
      <c r="B250" s="2">
        <v>3098400</v>
      </c>
      <c r="C250" t="s">
        <v>62</v>
      </c>
      <c r="D250">
        <v>22</v>
      </c>
      <c r="E250" t="s">
        <v>73</v>
      </c>
      <c r="F250">
        <v>60</v>
      </c>
      <c r="G250">
        <v>21</v>
      </c>
      <c r="H250">
        <v>25.7</v>
      </c>
      <c r="I250">
        <v>3.4</v>
      </c>
      <c r="J250">
        <v>6.4</v>
      </c>
      <c r="K250">
        <v>0.53700000000000003</v>
      </c>
      <c r="L250">
        <v>1.1000000000000001</v>
      </c>
      <c r="M250">
        <v>2.8</v>
      </c>
      <c r="N250">
        <v>0.40200000000000002</v>
      </c>
      <c r="O250">
        <v>2.2999999999999998</v>
      </c>
      <c r="P250">
        <v>3.6</v>
      </c>
      <c r="Q250">
        <v>0.64300000000000002</v>
      </c>
      <c r="R250">
        <v>0.626</v>
      </c>
      <c r="S250">
        <v>1.1000000000000001</v>
      </c>
      <c r="T250">
        <v>1.6</v>
      </c>
      <c r="U250">
        <v>0.72299999999999998</v>
      </c>
      <c r="V250">
        <v>0.9</v>
      </c>
      <c r="W250">
        <v>2.1</v>
      </c>
      <c r="X250">
        <v>3</v>
      </c>
      <c r="Y250">
        <v>1.7</v>
      </c>
      <c r="Z250">
        <v>0.7</v>
      </c>
      <c r="AA250">
        <v>0.1</v>
      </c>
      <c r="AB250">
        <v>1.2</v>
      </c>
      <c r="AC250">
        <v>2.6</v>
      </c>
      <c r="AD250">
        <v>9.1</v>
      </c>
      <c r="AE250">
        <v>1539</v>
      </c>
      <c r="AF250">
        <v>11.2</v>
      </c>
      <c r="AG250">
        <v>0.64500000000000002</v>
      </c>
      <c r="AH250">
        <v>0.442</v>
      </c>
      <c r="AI250">
        <v>0.246</v>
      </c>
      <c r="AJ250">
        <v>4.0999999999999996</v>
      </c>
      <c r="AK250">
        <v>9.6999999999999993</v>
      </c>
      <c r="AL250">
        <v>6.9</v>
      </c>
      <c r="AM250">
        <v>9.6999999999999993</v>
      </c>
      <c r="AN250">
        <v>1.4</v>
      </c>
      <c r="AO250">
        <v>0.3</v>
      </c>
      <c r="AP250">
        <v>14.5</v>
      </c>
      <c r="AQ250">
        <v>14.6</v>
      </c>
      <c r="AR250">
        <v>1.7</v>
      </c>
      <c r="AS250">
        <v>0.9</v>
      </c>
      <c r="AT250">
        <v>2.6</v>
      </c>
      <c r="AU250">
        <v>8.2000000000000003E-2</v>
      </c>
      <c r="AV250">
        <v>-1.9</v>
      </c>
      <c r="AW250">
        <v>-0.6</v>
      </c>
      <c r="AX250">
        <v>-2.4</v>
      </c>
      <c r="AY250">
        <v>-0.2</v>
      </c>
      <c r="AZ250" s="8">
        <f t="shared" si="6"/>
        <v>0.10000000000000009</v>
      </c>
      <c r="BA250" s="8">
        <f t="shared" si="7"/>
        <v>3.227472243738707E-2</v>
      </c>
    </row>
    <row r="251" spans="1:53" hidden="1" x14ac:dyDescent="0.25">
      <c r="A251" t="s">
        <v>334</v>
      </c>
      <c r="B251" s="2">
        <v>3047640</v>
      </c>
      <c r="C251" t="s">
        <v>28</v>
      </c>
      <c r="D251">
        <v>21</v>
      </c>
      <c r="E251" t="s">
        <v>150</v>
      </c>
      <c r="F251">
        <v>35</v>
      </c>
      <c r="G251">
        <v>0</v>
      </c>
      <c r="H251">
        <v>11.8</v>
      </c>
      <c r="I251">
        <v>1.1000000000000001</v>
      </c>
      <c r="J251">
        <v>2.7</v>
      </c>
      <c r="K251">
        <v>0.38900000000000001</v>
      </c>
      <c r="L251">
        <v>0.7</v>
      </c>
      <c r="M251">
        <v>2</v>
      </c>
      <c r="N251">
        <v>0.33800000000000002</v>
      </c>
      <c r="O251">
        <v>0.4</v>
      </c>
      <c r="P251">
        <v>0.7</v>
      </c>
      <c r="Q251">
        <v>0.54200000000000004</v>
      </c>
      <c r="R251">
        <v>0.51600000000000001</v>
      </c>
      <c r="S251">
        <v>0.2</v>
      </c>
      <c r="T251">
        <v>0.3</v>
      </c>
      <c r="U251">
        <v>0.77800000000000002</v>
      </c>
      <c r="V251">
        <v>0.5</v>
      </c>
      <c r="W251">
        <v>1.3</v>
      </c>
      <c r="X251">
        <v>1.8</v>
      </c>
      <c r="Y251">
        <v>0.6</v>
      </c>
      <c r="Z251">
        <v>0.3</v>
      </c>
      <c r="AA251">
        <v>0.1</v>
      </c>
      <c r="AB251">
        <v>0.5</v>
      </c>
      <c r="AC251">
        <v>1.4</v>
      </c>
      <c r="AD251">
        <v>3</v>
      </c>
      <c r="AE251">
        <v>414</v>
      </c>
      <c r="AF251">
        <v>6.7</v>
      </c>
      <c r="AG251">
        <v>0.53100000000000003</v>
      </c>
      <c r="AH251">
        <v>0.747</v>
      </c>
      <c r="AI251">
        <v>9.5000000000000001E-2</v>
      </c>
      <c r="AJ251">
        <v>4.9000000000000004</v>
      </c>
      <c r="AK251">
        <v>11.3</v>
      </c>
      <c r="AL251">
        <v>8.1</v>
      </c>
      <c r="AM251">
        <v>6.2</v>
      </c>
      <c r="AN251">
        <v>1.4</v>
      </c>
      <c r="AO251">
        <v>0.9</v>
      </c>
      <c r="AP251">
        <v>15.4</v>
      </c>
      <c r="AQ251">
        <v>11.7</v>
      </c>
      <c r="AR251">
        <v>0</v>
      </c>
      <c r="AS251">
        <v>0.5</v>
      </c>
      <c r="AT251">
        <v>0.5</v>
      </c>
      <c r="AU251">
        <v>5.3999999999999999E-2</v>
      </c>
      <c r="AV251">
        <v>-3.9</v>
      </c>
      <c r="AW251">
        <v>0.4</v>
      </c>
      <c r="AX251">
        <v>-3.5</v>
      </c>
      <c r="AY251">
        <v>-0.2</v>
      </c>
      <c r="AZ251">
        <f t="shared" si="6"/>
        <v>-1.5</v>
      </c>
      <c r="BA251">
        <f t="shared" si="7"/>
        <v>-0.49218411623420089</v>
      </c>
    </row>
    <row r="252" spans="1:53" hidden="1" x14ac:dyDescent="0.25">
      <c r="A252" t="s">
        <v>335</v>
      </c>
      <c r="B252" s="2">
        <v>3046200</v>
      </c>
      <c r="C252" t="s">
        <v>52</v>
      </c>
      <c r="D252">
        <v>21</v>
      </c>
      <c r="E252" t="s">
        <v>109</v>
      </c>
      <c r="F252">
        <v>67</v>
      </c>
      <c r="G252">
        <v>5</v>
      </c>
      <c r="H252">
        <v>17.7</v>
      </c>
      <c r="I252">
        <v>2.9</v>
      </c>
      <c r="J252">
        <v>7.5</v>
      </c>
      <c r="K252">
        <v>0.39300000000000002</v>
      </c>
      <c r="L252">
        <v>1.2</v>
      </c>
      <c r="M252">
        <v>3.8</v>
      </c>
      <c r="N252">
        <v>0.315</v>
      </c>
      <c r="O252">
        <v>1.7</v>
      </c>
      <c r="P252">
        <v>3.6</v>
      </c>
      <c r="Q252">
        <v>0.47499999999999998</v>
      </c>
      <c r="R252">
        <v>0.47399999999999998</v>
      </c>
      <c r="S252">
        <v>0.6</v>
      </c>
      <c r="T252">
        <v>0.8</v>
      </c>
      <c r="U252">
        <v>0.76400000000000001</v>
      </c>
      <c r="V252">
        <v>0.4</v>
      </c>
      <c r="W252">
        <v>1.9</v>
      </c>
      <c r="X252">
        <v>2.2999999999999998</v>
      </c>
      <c r="Y252">
        <v>1.8</v>
      </c>
      <c r="Z252">
        <v>0.6</v>
      </c>
      <c r="AA252">
        <v>0.2</v>
      </c>
      <c r="AB252">
        <v>0.9</v>
      </c>
      <c r="AC252">
        <v>1.5</v>
      </c>
      <c r="AD252">
        <v>7.7</v>
      </c>
      <c r="AE252">
        <v>1183</v>
      </c>
      <c r="AF252">
        <v>10</v>
      </c>
      <c r="AG252">
        <v>0.49199999999999999</v>
      </c>
      <c r="AH252">
        <v>0.51300000000000001</v>
      </c>
      <c r="AI252">
        <v>0.11</v>
      </c>
      <c r="AJ252">
        <v>2.4</v>
      </c>
      <c r="AK252">
        <v>11.8</v>
      </c>
      <c r="AL252">
        <v>7</v>
      </c>
      <c r="AM252">
        <v>14</v>
      </c>
      <c r="AN252">
        <v>1.6</v>
      </c>
      <c r="AO252">
        <v>0.9</v>
      </c>
      <c r="AP252">
        <v>10.6</v>
      </c>
      <c r="AQ252">
        <v>20.7</v>
      </c>
      <c r="AR252">
        <v>-0.6</v>
      </c>
      <c r="AS252">
        <v>1.1000000000000001</v>
      </c>
      <c r="AT252">
        <v>0.5</v>
      </c>
      <c r="AU252">
        <v>2.1000000000000001E-2</v>
      </c>
      <c r="AV252">
        <v>-3</v>
      </c>
      <c r="AW252">
        <v>-1</v>
      </c>
      <c r="AX252">
        <v>-3.9</v>
      </c>
      <c r="AY252">
        <v>-0.6</v>
      </c>
      <c r="AZ252">
        <f t="shared" si="6"/>
        <v>-1.7</v>
      </c>
      <c r="BA252">
        <f t="shared" si="7"/>
        <v>-0.55807235243910447</v>
      </c>
    </row>
    <row r="253" spans="1:53" hidden="1" x14ac:dyDescent="0.25">
      <c r="A253" t="s">
        <v>336</v>
      </c>
      <c r="B253" s="2">
        <v>3000000</v>
      </c>
      <c r="C253" t="s">
        <v>28</v>
      </c>
      <c r="D253">
        <v>23</v>
      </c>
      <c r="E253" t="s">
        <v>70</v>
      </c>
      <c r="F253">
        <v>63</v>
      </c>
      <c r="G253">
        <v>5</v>
      </c>
      <c r="H253">
        <v>15.1</v>
      </c>
      <c r="I253">
        <v>2.4</v>
      </c>
      <c r="J253">
        <v>5.3</v>
      </c>
      <c r="K253">
        <v>0.45800000000000002</v>
      </c>
      <c r="L253">
        <v>1</v>
      </c>
      <c r="M253">
        <v>3</v>
      </c>
      <c r="N253">
        <v>0.34899999999999998</v>
      </c>
      <c r="O253">
        <v>1.4</v>
      </c>
      <c r="P253">
        <v>2.2999999999999998</v>
      </c>
      <c r="Q253">
        <v>0.59599999999999997</v>
      </c>
      <c r="R253">
        <v>0.55600000000000005</v>
      </c>
      <c r="S253">
        <v>0.7</v>
      </c>
      <c r="T253">
        <v>1</v>
      </c>
      <c r="U253">
        <v>0.76700000000000002</v>
      </c>
      <c r="V253">
        <v>0.5</v>
      </c>
      <c r="W253">
        <v>2.2999999999999998</v>
      </c>
      <c r="X253">
        <v>2.8</v>
      </c>
      <c r="Y253">
        <v>0.5</v>
      </c>
      <c r="Z253">
        <v>0.4</v>
      </c>
      <c r="AA253">
        <v>0.2</v>
      </c>
      <c r="AB253">
        <v>0.8</v>
      </c>
      <c r="AC253">
        <v>1.5</v>
      </c>
      <c r="AD253">
        <v>6.6</v>
      </c>
      <c r="AE253">
        <v>952</v>
      </c>
      <c r="AF253">
        <v>11.1</v>
      </c>
      <c r="AG253">
        <v>0.57899999999999996</v>
      </c>
      <c r="AH253">
        <v>0.56000000000000005</v>
      </c>
      <c r="AI253">
        <v>0.18099999999999999</v>
      </c>
      <c r="AJ253">
        <v>3.9</v>
      </c>
      <c r="AK253">
        <v>17.3</v>
      </c>
      <c r="AL253">
        <v>10.5</v>
      </c>
      <c r="AM253">
        <v>5.2</v>
      </c>
      <c r="AN253">
        <v>1.2</v>
      </c>
      <c r="AO253">
        <v>1.1000000000000001</v>
      </c>
      <c r="AP253">
        <v>12.2</v>
      </c>
      <c r="AQ253">
        <v>18.399999999999999</v>
      </c>
      <c r="AR253">
        <v>0.2</v>
      </c>
      <c r="AS253">
        <v>0.5</v>
      </c>
      <c r="AT253">
        <v>0.7</v>
      </c>
      <c r="AU253">
        <v>3.4000000000000002E-2</v>
      </c>
      <c r="AV253">
        <v>-2.1</v>
      </c>
      <c r="AW253">
        <v>-1.4</v>
      </c>
      <c r="AX253">
        <v>-3.5</v>
      </c>
      <c r="AY253">
        <v>-0.4</v>
      </c>
      <c r="AZ253">
        <f t="shared" si="6"/>
        <v>-1.4</v>
      </c>
      <c r="BA253">
        <f t="shared" si="7"/>
        <v>-0.46666666666666667</v>
      </c>
    </row>
    <row r="254" spans="1:53" x14ac:dyDescent="0.25">
      <c r="A254" t="s">
        <v>337</v>
      </c>
      <c r="B254" s="2">
        <v>2959080</v>
      </c>
      <c r="C254" t="s">
        <v>65</v>
      </c>
      <c r="D254">
        <v>23</v>
      </c>
      <c r="E254" t="s">
        <v>85</v>
      </c>
      <c r="F254">
        <v>77</v>
      </c>
      <c r="G254">
        <v>37</v>
      </c>
      <c r="H254">
        <v>27.6</v>
      </c>
      <c r="I254">
        <v>4.5999999999999996</v>
      </c>
      <c r="J254">
        <v>10.9</v>
      </c>
      <c r="K254">
        <v>0.42199999999999999</v>
      </c>
      <c r="L254">
        <v>2</v>
      </c>
      <c r="M254">
        <v>5.4</v>
      </c>
      <c r="N254">
        <v>0.36099999999999999</v>
      </c>
      <c r="O254">
        <v>2.6</v>
      </c>
      <c r="P254">
        <v>5.4</v>
      </c>
      <c r="Q254">
        <v>0.48299999999999998</v>
      </c>
      <c r="R254">
        <v>0.51300000000000001</v>
      </c>
      <c r="S254">
        <v>2.7</v>
      </c>
      <c r="T254">
        <v>3.1</v>
      </c>
      <c r="U254">
        <v>0.86099999999999999</v>
      </c>
      <c r="V254">
        <v>1.3</v>
      </c>
      <c r="W254">
        <v>3.4</v>
      </c>
      <c r="X254">
        <v>4.7</v>
      </c>
      <c r="Y254">
        <v>1.5</v>
      </c>
      <c r="Z254">
        <v>0.9</v>
      </c>
      <c r="AA254">
        <v>0.2</v>
      </c>
      <c r="AB254">
        <v>0.9</v>
      </c>
      <c r="AC254">
        <v>1.6</v>
      </c>
      <c r="AD254">
        <v>13.8</v>
      </c>
      <c r="AE254">
        <v>2129</v>
      </c>
      <c r="AF254">
        <v>14.6</v>
      </c>
      <c r="AG254">
        <v>0.56399999999999995</v>
      </c>
      <c r="AH254">
        <v>0.5</v>
      </c>
      <c r="AI254">
        <v>0.28499999999999998</v>
      </c>
      <c r="AJ254">
        <v>5</v>
      </c>
      <c r="AK254">
        <v>14</v>
      </c>
      <c r="AL254">
        <v>9.4</v>
      </c>
      <c r="AM254">
        <v>8.1</v>
      </c>
      <c r="AN254">
        <v>1.6</v>
      </c>
      <c r="AO254">
        <v>0.5</v>
      </c>
      <c r="AP254">
        <v>7</v>
      </c>
      <c r="AQ254">
        <v>20.2</v>
      </c>
      <c r="AR254">
        <v>2.6</v>
      </c>
      <c r="AS254">
        <v>1.2</v>
      </c>
      <c r="AT254">
        <v>3.9</v>
      </c>
      <c r="AU254">
        <v>8.6999999999999994E-2</v>
      </c>
      <c r="AV254">
        <v>0.9</v>
      </c>
      <c r="AW254">
        <v>-1.2</v>
      </c>
      <c r="AX254">
        <v>-0.3</v>
      </c>
      <c r="AY254">
        <v>0.9</v>
      </c>
      <c r="AZ254" s="8">
        <f t="shared" si="6"/>
        <v>1.8</v>
      </c>
      <c r="BA254" s="8">
        <f t="shared" si="7"/>
        <v>0.6082971734458007</v>
      </c>
    </row>
    <row r="255" spans="1:53" hidden="1" x14ac:dyDescent="0.25">
      <c r="A255" t="s">
        <v>338</v>
      </c>
      <c r="B255" s="2">
        <v>2925600</v>
      </c>
      <c r="C255" t="s">
        <v>62</v>
      </c>
      <c r="D255">
        <v>19</v>
      </c>
      <c r="E255" t="s">
        <v>175</v>
      </c>
      <c r="F255">
        <v>66</v>
      </c>
      <c r="G255">
        <v>32</v>
      </c>
      <c r="H255">
        <v>23.5</v>
      </c>
      <c r="I255">
        <v>4.0999999999999996</v>
      </c>
      <c r="J255">
        <v>9.3000000000000007</v>
      </c>
      <c r="K255">
        <v>0.44</v>
      </c>
      <c r="L255">
        <v>1.2</v>
      </c>
      <c r="M255">
        <v>3.9</v>
      </c>
      <c r="N255">
        <v>0.30199999999999999</v>
      </c>
      <c r="O255">
        <v>2.9</v>
      </c>
      <c r="P255">
        <v>5.4</v>
      </c>
      <c r="Q255">
        <v>0.53900000000000003</v>
      </c>
      <c r="R255">
        <v>0.503</v>
      </c>
      <c r="S255">
        <v>0.9</v>
      </c>
      <c r="T255">
        <v>1.1000000000000001</v>
      </c>
      <c r="U255">
        <v>0.82899999999999996</v>
      </c>
      <c r="V255">
        <v>0.4</v>
      </c>
      <c r="W255">
        <v>2.2999999999999998</v>
      </c>
      <c r="X255">
        <v>2.7</v>
      </c>
      <c r="Y255">
        <v>1.9</v>
      </c>
      <c r="Z255">
        <v>0.5</v>
      </c>
      <c r="AA255">
        <v>0.1</v>
      </c>
      <c r="AB255">
        <v>1.2</v>
      </c>
      <c r="AC255">
        <v>1.7</v>
      </c>
      <c r="AD255">
        <v>10.199999999999999</v>
      </c>
      <c r="AE255">
        <v>1550</v>
      </c>
      <c r="AF255">
        <v>9.5</v>
      </c>
      <c r="AG255">
        <v>0.52400000000000002</v>
      </c>
      <c r="AH255">
        <v>0.41699999999999998</v>
      </c>
      <c r="AI255">
        <v>0.115</v>
      </c>
      <c r="AJ255">
        <v>1.9</v>
      </c>
      <c r="AK255">
        <v>11.2</v>
      </c>
      <c r="AL255">
        <v>6.4</v>
      </c>
      <c r="AM255">
        <v>11.4</v>
      </c>
      <c r="AN255">
        <v>1</v>
      </c>
      <c r="AO255">
        <v>0.4</v>
      </c>
      <c r="AP255">
        <v>10.6</v>
      </c>
      <c r="AQ255">
        <v>19.100000000000001</v>
      </c>
      <c r="AR255">
        <v>-0.4</v>
      </c>
      <c r="AS255">
        <v>0.2</v>
      </c>
      <c r="AT255">
        <v>-0.1</v>
      </c>
      <c r="AU255">
        <v>-4.0000000000000001E-3</v>
      </c>
      <c r="AV255">
        <v>-3</v>
      </c>
      <c r="AW255">
        <v>-2.1</v>
      </c>
      <c r="AX255">
        <v>-5.2</v>
      </c>
      <c r="AY255">
        <v>-1.3</v>
      </c>
      <c r="AZ255">
        <f t="shared" si="6"/>
        <v>-2.65</v>
      </c>
      <c r="BA255">
        <f t="shared" si="7"/>
        <v>-0.90579710144927539</v>
      </c>
    </row>
    <row r="256" spans="1:53" hidden="1" x14ac:dyDescent="0.25">
      <c r="A256" t="s">
        <v>339</v>
      </c>
      <c r="B256" s="2">
        <v>2909261</v>
      </c>
      <c r="C256" t="s">
        <v>65</v>
      </c>
      <c r="D256">
        <v>23</v>
      </c>
      <c r="E256" t="s">
        <v>91</v>
      </c>
      <c r="F256">
        <v>9</v>
      </c>
      <c r="G256">
        <v>0</v>
      </c>
      <c r="H256">
        <v>5.6</v>
      </c>
      <c r="I256">
        <v>0.3</v>
      </c>
      <c r="J256">
        <v>1.6</v>
      </c>
      <c r="K256">
        <v>0.214</v>
      </c>
      <c r="L256">
        <v>0.3</v>
      </c>
      <c r="M256">
        <v>1.3</v>
      </c>
      <c r="N256">
        <v>0.25</v>
      </c>
      <c r="O256">
        <v>0</v>
      </c>
      <c r="P256">
        <v>0.2</v>
      </c>
      <c r="Q256">
        <v>0</v>
      </c>
      <c r="R256">
        <v>0.32100000000000001</v>
      </c>
      <c r="S256">
        <v>0</v>
      </c>
      <c r="T256">
        <v>0</v>
      </c>
      <c r="V256">
        <v>0</v>
      </c>
      <c r="W256">
        <v>0.4</v>
      </c>
      <c r="X256">
        <v>0.4</v>
      </c>
      <c r="Y256">
        <v>0.3</v>
      </c>
      <c r="Z256">
        <v>0</v>
      </c>
      <c r="AA256">
        <v>0</v>
      </c>
      <c r="AB256">
        <v>0.1</v>
      </c>
      <c r="AC256">
        <v>0.3</v>
      </c>
      <c r="AD256">
        <v>1</v>
      </c>
      <c r="AE256">
        <v>50</v>
      </c>
      <c r="AF256">
        <v>-0.4</v>
      </c>
      <c r="AG256">
        <v>0.32100000000000001</v>
      </c>
      <c r="AH256">
        <v>0.85699999999999998</v>
      </c>
      <c r="AI256">
        <v>0</v>
      </c>
      <c r="AJ256">
        <v>0</v>
      </c>
      <c r="AK256">
        <v>9.8000000000000007</v>
      </c>
      <c r="AL256">
        <v>4.5</v>
      </c>
      <c r="AM256">
        <v>7.4</v>
      </c>
      <c r="AN256">
        <v>0</v>
      </c>
      <c r="AO256">
        <v>0</v>
      </c>
      <c r="AP256">
        <v>6.7</v>
      </c>
      <c r="AQ256">
        <v>12.8</v>
      </c>
      <c r="AR256">
        <v>-0.1</v>
      </c>
      <c r="AS256">
        <v>0</v>
      </c>
      <c r="AT256">
        <v>-0.1</v>
      </c>
      <c r="AU256">
        <v>-7.5999999999999998E-2</v>
      </c>
      <c r="AV256">
        <v>-7</v>
      </c>
      <c r="AW256">
        <v>-3.6</v>
      </c>
      <c r="AX256">
        <v>-10.6</v>
      </c>
      <c r="AY256">
        <v>-0.1</v>
      </c>
      <c r="AZ256">
        <f t="shared" si="6"/>
        <v>-5.35</v>
      </c>
      <c r="BA256">
        <f t="shared" si="7"/>
        <v>-1.838954978601095</v>
      </c>
    </row>
    <row r="257" spans="1:53" hidden="1" x14ac:dyDescent="0.25">
      <c r="A257" t="s">
        <v>340</v>
      </c>
      <c r="B257" s="2">
        <v>2909040</v>
      </c>
      <c r="C257" t="s">
        <v>75</v>
      </c>
      <c r="D257">
        <v>22</v>
      </c>
      <c r="E257" t="s">
        <v>118</v>
      </c>
      <c r="F257">
        <v>46</v>
      </c>
      <c r="G257">
        <v>0</v>
      </c>
      <c r="H257">
        <v>12</v>
      </c>
      <c r="I257">
        <v>1.5</v>
      </c>
      <c r="J257">
        <v>2.6</v>
      </c>
      <c r="K257">
        <v>0.55800000000000005</v>
      </c>
      <c r="L257">
        <v>0.1</v>
      </c>
      <c r="M257">
        <v>0.4</v>
      </c>
      <c r="N257">
        <v>0.21099999999999999</v>
      </c>
      <c r="O257">
        <v>1.4</v>
      </c>
      <c r="P257">
        <v>2.2000000000000002</v>
      </c>
      <c r="Q257">
        <v>0.624</v>
      </c>
      <c r="R257">
        <v>0.57499999999999996</v>
      </c>
      <c r="S257">
        <v>0.4</v>
      </c>
      <c r="T257">
        <v>0.6</v>
      </c>
      <c r="U257">
        <v>0.73099999999999998</v>
      </c>
      <c r="V257">
        <v>0.8</v>
      </c>
      <c r="W257">
        <v>1.9</v>
      </c>
      <c r="X257">
        <v>2.7</v>
      </c>
      <c r="Y257">
        <v>0.3</v>
      </c>
      <c r="Z257">
        <v>0.4</v>
      </c>
      <c r="AA257">
        <v>0.7</v>
      </c>
      <c r="AB257">
        <v>0.7</v>
      </c>
      <c r="AC257">
        <v>1.4</v>
      </c>
      <c r="AD257">
        <v>3.4</v>
      </c>
      <c r="AE257">
        <v>550</v>
      </c>
      <c r="AF257">
        <v>10.8</v>
      </c>
      <c r="AG257">
        <v>0.59699999999999998</v>
      </c>
      <c r="AH257">
        <v>0.158</v>
      </c>
      <c r="AI257">
        <v>0.217</v>
      </c>
      <c r="AJ257">
        <v>7</v>
      </c>
      <c r="AK257">
        <v>17</v>
      </c>
      <c r="AL257">
        <v>11.9</v>
      </c>
      <c r="AM257">
        <v>3.7</v>
      </c>
      <c r="AN257">
        <v>1.5</v>
      </c>
      <c r="AO257">
        <v>4.7</v>
      </c>
      <c r="AP257">
        <v>19.100000000000001</v>
      </c>
      <c r="AQ257">
        <v>12.4</v>
      </c>
      <c r="AR257">
        <v>0</v>
      </c>
      <c r="AS257">
        <v>0.7</v>
      </c>
      <c r="AT257">
        <v>0.7</v>
      </c>
      <c r="AU257">
        <v>6.2E-2</v>
      </c>
      <c r="AV257">
        <v>-4.8</v>
      </c>
      <c r="AW257">
        <v>0.8</v>
      </c>
      <c r="AX257">
        <v>-4</v>
      </c>
      <c r="AY257">
        <v>-0.3</v>
      </c>
      <c r="AZ257">
        <f t="shared" si="6"/>
        <v>-1.65</v>
      </c>
      <c r="BA257">
        <f t="shared" si="7"/>
        <v>-0.56719742595495426</v>
      </c>
    </row>
    <row r="258" spans="1:53" hidden="1" x14ac:dyDescent="0.25">
      <c r="A258" t="s">
        <v>341</v>
      </c>
      <c r="B258" s="2">
        <v>2905851</v>
      </c>
      <c r="C258" t="s">
        <v>75</v>
      </c>
      <c r="D258">
        <v>33</v>
      </c>
      <c r="E258" t="s">
        <v>113</v>
      </c>
      <c r="F258">
        <v>41</v>
      </c>
      <c r="G258">
        <v>16</v>
      </c>
      <c r="H258">
        <v>13.9</v>
      </c>
      <c r="I258">
        <v>1.5</v>
      </c>
      <c r="J258">
        <v>3.2</v>
      </c>
      <c r="K258">
        <v>0.48499999999999999</v>
      </c>
      <c r="L258">
        <v>0.6</v>
      </c>
      <c r="M258">
        <v>1.6</v>
      </c>
      <c r="N258">
        <v>0.34799999999999998</v>
      </c>
      <c r="O258">
        <v>1</v>
      </c>
      <c r="P258">
        <v>1.6</v>
      </c>
      <c r="Q258">
        <v>0.625</v>
      </c>
      <c r="R258">
        <v>0.57299999999999995</v>
      </c>
      <c r="S258">
        <v>0.5</v>
      </c>
      <c r="T258">
        <v>0.8</v>
      </c>
      <c r="U258">
        <v>0.65600000000000003</v>
      </c>
      <c r="V258">
        <v>1.1000000000000001</v>
      </c>
      <c r="W258">
        <v>2.6</v>
      </c>
      <c r="X258">
        <v>3.8</v>
      </c>
      <c r="Y258">
        <v>1.5</v>
      </c>
      <c r="Z258">
        <v>0.3</v>
      </c>
      <c r="AA258">
        <v>0.2</v>
      </c>
      <c r="AB258">
        <v>0.5</v>
      </c>
      <c r="AC258">
        <v>1.8</v>
      </c>
      <c r="AD258">
        <v>4.0999999999999996</v>
      </c>
      <c r="AE258">
        <v>569</v>
      </c>
      <c r="AF258">
        <v>13.1</v>
      </c>
      <c r="AG258">
        <v>0.59</v>
      </c>
      <c r="AH258">
        <v>0.50800000000000001</v>
      </c>
      <c r="AI258">
        <v>0.246</v>
      </c>
      <c r="AJ258">
        <v>9.1999999999999993</v>
      </c>
      <c r="AK258">
        <v>20.399999999999999</v>
      </c>
      <c r="AL258">
        <v>14.9</v>
      </c>
      <c r="AM258">
        <v>14.2</v>
      </c>
      <c r="AN258">
        <v>1.2</v>
      </c>
      <c r="AO258">
        <v>1.4</v>
      </c>
      <c r="AP258">
        <v>13.2</v>
      </c>
      <c r="AQ258">
        <v>12.7</v>
      </c>
      <c r="AR258">
        <v>1</v>
      </c>
      <c r="AS258">
        <v>0.8</v>
      </c>
      <c r="AT258">
        <v>1.8</v>
      </c>
      <c r="AU258">
        <v>0.153</v>
      </c>
      <c r="AV258">
        <v>-1.4</v>
      </c>
      <c r="AW258">
        <v>1.5</v>
      </c>
      <c r="AX258">
        <v>0.1</v>
      </c>
      <c r="AY258">
        <v>0.3</v>
      </c>
      <c r="AZ258">
        <f t="shared" si="6"/>
        <v>0.95000000000000007</v>
      </c>
      <c r="BA258">
        <f t="shared" si="7"/>
        <v>0.32692660428907061</v>
      </c>
    </row>
    <row r="259" spans="1:53" hidden="1" x14ac:dyDescent="0.25">
      <c r="A259" t="s">
        <v>342</v>
      </c>
      <c r="B259" s="2">
        <v>2905851</v>
      </c>
      <c r="C259" t="s">
        <v>75</v>
      </c>
      <c r="D259">
        <v>34</v>
      </c>
      <c r="E259" t="s">
        <v>107</v>
      </c>
      <c r="F259">
        <v>37</v>
      </c>
      <c r="G259">
        <v>2</v>
      </c>
      <c r="H259">
        <v>8.1</v>
      </c>
      <c r="I259">
        <v>1.3</v>
      </c>
      <c r="J259">
        <v>2</v>
      </c>
      <c r="K259">
        <v>0.64</v>
      </c>
      <c r="L259">
        <v>0.1</v>
      </c>
      <c r="M259">
        <v>0.1</v>
      </c>
      <c r="N259">
        <v>0.5</v>
      </c>
      <c r="O259">
        <v>1.2</v>
      </c>
      <c r="P259">
        <v>1.9</v>
      </c>
      <c r="Q259">
        <v>0.64800000000000002</v>
      </c>
      <c r="R259">
        <v>0.65300000000000002</v>
      </c>
      <c r="S259">
        <v>0.4</v>
      </c>
      <c r="T259">
        <v>0.5</v>
      </c>
      <c r="U259">
        <v>0.77800000000000002</v>
      </c>
      <c r="V259">
        <v>0.6</v>
      </c>
      <c r="W259">
        <v>0.8</v>
      </c>
      <c r="X259">
        <v>1.4</v>
      </c>
      <c r="Y259">
        <v>0.5</v>
      </c>
      <c r="Z259">
        <v>0.1</v>
      </c>
      <c r="AA259">
        <v>0.2</v>
      </c>
      <c r="AB259">
        <v>0.7</v>
      </c>
      <c r="AC259">
        <v>1.2</v>
      </c>
      <c r="AD259">
        <v>3</v>
      </c>
      <c r="AE259">
        <v>299</v>
      </c>
      <c r="AF259">
        <v>11.6</v>
      </c>
      <c r="AG259">
        <v>0.67500000000000004</v>
      </c>
      <c r="AH259">
        <v>5.2999999999999999E-2</v>
      </c>
      <c r="AI259">
        <v>0.24</v>
      </c>
      <c r="AJ259">
        <v>9.1</v>
      </c>
      <c r="AK259">
        <v>11</v>
      </c>
      <c r="AL259">
        <v>10</v>
      </c>
      <c r="AM259">
        <v>9.1</v>
      </c>
      <c r="AN259">
        <v>0.3</v>
      </c>
      <c r="AO259">
        <v>2.5</v>
      </c>
      <c r="AP259">
        <v>23.2</v>
      </c>
      <c r="AQ259">
        <v>16.100000000000001</v>
      </c>
      <c r="AR259">
        <v>0.2</v>
      </c>
      <c r="AS259">
        <v>0.3</v>
      </c>
      <c r="AT259">
        <v>0.6</v>
      </c>
      <c r="AU259">
        <v>9.4E-2</v>
      </c>
      <c r="AV259">
        <v>-3.4</v>
      </c>
      <c r="AW259">
        <v>0.3</v>
      </c>
      <c r="AX259">
        <v>-3</v>
      </c>
      <c r="AY259">
        <v>-0.1</v>
      </c>
      <c r="AZ259">
        <f t="shared" ref="AZ259:AZ322" si="8">0.5*AX259 + 0.5*AT259</f>
        <v>-1.2</v>
      </c>
      <c r="BA259">
        <f t="shared" ref="BA259:BA322" si="9">IF(B259&gt;0, AZ259*1000000/B259, 0)</f>
        <v>-0.41295992120724706</v>
      </c>
    </row>
    <row r="260" spans="1:53" hidden="1" x14ac:dyDescent="0.25">
      <c r="A260" t="s">
        <v>343</v>
      </c>
      <c r="B260" s="2">
        <v>2905851</v>
      </c>
      <c r="C260" t="s">
        <v>28</v>
      </c>
      <c r="D260">
        <v>33</v>
      </c>
      <c r="E260" t="s">
        <v>73</v>
      </c>
      <c r="F260">
        <v>35</v>
      </c>
      <c r="G260">
        <v>2</v>
      </c>
      <c r="H260">
        <v>10.1</v>
      </c>
      <c r="I260">
        <v>1.3</v>
      </c>
      <c r="J260">
        <v>3.3</v>
      </c>
      <c r="K260">
        <v>0.40899999999999997</v>
      </c>
      <c r="L260">
        <v>0.8</v>
      </c>
      <c r="M260">
        <v>2</v>
      </c>
      <c r="N260">
        <v>0.39400000000000002</v>
      </c>
      <c r="O260">
        <v>0.5</v>
      </c>
      <c r="P260">
        <v>1.3</v>
      </c>
      <c r="Q260">
        <v>0.432</v>
      </c>
      <c r="R260">
        <v>0.53</v>
      </c>
      <c r="S260">
        <v>0.3</v>
      </c>
      <c r="T260">
        <v>0.3</v>
      </c>
      <c r="U260">
        <v>1</v>
      </c>
      <c r="V260">
        <v>0.4</v>
      </c>
      <c r="W260">
        <v>1.7</v>
      </c>
      <c r="X260">
        <v>2</v>
      </c>
      <c r="Y260">
        <v>0.9</v>
      </c>
      <c r="Z260">
        <v>0.3</v>
      </c>
      <c r="AA260">
        <v>0.1</v>
      </c>
      <c r="AB260">
        <v>0.5</v>
      </c>
      <c r="AC260">
        <v>1.4</v>
      </c>
      <c r="AD260">
        <v>3.8</v>
      </c>
      <c r="AE260">
        <v>355</v>
      </c>
      <c r="AF260">
        <v>10.4</v>
      </c>
      <c r="AG260">
        <v>0.55300000000000005</v>
      </c>
      <c r="AH260">
        <v>0.61699999999999999</v>
      </c>
      <c r="AI260">
        <v>8.6999999999999994E-2</v>
      </c>
      <c r="AJ260">
        <v>4.2</v>
      </c>
      <c r="AK260">
        <v>18.2</v>
      </c>
      <c r="AL260">
        <v>11.3</v>
      </c>
      <c r="AM260">
        <v>12.2</v>
      </c>
      <c r="AN260">
        <v>1.2</v>
      </c>
      <c r="AO260">
        <v>1.2</v>
      </c>
      <c r="AP260">
        <v>13.1</v>
      </c>
      <c r="AQ260">
        <v>17.2</v>
      </c>
      <c r="AR260">
        <v>0.1</v>
      </c>
      <c r="AS260">
        <v>0.4</v>
      </c>
      <c r="AT260">
        <v>0.4</v>
      </c>
      <c r="AU260">
        <v>5.8999999999999997E-2</v>
      </c>
      <c r="AV260">
        <v>-2.2999999999999998</v>
      </c>
      <c r="AW260">
        <v>-0.4</v>
      </c>
      <c r="AX260">
        <v>-2.7</v>
      </c>
      <c r="AY260">
        <v>-0.1</v>
      </c>
      <c r="AZ260">
        <f t="shared" si="8"/>
        <v>-1.1500000000000001</v>
      </c>
      <c r="BA260">
        <f t="shared" si="9"/>
        <v>-0.39575325782361181</v>
      </c>
    </row>
    <row r="261" spans="1:53" hidden="1" x14ac:dyDescent="0.25">
      <c r="A261" t="s">
        <v>344</v>
      </c>
      <c r="B261" s="2">
        <v>2905851</v>
      </c>
      <c r="C261" t="s">
        <v>28</v>
      </c>
      <c r="D261">
        <v>39</v>
      </c>
      <c r="E261" t="s">
        <v>53</v>
      </c>
      <c r="F261">
        <v>8</v>
      </c>
      <c r="G261">
        <v>0</v>
      </c>
      <c r="H261">
        <v>14.1</v>
      </c>
      <c r="I261">
        <v>0.9</v>
      </c>
      <c r="J261">
        <v>1.9</v>
      </c>
      <c r="K261">
        <v>0.46700000000000003</v>
      </c>
      <c r="L261">
        <v>0.1</v>
      </c>
      <c r="M261">
        <v>1.1000000000000001</v>
      </c>
      <c r="N261">
        <v>0.111</v>
      </c>
      <c r="O261">
        <v>0.8</v>
      </c>
      <c r="P261">
        <v>0.8</v>
      </c>
      <c r="Q261">
        <v>1</v>
      </c>
      <c r="R261">
        <v>0.5</v>
      </c>
      <c r="S261">
        <v>0.3</v>
      </c>
      <c r="T261">
        <v>0.4</v>
      </c>
      <c r="U261">
        <v>0.66700000000000004</v>
      </c>
      <c r="V261">
        <v>0.4</v>
      </c>
      <c r="W261">
        <v>1.8</v>
      </c>
      <c r="X261">
        <v>2.1</v>
      </c>
      <c r="Y261">
        <v>2.4</v>
      </c>
      <c r="Z261">
        <v>0.5</v>
      </c>
      <c r="AA261">
        <v>0.4</v>
      </c>
      <c r="AB261">
        <v>1.1000000000000001</v>
      </c>
      <c r="AC261">
        <v>1.4</v>
      </c>
      <c r="AD261">
        <v>2.1</v>
      </c>
      <c r="AE261">
        <v>113</v>
      </c>
      <c r="AF261">
        <v>7.3</v>
      </c>
      <c r="AG261">
        <v>0.52100000000000002</v>
      </c>
      <c r="AH261">
        <v>0.6</v>
      </c>
      <c r="AI261">
        <v>0.2</v>
      </c>
      <c r="AJ261">
        <v>3</v>
      </c>
      <c r="AK261">
        <v>13.4</v>
      </c>
      <c r="AL261">
        <v>8.3000000000000007</v>
      </c>
      <c r="AM261">
        <v>20.3</v>
      </c>
      <c r="AN261">
        <v>1.7</v>
      </c>
      <c r="AO261">
        <v>2.2999999999999998</v>
      </c>
      <c r="AP261">
        <v>35.5</v>
      </c>
      <c r="AQ261">
        <v>9.4</v>
      </c>
      <c r="AR261">
        <v>0</v>
      </c>
      <c r="AS261">
        <v>0.1</v>
      </c>
      <c r="AT261">
        <v>0.1</v>
      </c>
      <c r="AU261">
        <v>4.3999999999999997E-2</v>
      </c>
      <c r="AV261">
        <v>-4.3</v>
      </c>
      <c r="AW261">
        <v>1.7</v>
      </c>
      <c r="AX261">
        <v>-2.5</v>
      </c>
      <c r="AY261">
        <v>0</v>
      </c>
      <c r="AZ261">
        <f t="shared" si="8"/>
        <v>-1.2</v>
      </c>
      <c r="BA261">
        <f t="shared" si="9"/>
        <v>-0.41295992120724706</v>
      </c>
    </row>
    <row r="262" spans="1:53" hidden="1" x14ac:dyDescent="0.25">
      <c r="A262" t="s">
        <v>345</v>
      </c>
      <c r="B262" s="2">
        <v>2905851</v>
      </c>
      <c r="C262" t="s">
        <v>75</v>
      </c>
      <c r="D262">
        <v>33</v>
      </c>
      <c r="E262" t="s">
        <v>68</v>
      </c>
      <c r="F262">
        <v>16</v>
      </c>
      <c r="G262">
        <v>0</v>
      </c>
      <c r="H262">
        <v>11.6</v>
      </c>
      <c r="I262">
        <v>1.6</v>
      </c>
      <c r="J262">
        <v>3.4</v>
      </c>
      <c r="K262">
        <v>0.48099999999999998</v>
      </c>
      <c r="L262">
        <v>0.4</v>
      </c>
      <c r="M262">
        <v>1.1000000000000001</v>
      </c>
      <c r="N262">
        <v>0.33300000000000002</v>
      </c>
      <c r="O262">
        <v>1.3</v>
      </c>
      <c r="P262">
        <v>2.2999999999999998</v>
      </c>
      <c r="Q262">
        <v>0.55600000000000005</v>
      </c>
      <c r="R262">
        <v>0.53700000000000003</v>
      </c>
      <c r="S262">
        <v>0.5</v>
      </c>
      <c r="T262">
        <v>0.8</v>
      </c>
      <c r="U262">
        <v>0.61499999999999999</v>
      </c>
      <c r="V262">
        <v>0.9</v>
      </c>
      <c r="W262">
        <v>1.8</v>
      </c>
      <c r="X262">
        <v>2.8</v>
      </c>
      <c r="Y262">
        <v>0.3</v>
      </c>
      <c r="Z262">
        <v>0.1</v>
      </c>
      <c r="AA262">
        <v>0.4</v>
      </c>
      <c r="AB262">
        <v>0.7</v>
      </c>
      <c r="AC262">
        <v>1.4</v>
      </c>
      <c r="AD262">
        <v>4.0999999999999996</v>
      </c>
      <c r="AE262">
        <v>185</v>
      </c>
      <c r="AF262">
        <v>9.8000000000000007</v>
      </c>
      <c r="AG262">
        <v>0.55300000000000005</v>
      </c>
      <c r="AH262">
        <v>0.33300000000000002</v>
      </c>
      <c r="AI262">
        <v>0.24099999999999999</v>
      </c>
      <c r="AJ262">
        <v>8.8000000000000007</v>
      </c>
      <c r="AK262">
        <v>15.7</v>
      </c>
      <c r="AL262">
        <v>12.4</v>
      </c>
      <c r="AM262">
        <v>2.9</v>
      </c>
      <c r="AN262">
        <v>0.5</v>
      </c>
      <c r="AO262">
        <v>3.1</v>
      </c>
      <c r="AP262">
        <v>15.6</v>
      </c>
      <c r="AQ262">
        <v>16.100000000000001</v>
      </c>
      <c r="AR262">
        <v>0</v>
      </c>
      <c r="AS262">
        <v>0.2</v>
      </c>
      <c r="AT262">
        <v>0.2</v>
      </c>
      <c r="AU262">
        <v>5.8000000000000003E-2</v>
      </c>
      <c r="AV262">
        <v>-4.5999999999999996</v>
      </c>
      <c r="AW262">
        <v>0</v>
      </c>
      <c r="AX262">
        <v>-4.5</v>
      </c>
      <c r="AY262">
        <v>-0.1</v>
      </c>
      <c r="AZ262">
        <f t="shared" si="8"/>
        <v>-2.15</v>
      </c>
      <c r="BA262">
        <f t="shared" si="9"/>
        <v>-0.73988652549631762</v>
      </c>
    </row>
    <row r="263" spans="1:53" hidden="1" x14ac:dyDescent="0.25">
      <c r="A263" t="s">
        <v>346</v>
      </c>
      <c r="B263" s="2">
        <v>2905851</v>
      </c>
      <c r="C263" t="s">
        <v>75</v>
      </c>
      <c r="D263">
        <v>42</v>
      </c>
      <c r="E263" t="s">
        <v>80</v>
      </c>
      <c r="F263">
        <v>7</v>
      </c>
      <c r="G263">
        <v>1</v>
      </c>
      <c r="H263">
        <v>10.1</v>
      </c>
      <c r="I263">
        <v>1.4</v>
      </c>
      <c r="J263">
        <v>4.0999999999999996</v>
      </c>
      <c r="K263">
        <v>0.34499999999999997</v>
      </c>
      <c r="L263">
        <v>0.4</v>
      </c>
      <c r="M263">
        <v>1.3</v>
      </c>
      <c r="N263">
        <v>0.33300000000000002</v>
      </c>
      <c r="O263">
        <v>1</v>
      </c>
      <c r="P263">
        <v>2.9</v>
      </c>
      <c r="Q263">
        <v>0.35</v>
      </c>
      <c r="R263">
        <v>0.39700000000000002</v>
      </c>
      <c r="S263">
        <v>0.6</v>
      </c>
      <c r="T263">
        <v>0.7</v>
      </c>
      <c r="U263">
        <v>0.8</v>
      </c>
      <c r="V263">
        <v>0.6</v>
      </c>
      <c r="W263">
        <v>1</v>
      </c>
      <c r="X263">
        <v>1.6</v>
      </c>
      <c r="Y263">
        <v>0</v>
      </c>
      <c r="Z263">
        <v>0.1</v>
      </c>
      <c r="AA263">
        <v>0.3</v>
      </c>
      <c r="AB263">
        <v>0.1</v>
      </c>
      <c r="AC263">
        <v>1.6</v>
      </c>
      <c r="AD263">
        <v>3.9</v>
      </c>
      <c r="AE263">
        <v>71</v>
      </c>
      <c r="AF263">
        <v>6.2</v>
      </c>
      <c r="AG263">
        <v>0.433</v>
      </c>
      <c r="AH263">
        <v>0.31</v>
      </c>
      <c r="AI263">
        <v>0.17199999999999999</v>
      </c>
      <c r="AJ263">
        <v>6.4</v>
      </c>
      <c r="AK263">
        <v>12</v>
      </c>
      <c r="AL263">
        <v>9.1</v>
      </c>
      <c r="AM263">
        <v>0</v>
      </c>
      <c r="AN263">
        <v>0.7</v>
      </c>
      <c r="AO263">
        <v>2.9</v>
      </c>
      <c r="AP263">
        <v>3.1</v>
      </c>
      <c r="AQ263">
        <v>20.100000000000001</v>
      </c>
      <c r="AR263">
        <v>-0.1</v>
      </c>
      <c r="AS263">
        <v>0.1</v>
      </c>
      <c r="AT263">
        <v>0</v>
      </c>
      <c r="AU263">
        <v>-8.9999999999999993E-3</v>
      </c>
      <c r="AV263">
        <v>-8.1999999999999993</v>
      </c>
      <c r="AW263">
        <v>-3.9</v>
      </c>
      <c r="AX263">
        <v>-12.1</v>
      </c>
      <c r="AY263">
        <v>-0.2</v>
      </c>
      <c r="AZ263">
        <f t="shared" si="8"/>
        <v>-6.05</v>
      </c>
      <c r="BA263">
        <f t="shared" si="9"/>
        <v>-2.0820062694198707</v>
      </c>
    </row>
    <row r="264" spans="1:53" hidden="1" x14ac:dyDescent="0.25">
      <c r="A264" t="s">
        <v>347</v>
      </c>
      <c r="B264" s="2">
        <v>2905851</v>
      </c>
      <c r="C264" t="s">
        <v>65</v>
      </c>
      <c r="D264">
        <v>36</v>
      </c>
      <c r="E264" t="s">
        <v>68</v>
      </c>
      <c r="F264">
        <v>52</v>
      </c>
      <c r="G264">
        <v>0</v>
      </c>
      <c r="H264">
        <v>15.8</v>
      </c>
      <c r="I264">
        <v>1.1000000000000001</v>
      </c>
      <c r="J264">
        <v>3.1</v>
      </c>
      <c r="K264">
        <v>0.36299999999999999</v>
      </c>
      <c r="L264">
        <v>0.8</v>
      </c>
      <c r="M264">
        <v>2.4</v>
      </c>
      <c r="N264">
        <v>0.315</v>
      </c>
      <c r="O264">
        <v>0.4</v>
      </c>
      <c r="P264">
        <v>0.7</v>
      </c>
      <c r="Q264">
        <v>0.52800000000000002</v>
      </c>
      <c r="R264">
        <v>0.48399999999999999</v>
      </c>
      <c r="S264">
        <v>0.5</v>
      </c>
      <c r="T264">
        <v>0.5</v>
      </c>
      <c r="U264">
        <v>0.85699999999999998</v>
      </c>
      <c r="V264">
        <v>0.7</v>
      </c>
      <c r="W264">
        <v>1.5</v>
      </c>
      <c r="X264">
        <v>2.2000000000000002</v>
      </c>
      <c r="Y264">
        <v>0.7</v>
      </c>
      <c r="Z264">
        <v>0.4</v>
      </c>
      <c r="AA264">
        <v>0.3</v>
      </c>
      <c r="AB264">
        <v>0.3</v>
      </c>
      <c r="AC264">
        <v>1.4</v>
      </c>
      <c r="AD264">
        <v>3.4</v>
      </c>
      <c r="AE264">
        <v>820</v>
      </c>
      <c r="AF264">
        <v>7</v>
      </c>
      <c r="AG264">
        <v>0.51900000000000002</v>
      </c>
      <c r="AH264">
        <v>0.77500000000000002</v>
      </c>
      <c r="AI264">
        <v>0.17499999999999999</v>
      </c>
      <c r="AJ264">
        <v>4.5</v>
      </c>
      <c r="AK264">
        <v>9.6999999999999993</v>
      </c>
      <c r="AL264">
        <v>7.2</v>
      </c>
      <c r="AM264">
        <v>5.0999999999999996</v>
      </c>
      <c r="AN264">
        <v>1.2</v>
      </c>
      <c r="AO264">
        <v>1.3</v>
      </c>
      <c r="AP264">
        <v>9.5</v>
      </c>
      <c r="AQ264">
        <v>9.8000000000000007</v>
      </c>
      <c r="AR264">
        <v>0.3</v>
      </c>
      <c r="AS264">
        <v>0.9</v>
      </c>
      <c r="AT264">
        <v>1.2</v>
      </c>
      <c r="AU264">
        <v>7.2999999999999995E-2</v>
      </c>
      <c r="AV264">
        <v>-3.4</v>
      </c>
      <c r="AW264">
        <v>0.8</v>
      </c>
      <c r="AX264">
        <v>-2.7</v>
      </c>
      <c r="AY264">
        <v>-0.1</v>
      </c>
      <c r="AZ264">
        <f t="shared" si="8"/>
        <v>-0.75000000000000011</v>
      </c>
      <c r="BA264">
        <f t="shared" si="9"/>
        <v>-0.25809995075452946</v>
      </c>
    </row>
    <row r="265" spans="1:53" hidden="1" x14ac:dyDescent="0.25">
      <c r="A265" t="s">
        <v>348</v>
      </c>
      <c r="B265" s="2">
        <v>2905851</v>
      </c>
      <c r="C265" t="s">
        <v>62</v>
      </c>
      <c r="D265">
        <v>30</v>
      </c>
      <c r="E265" t="s">
        <v>76</v>
      </c>
      <c r="F265">
        <v>52</v>
      </c>
      <c r="G265">
        <v>10</v>
      </c>
      <c r="H265">
        <v>19.5</v>
      </c>
      <c r="I265">
        <v>1.8</v>
      </c>
      <c r="J265">
        <v>4</v>
      </c>
      <c r="K265">
        <v>0.435</v>
      </c>
      <c r="L265">
        <v>0.8</v>
      </c>
      <c r="M265">
        <v>2.4</v>
      </c>
      <c r="N265">
        <v>0.35</v>
      </c>
      <c r="O265">
        <v>0.9</v>
      </c>
      <c r="P265">
        <v>1.7</v>
      </c>
      <c r="Q265">
        <v>0.55800000000000005</v>
      </c>
      <c r="R265">
        <v>0.53800000000000003</v>
      </c>
      <c r="S265">
        <v>0.6</v>
      </c>
      <c r="T265">
        <v>0.8</v>
      </c>
      <c r="U265">
        <v>0.76900000000000002</v>
      </c>
      <c r="V265">
        <v>0.1</v>
      </c>
      <c r="W265">
        <v>1.5</v>
      </c>
      <c r="X265">
        <v>1.6</v>
      </c>
      <c r="Y265">
        <v>1.4</v>
      </c>
      <c r="Z265">
        <v>0.5</v>
      </c>
      <c r="AA265">
        <v>0.1</v>
      </c>
      <c r="AB265">
        <v>0.4</v>
      </c>
      <c r="AC265">
        <v>1.5</v>
      </c>
      <c r="AD265">
        <v>4.9000000000000004</v>
      </c>
      <c r="AE265">
        <v>1016</v>
      </c>
      <c r="AF265">
        <v>7.4</v>
      </c>
      <c r="AG265">
        <v>0.56399999999999995</v>
      </c>
      <c r="AH265">
        <v>0.58899999999999997</v>
      </c>
      <c r="AI265">
        <v>0.187</v>
      </c>
      <c r="AJ265">
        <v>0.6</v>
      </c>
      <c r="AK265">
        <v>8.4</v>
      </c>
      <c r="AL265">
        <v>4.5999999999999996</v>
      </c>
      <c r="AM265">
        <v>9.3000000000000007</v>
      </c>
      <c r="AN265">
        <v>1.3</v>
      </c>
      <c r="AO265">
        <v>0.3</v>
      </c>
      <c r="AP265">
        <v>9.1999999999999993</v>
      </c>
      <c r="AQ265">
        <v>10.5</v>
      </c>
      <c r="AR265">
        <v>0.5</v>
      </c>
      <c r="AS265">
        <v>0.8</v>
      </c>
      <c r="AT265">
        <v>1.3</v>
      </c>
      <c r="AU265">
        <v>6.0999999999999999E-2</v>
      </c>
      <c r="AV265">
        <v>-3.3</v>
      </c>
      <c r="AW265">
        <v>0.5</v>
      </c>
      <c r="AX265">
        <v>-2.8</v>
      </c>
      <c r="AY265">
        <v>-0.2</v>
      </c>
      <c r="AZ265">
        <f t="shared" si="8"/>
        <v>-0.74999999999999989</v>
      </c>
      <c r="BA265">
        <f t="shared" si="9"/>
        <v>-0.25809995075452935</v>
      </c>
    </row>
    <row r="266" spans="1:53" hidden="1" x14ac:dyDescent="0.25">
      <c r="A266" t="s">
        <v>349</v>
      </c>
      <c r="B266" s="2">
        <v>2905851</v>
      </c>
      <c r="C266" t="s">
        <v>75</v>
      </c>
      <c r="D266">
        <v>30</v>
      </c>
      <c r="E266" t="s">
        <v>60</v>
      </c>
      <c r="F266">
        <v>61</v>
      </c>
      <c r="G266">
        <v>14</v>
      </c>
      <c r="H266">
        <v>14.3</v>
      </c>
      <c r="I266">
        <v>2</v>
      </c>
      <c r="J266">
        <v>3.4</v>
      </c>
      <c r="K266">
        <v>0.57799999999999996</v>
      </c>
      <c r="L266">
        <v>0</v>
      </c>
      <c r="M266">
        <v>0</v>
      </c>
      <c r="O266">
        <v>2</v>
      </c>
      <c r="P266">
        <v>3.4</v>
      </c>
      <c r="Q266">
        <v>0.57799999999999996</v>
      </c>
      <c r="R266">
        <v>0.57799999999999996</v>
      </c>
      <c r="S266">
        <v>0.4</v>
      </c>
      <c r="T266">
        <v>1.1000000000000001</v>
      </c>
      <c r="U266">
        <v>0.35699999999999998</v>
      </c>
      <c r="V266">
        <v>1.5</v>
      </c>
      <c r="W266">
        <v>2.8</v>
      </c>
      <c r="X266">
        <v>4.3</v>
      </c>
      <c r="Y266">
        <v>0.9</v>
      </c>
      <c r="Z266">
        <v>0.3</v>
      </c>
      <c r="AA266">
        <v>1.4</v>
      </c>
      <c r="AB266">
        <v>0.8</v>
      </c>
      <c r="AC266">
        <v>1.9</v>
      </c>
      <c r="AD266">
        <v>4.3</v>
      </c>
      <c r="AE266">
        <v>874</v>
      </c>
      <c r="AF266">
        <v>14.4</v>
      </c>
      <c r="AG266">
        <v>0.55500000000000005</v>
      </c>
      <c r="AH266">
        <v>0</v>
      </c>
      <c r="AI266">
        <v>0.34</v>
      </c>
      <c r="AJ266">
        <v>11</v>
      </c>
      <c r="AK266">
        <v>22.1</v>
      </c>
      <c r="AL266">
        <v>16.5</v>
      </c>
      <c r="AM266">
        <v>8.6999999999999993</v>
      </c>
      <c r="AN266">
        <v>1</v>
      </c>
      <c r="AO266">
        <v>9</v>
      </c>
      <c r="AP266">
        <v>17.7</v>
      </c>
      <c r="AQ266">
        <v>14</v>
      </c>
      <c r="AR266">
        <v>0.2</v>
      </c>
      <c r="AS266">
        <v>1.6</v>
      </c>
      <c r="AT266">
        <v>1.9</v>
      </c>
      <c r="AU266">
        <v>0.10199999999999999</v>
      </c>
      <c r="AV266">
        <v>-3.4</v>
      </c>
      <c r="AW266">
        <v>2.5</v>
      </c>
      <c r="AX266">
        <v>-0.9</v>
      </c>
      <c r="AY266">
        <v>0.2</v>
      </c>
      <c r="AZ266">
        <f t="shared" si="8"/>
        <v>0.49999999999999994</v>
      </c>
      <c r="BA266">
        <f t="shared" si="9"/>
        <v>0.1720666338363529</v>
      </c>
    </row>
    <row r="267" spans="1:53" hidden="1" x14ac:dyDescent="0.25">
      <c r="A267" t="s">
        <v>350</v>
      </c>
      <c r="B267" s="2">
        <v>2905851</v>
      </c>
      <c r="C267" t="s">
        <v>75</v>
      </c>
      <c r="D267">
        <v>37</v>
      </c>
      <c r="E267" t="s">
        <v>63</v>
      </c>
      <c r="F267">
        <v>49</v>
      </c>
      <c r="G267">
        <v>2</v>
      </c>
      <c r="H267">
        <v>9.8000000000000007</v>
      </c>
      <c r="I267">
        <v>1.3</v>
      </c>
      <c r="J267">
        <v>2.6</v>
      </c>
      <c r="K267">
        <v>0.52</v>
      </c>
      <c r="L267">
        <v>0.2</v>
      </c>
      <c r="M267">
        <v>0.5</v>
      </c>
      <c r="N267">
        <v>0.33300000000000002</v>
      </c>
      <c r="O267">
        <v>1.2</v>
      </c>
      <c r="P267">
        <v>2.1</v>
      </c>
      <c r="Q267">
        <v>0.56399999999999995</v>
      </c>
      <c r="R267">
        <v>0.55200000000000005</v>
      </c>
      <c r="S267">
        <v>0.6</v>
      </c>
      <c r="T267">
        <v>0.9</v>
      </c>
      <c r="U267">
        <v>0.71399999999999997</v>
      </c>
      <c r="V267">
        <v>0.7</v>
      </c>
      <c r="W267">
        <v>1.2</v>
      </c>
      <c r="X267">
        <v>1.9</v>
      </c>
      <c r="Y267">
        <v>0.7</v>
      </c>
      <c r="Z267">
        <v>0.3</v>
      </c>
      <c r="AA267">
        <v>0.2</v>
      </c>
      <c r="AB267">
        <v>0.5</v>
      </c>
      <c r="AC267">
        <v>1.7</v>
      </c>
      <c r="AD267">
        <v>3.4</v>
      </c>
      <c r="AE267">
        <v>480</v>
      </c>
      <c r="AF267">
        <v>11.4</v>
      </c>
      <c r="AG267">
        <v>0.58499999999999996</v>
      </c>
      <c r="AH267">
        <v>0.192</v>
      </c>
      <c r="AI267">
        <v>0.33600000000000002</v>
      </c>
      <c r="AJ267">
        <v>7.7</v>
      </c>
      <c r="AK267">
        <v>13.6</v>
      </c>
      <c r="AL267">
        <v>10.8</v>
      </c>
      <c r="AM267">
        <v>9.6</v>
      </c>
      <c r="AN267">
        <v>1.5</v>
      </c>
      <c r="AO267">
        <v>2.1</v>
      </c>
      <c r="AP267">
        <v>15.3</v>
      </c>
      <c r="AQ267">
        <v>15.3</v>
      </c>
      <c r="AR267">
        <v>0.4</v>
      </c>
      <c r="AS267">
        <v>0.5</v>
      </c>
      <c r="AT267">
        <v>0.8</v>
      </c>
      <c r="AU267">
        <v>8.2000000000000003E-2</v>
      </c>
      <c r="AV267">
        <v>-3.6</v>
      </c>
      <c r="AW267">
        <v>0.5</v>
      </c>
      <c r="AX267">
        <v>-3.2</v>
      </c>
      <c r="AY267">
        <v>-0.1</v>
      </c>
      <c r="AZ267">
        <f t="shared" si="8"/>
        <v>-1.2000000000000002</v>
      </c>
      <c r="BA267">
        <f t="shared" si="9"/>
        <v>-0.41295992120724712</v>
      </c>
    </row>
    <row r="268" spans="1:53" hidden="1" x14ac:dyDescent="0.25">
      <c r="A268" t="s">
        <v>351</v>
      </c>
      <c r="B268" s="2">
        <v>2840160</v>
      </c>
      <c r="C268" t="s">
        <v>75</v>
      </c>
      <c r="D268">
        <v>23</v>
      </c>
      <c r="E268" t="s">
        <v>91</v>
      </c>
      <c r="F268">
        <v>55</v>
      </c>
      <c r="G268">
        <v>12</v>
      </c>
      <c r="H268">
        <v>20.7</v>
      </c>
      <c r="I268">
        <v>3.6</v>
      </c>
      <c r="J268">
        <v>7.3</v>
      </c>
      <c r="K268">
        <v>0.48499999999999999</v>
      </c>
      <c r="L268">
        <v>0.5</v>
      </c>
      <c r="M268">
        <v>2</v>
      </c>
      <c r="N268">
        <v>0.26900000000000002</v>
      </c>
      <c r="O268">
        <v>3</v>
      </c>
      <c r="P268">
        <v>5.4</v>
      </c>
      <c r="Q268">
        <v>0.56399999999999995</v>
      </c>
      <c r="R268">
        <v>0.52100000000000002</v>
      </c>
      <c r="S268">
        <v>1.6</v>
      </c>
      <c r="T268">
        <v>2.2999999999999998</v>
      </c>
      <c r="U268">
        <v>0.70199999999999996</v>
      </c>
      <c r="V268">
        <v>1.8</v>
      </c>
      <c r="W268">
        <v>4.0999999999999996</v>
      </c>
      <c r="X268">
        <v>6</v>
      </c>
      <c r="Y268">
        <v>0.9</v>
      </c>
      <c r="Z268">
        <v>0.6</v>
      </c>
      <c r="AA268">
        <v>0.5</v>
      </c>
      <c r="AB268">
        <v>1.1000000000000001</v>
      </c>
      <c r="AC268">
        <v>1.9</v>
      </c>
      <c r="AD268">
        <v>9.1999999999999993</v>
      </c>
      <c r="AE268">
        <v>1140</v>
      </c>
      <c r="AF268">
        <v>15.2</v>
      </c>
      <c r="AG268">
        <v>0.55400000000000005</v>
      </c>
      <c r="AH268">
        <v>0.26700000000000002</v>
      </c>
      <c r="AI268">
        <v>0.307</v>
      </c>
      <c r="AJ268">
        <v>9.3000000000000007</v>
      </c>
      <c r="AK268">
        <v>24.4</v>
      </c>
      <c r="AL268">
        <v>16.3</v>
      </c>
      <c r="AM268">
        <v>6.3</v>
      </c>
      <c r="AN268">
        <v>1.3</v>
      </c>
      <c r="AO268">
        <v>2.6</v>
      </c>
      <c r="AP268">
        <v>11.4</v>
      </c>
      <c r="AQ268">
        <v>19.399999999999999</v>
      </c>
      <c r="AR268">
        <v>0.8</v>
      </c>
      <c r="AS268">
        <v>1.4</v>
      </c>
      <c r="AT268">
        <v>2.2000000000000002</v>
      </c>
      <c r="AU268">
        <v>9.2999999999999999E-2</v>
      </c>
      <c r="AV268">
        <v>-1.4</v>
      </c>
      <c r="AW268">
        <v>-0.8</v>
      </c>
      <c r="AX268">
        <v>-2.2999999999999998</v>
      </c>
      <c r="AY268">
        <v>-0.1</v>
      </c>
      <c r="AZ268">
        <f t="shared" si="8"/>
        <v>-4.9999999999999822E-2</v>
      </c>
      <c r="BA268">
        <f t="shared" si="9"/>
        <v>-1.7604641992000389E-2</v>
      </c>
    </row>
    <row r="269" spans="1:53" hidden="1" x14ac:dyDescent="0.25">
      <c r="A269" t="s">
        <v>352</v>
      </c>
      <c r="B269" s="2">
        <v>2808600</v>
      </c>
      <c r="C269" t="s">
        <v>62</v>
      </c>
      <c r="D269">
        <v>21</v>
      </c>
      <c r="E269" t="s">
        <v>103</v>
      </c>
      <c r="F269">
        <v>76</v>
      </c>
      <c r="G269">
        <v>6</v>
      </c>
      <c r="H269">
        <v>15.5</v>
      </c>
      <c r="I269">
        <v>1.9</v>
      </c>
      <c r="J269">
        <v>3.8</v>
      </c>
      <c r="K269">
        <v>0.495</v>
      </c>
      <c r="L269">
        <v>0.4</v>
      </c>
      <c r="M269">
        <v>1.3</v>
      </c>
      <c r="N269">
        <v>0.35399999999999998</v>
      </c>
      <c r="O269">
        <v>1.4</v>
      </c>
      <c r="P269">
        <v>2.5</v>
      </c>
      <c r="Q269">
        <v>0.56499999999999995</v>
      </c>
      <c r="R269">
        <v>0.55400000000000005</v>
      </c>
      <c r="S269">
        <v>0.5</v>
      </c>
      <c r="T269">
        <v>0.8</v>
      </c>
      <c r="U269">
        <v>0.625</v>
      </c>
      <c r="V269">
        <v>0.6</v>
      </c>
      <c r="W269">
        <v>1.8</v>
      </c>
      <c r="X269">
        <v>2.4</v>
      </c>
      <c r="Y269">
        <v>0.8</v>
      </c>
      <c r="Z269">
        <v>0.5</v>
      </c>
      <c r="AA269">
        <v>0.2</v>
      </c>
      <c r="AB269">
        <v>0.5</v>
      </c>
      <c r="AC269">
        <v>1.3</v>
      </c>
      <c r="AD269">
        <v>4.7</v>
      </c>
      <c r="AE269">
        <v>1181</v>
      </c>
      <c r="AF269">
        <v>10.3</v>
      </c>
      <c r="AG269">
        <v>0.56799999999999995</v>
      </c>
      <c r="AH269">
        <v>0.33200000000000002</v>
      </c>
      <c r="AI269">
        <v>0.221</v>
      </c>
      <c r="AJ269">
        <v>4.8</v>
      </c>
      <c r="AK269">
        <v>12.6</v>
      </c>
      <c r="AL269">
        <v>8.8000000000000007</v>
      </c>
      <c r="AM269">
        <v>6.4</v>
      </c>
      <c r="AN269">
        <v>1.7</v>
      </c>
      <c r="AO269">
        <v>1.3</v>
      </c>
      <c r="AP269">
        <v>9.9</v>
      </c>
      <c r="AQ269">
        <v>13</v>
      </c>
      <c r="AR269">
        <v>0.7</v>
      </c>
      <c r="AS269">
        <v>1.2</v>
      </c>
      <c r="AT269">
        <v>1.9</v>
      </c>
      <c r="AU269">
        <v>7.9000000000000001E-2</v>
      </c>
      <c r="AV269">
        <v>-2.5</v>
      </c>
      <c r="AW269">
        <v>0.1</v>
      </c>
      <c r="AX269">
        <v>-2.4</v>
      </c>
      <c r="AY269">
        <v>-0.1</v>
      </c>
      <c r="AZ269">
        <f t="shared" si="8"/>
        <v>-0.25</v>
      </c>
      <c r="BA269">
        <f t="shared" si="9"/>
        <v>-8.9012319304991816E-2</v>
      </c>
    </row>
    <row r="270" spans="1:53" hidden="1" x14ac:dyDescent="0.25">
      <c r="A270" t="s">
        <v>353</v>
      </c>
      <c r="B270" s="2">
        <v>2800000</v>
      </c>
      <c r="C270" t="s">
        <v>65</v>
      </c>
      <c r="D270">
        <v>24</v>
      </c>
      <c r="E270" t="s">
        <v>93</v>
      </c>
      <c r="F270">
        <v>62</v>
      </c>
      <c r="G270">
        <v>14</v>
      </c>
      <c r="H270">
        <v>19.2</v>
      </c>
      <c r="I270">
        <v>3.1</v>
      </c>
      <c r="J270">
        <v>7.2</v>
      </c>
      <c r="K270">
        <v>0.436</v>
      </c>
      <c r="L270">
        <v>1.4</v>
      </c>
      <c r="M270">
        <v>3.4</v>
      </c>
      <c r="N270">
        <v>0.40799999999999997</v>
      </c>
      <c r="O270">
        <v>1.7</v>
      </c>
      <c r="P270">
        <v>3.8</v>
      </c>
      <c r="Q270">
        <v>0.46200000000000002</v>
      </c>
      <c r="R270">
        <v>0.53300000000000003</v>
      </c>
      <c r="S270">
        <v>1.1000000000000001</v>
      </c>
      <c r="T270">
        <v>1.4</v>
      </c>
      <c r="U270">
        <v>0.79100000000000004</v>
      </c>
      <c r="V270">
        <v>0.8</v>
      </c>
      <c r="W270">
        <v>2.9</v>
      </c>
      <c r="X270">
        <v>3.7</v>
      </c>
      <c r="Y270">
        <v>1.4</v>
      </c>
      <c r="Z270">
        <v>0.4</v>
      </c>
      <c r="AA270">
        <v>0.2</v>
      </c>
      <c r="AB270">
        <v>1.1000000000000001</v>
      </c>
      <c r="AC270">
        <v>1.2</v>
      </c>
      <c r="AD270">
        <v>8.6999999999999993</v>
      </c>
      <c r="AE270">
        <v>1188</v>
      </c>
      <c r="AF270">
        <v>12.2</v>
      </c>
      <c r="AG270">
        <v>0.56100000000000005</v>
      </c>
      <c r="AH270">
        <v>0.47399999999999998</v>
      </c>
      <c r="AI270">
        <v>0.193</v>
      </c>
      <c r="AJ270">
        <v>4.7</v>
      </c>
      <c r="AK270">
        <v>15.8</v>
      </c>
      <c r="AL270">
        <v>10.4</v>
      </c>
      <c r="AM270">
        <v>10.5</v>
      </c>
      <c r="AN270">
        <v>1</v>
      </c>
      <c r="AO270">
        <v>1</v>
      </c>
      <c r="AP270">
        <v>12</v>
      </c>
      <c r="AQ270">
        <v>19.399999999999999</v>
      </c>
      <c r="AR270">
        <v>0.5</v>
      </c>
      <c r="AS270">
        <v>1</v>
      </c>
      <c r="AT270">
        <v>1.5</v>
      </c>
      <c r="AU270">
        <v>0.06</v>
      </c>
      <c r="AV270">
        <v>-0.8</v>
      </c>
      <c r="AW270">
        <v>-1.3</v>
      </c>
      <c r="AX270">
        <v>-2.1</v>
      </c>
      <c r="AY270">
        <v>0</v>
      </c>
      <c r="AZ270">
        <f t="shared" si="8"/>
        <v>-0.30000000000000004</v>
      </c>
      <c r="BA270">
        <f t="shared" si="9"/>
        <v>-0.10714285714285716</v>
      </c>
    </row>
    <row r="271" spans="1:53" x14ac:dyDescent="0.25">
      <c r="A271" t="s">
        <v>354</v>
      </c>
      <c r="B271" s="2">
        <v>2792640</v>
      </c>
      <c r="C271" t="s">
        <v>65</v>
      </c>
      <c r="D271">
        <v>21</v>
      </c>
      <c r="E271" t="s">
        <v>85</v>
      </c>
      <c r="F271">
        <v>70</v>
      </c>
      <c r="G271">
        <v>6</v>
      </c>
      <c r="H271">
        <v>14.9</v>
      </c>
      <c r="I271">
        <v>2.2999999999999998</v>
      </c>
      <c r="J271">
        <v>4.5999999999999996</v>
      </c>
      <c r="K271">
        <v>0.49099999999999999</v>
      </c>
      <c r="L271">
        <v>0.4</v>
      </c>
      <c r="M271">
        <v>1.5</v>
      </c>
      <c r="N271">
        <v>0.28799999999999998</v>
      </c>
      <c r="O271">
        <v>1.8</v>
      </c>
      <c r="P271">
        <v>3.1</v>
      </c>
      <c r="Q271">
        <v>0.58699999999999997</v>
      </c>
      <c r="R271">
        <v>0.53700000000000003</v>
      </c>
      <c r="S271">
        <v>0.7</v>
      </c>
      <c r="T271">
        <v>1.1000000000000001</v>
      </c>
      <c r="U271">
        <v>0.628</v>
      </c>
      <c r="V271">
        <v>0.7</v>
      </c>
      <c r="W271">
        <v>3.3</v>
      </c>
      <c r="X271">
        <v>4</v>
      </c>
      <c r="Y271">
        <v>1.2</v>
      </c>
      <c r="Z271">
        <v>0.5</v>
      </c>
      <c r="AA271">
        <v>0.5</v>
      </c>
      <c r="AB271">
        <v>0.6</v>
      </c>
      <c r="AC271">
        <v>1.6</v>
      </c>
      <c r="AD271">
        <v>5.6</v>
      </c>
      <c r="AE271">
        <v>1042</v>
      </c>
      <c r="AF271">
        <v>14.1</v>
      </c>
      <c r="AG271">
        <v>0.55400000000000005</v>
      </c>
      <c r="AH271">
        <v>0.32300000000000001</v>
      </c>
      <c r="AI271">
        <v>0.24199999999999999</v>
      </c>
      <c r="AJ271">
        <v>5.3</v>
      </c>
      <c r="AK271">
        <v>24.6</v>
      </c>
      <c r="AL271">
        <v>14.8</v>
      </c>
      <c r="AM271">
        <v>10.4</v>
      </c>
      <c r="AN271">
        <v>1.7</v>
      </c>
      <c r="AO271">
        <v>2.8</v>
      </c>
      <c r="AP271">
        <v>10.3</v>
      </c>
      <c r="AQ271">
        <v>16</v>
      </c>
      <c r="AR271">
        <v>0.8</v>
      </c>
      <c r="AS271">
        <v>1.3</v>
      </c>
      <c r="AT271">
        <v>2.1</v>
      </c>
      <c r="AU271">
        <v>9.9000000000000005E-2</v>
      </c>
      <c r="AV271">
        <v>-1.2</v>
      </c>
      <c r="AW271">
        <v>1.5</v>
      </c>
      <c r="AX271">
        <v>0.3</v>
      </c>
      <c r="AY271">
        <v>0.6</v>
      </c>
      <c r="AZ271" s="8">
        <f t="shared" si="8"/>
        <v>1.2</v>
      </c>
      <c r="BA271" s="8">
        <f t="shared" si="9"/>
        <v>0.42970092815400479</v>
      </c>
    </row>
    <row r="272" spans="1:53" x14ac:dyDescent="0.25">
      <c r="A272" t="s">
        <v>355</v>
      </c>
      <c r="B272" s="2">
        <v>2726880</v>
      </c>
      <c r="C272" t="s">
        <v>62</v>
      </c>
      <c r="D272">
        <v>22</v>
      </c>
      <c r="E272" t="s">
        <v>82</v>
      </c>
      <c r="F272">
        <v>60</v>
      </c>
      <c r="G272">
        <v>41</v>
      </c>
      <c r="H272">
        <v>33.6</v>
      </c>
      <c r="I272">
        <v>7.3</v>
      </c>
      <c r="J272">
        <v>15.2</v>
      </c>
      <c r="K272">
        <v>0.48099999999999998</v>
      </c>
      <c r="L272">
        <v>2.7</v>
      </c>
      <c r="M272">
        <v>6.2</v>
      </c>
      <c r="N272">
        <v>0.434</v>
      </c>
      <c r="O272">
        <v>4.7</v>
      </c>
      <c r="P272">
        <v>9.1</v>
      </c>
      <c r="Q272">
        <v>0.51300000000000001</v>
      </c>
      <c r="R272">
        <v>0.56799999999999995</v>
      </c>
      <c r="S272">
        <v>3</v>
      </c>
      <c r="T272">
        <v>3.6</v>
      </c>
      <c r="U272">
        <v>0.84499999999999997</v>
      </c>
      <c r="V272">
        <v>0.4</v>
      </c>
      <c r="W272">
        <v>2.6</v>
      </c>
      <c r="X272">
        <v>2.9</v>
      </c>
      <c r="Y272">
        <v>3.5</v>
      </c>
      <c r="Z272">
        <v>0.8</v>
      </c>
      <c r="AA272">
        <v>0.1</v>
      </c>
      <c r="AB272">
        <v>1.3</v>
      </c>
      <c r="AC272">
        <v>2.2000000000000002</v>
      </c>
      <c r="AD272">
        <v>20.3</v>
      </c>
      <c r="AE272">
        <v>2016</v>
      </c>
      <c r="AF272">
        <v>17</v>
      </c>
      <c r="AG272">
        <v>0.60499999999999998</v>
      </c>
      <c r="AH272">
        <v>0.40400000000000003</v>
      </c>
      <c r="AI272">
        <v>0.23300000000000001</v>
      </c>
      <c r="AJ272">
        <v>1.4</v>
      </c>
      <c r="AK272">
        <v>8.8000000000000007</v>
      </c>
      <c r="AL272">
        <v>5.2</v>
      </c>
      <c r="AM272">
        <v>16.899999999999999</v>
      </c>
      <c r="AN272">
        <v>1.2</v>
      </c>
      <c r="AO272">
        <v>0.4</v>
      </c>
      <c r="AP272">
        <v>7.4</v>
      </c>
      <c r="AQ272">
        <v>24.1</v>
      </c>
      <c r="AR272">
        <v>3.7</v>
      </c>
      <c r="AS272">
        <v>1.6</v>
      </c>
      <c r="AT272">
        <v>5.4</v>
      </c>
      <c r="AU272">
        <v>0.128</v>
      </c>
      <c r="AV272">
        <v>1.9</v>
      </c>
      <c r="AW272">
        <v>-1.2</v>
      </c>
      <c r="AX272">
        <v>0.6</v>
      </c>
      <c r="AY272">
        <v>1.3</v>
      </c>
      <c r="AZ272" s="8">
        <f t="shared" si="8"/>
        <v>3</v>
      </c>
      <c r="BA272" s="8">
        <f t="shared" si="9"/>
        <v>1.1001584228128851</v>
      </c>
    </row>
    <row r="273" spans="1:53" hidden="1" x14ac:dyDescent="0.25">
      <c r="A273" t="s">
        <v>356</v>
      </c>
      <c r="B273" s="2">
        <v>2717391</v>
      </c>
      <c r="C273" t="s">
        <v>75</v>
      </c>
      <c r="D273">
        <v>24</v>
      </c>
      <c r="E273" t="s">
        <v>85</v>
      </c>
      <c r="F273">
        <v>39</v>
      </c>
      <c r="G273">
        <v>4</v>
      </c>
      <c r="H273">
        <v>10.4</v>
      </c>
      <c r="I273">
        <v>1.5</v>
      </c>
      <c r="J273">
        <v>2.9</v>
      </c>
      <c r="K273">
        <v>0.52700000000000002</v>
      </c>
      <c r="L273">
        <v>0</v>
      </c>
      <c r="M273">
        <v>0.1</v>
      </c>
      <c r="N273">
        <v>0</v>
      </c>
      <c r="O273">
        <v>1.5</v>
      </c>
      <c r="P273">
        <v>2.8</v>
      </c>
      <c r="Q273">
        <v>0.54600000000000004</v>
      </c>
      <c r="R273">
        <v>0.52700000000000002</v>
      </c>
      <c r="S273">
        <v>0.9</v>
      </c>
      <c r="T273">
        <v>1.3</v>
      </c>
      <c r="U273">
        <v>0.7</v>
      </c>
      <c r="V273">
        <v>1.4</v>
      </c>
      <c r="W273">
        <v>2.1</v>
      </c>
      <c r="X273">
        <v>3.5</v>
      </c>
      <c r="Y273">
        <v>0.8</v>
      </c>
      <c r="Z273">
        <v>0.2</v>
      </c>
      <c r="AA273">
        <v>0.9</v>
      </c>
      <c r="AB273">
        <v>0.6</v>
      </c>
      <c r="AC273">
        <v>1.9</v>
      </c>
      <c r="AD273">
        <v>3.9</v>
      </c>
      <c r="AE273">
        <v>405</v>
      </c>
      <c r="AF273">
        <v>16.600000000000001</v>
      </c>
      <c r="AG273">
        <v>0.57099999999999995</v>
      </c>
      <c r="AH273">
        <v>3.5999999999999997E-2</v>
      </c>
      <c r="AI273">
        <v>0.44600000000000001</v>
      </c>
      <c r="AJ273">
        <v>14.5</v>
      </c>
      <c r="AK273">
        <v>22.8</v>
      </c>
      <c r="AL273">
        <v>18.600000000000001</v>
      </c>
      <c r="AM273">
        <v>10.8</v>
      </c>
      <c r="AN273">
        <v>0.7</v>
      </c>
      <c r="AO273">
        <v>8.1</v>
      </c>
      <c r="AP273">
        <v>15.7</v>
      </c>
      <c r="AQ273">
        <v>16.3</v>
      </c>
      <c r="AR273">
        <v>0.5</v>
      </c>
      <c r="AS273">
        <v>0.4</v>
      </c>
      <c r="AT273">
        <v>0.9</v>
      </c>
      <c r="AU273">
        <v>0.109</v>
      </c>
      <c r="AV273">
        <v>-2.8</v>
      </c>
      <c r="AW273">
        <v>0.7</v>
      </c>
      <c r="AX273">
        <v>-2</v>
      </c>
      <c r="AY273">
        <v>0</v>
      </c>
      <c r="AZ273">
        <f t="shared" si="8"/>
        <v>-0.55000000000000004</v>
      </c>
      <c r="BA273">
        <f t="shared" si="9"/>
        <v>-0.20240002266880253</v>
      </c>
    </row>
    <row r="274" spans="1:53" x14ac:dyDescent="0.25">
      <c r="A274" t="s">
        <v>357</v>
      </c>
      <c r="B274" s="2">
        <v>2696400</v>
      </c>
      <c r="C274" t="s">
        <v>75</v>
      </c>
      <c r="D274">
        <v>21</v>
      </c>
      <c r="E274" t="s">
        <v>130</v>
      </c>
      <c r="F274">
        <v>74</v>
      </c>
      <c r="G274">
        <v>40</v>
      </c>
      <c r="H274">
        <v>23</v>
      </c>
      <c r="I274">
        <v>4</v>
      </c>
      <c r="J274">
        <v>5.6</v>
      </c>
      <c r="K274">
        <v>0.72</v>
      </c>
      <c r="L274">
        <v>0</v>
      </c>
      <c r="M274">
        <v>0</v>
      </c>
      <c r="N274">
        <v>0.33300000000000002</v>
      </c>
      <c r="O274">
        <v>4</v>
      </c>
      <c r="P274">
        <v>5.6</v>
      </c>
      <c r="Q274">
        <v>0.72299999999999998</v>
      </c>
      <c r="R274">
        <v>0.72099999999999997</v>
      </c>
      <c r="S274">
        <v>1.1000000000000001</v>
      </c>
      <c r="T274">
        <v>2.1</v>
      </c>
      <c r="U274">
        <v>0.51600000000000001</v>
      </c>
      <c r="V274">
        <v>3.1</v>
      </c>
      <c r="W274">
        <v>5.3</v>
      </c>
      <c r="X274">
        <v>8.4</v>
      </c>
      <c r="Y274">
        <v>0.9</v>
      </c>
      <c r="Z274">
        <v>0.4</v>
      </c>
      <c r="AA274">
        <v>2.2999999999999998</v>
      </c>
      <c r="AB274">
        <v>0.8</v>
      </c>
      <c r="AC274">
        <v>2.2999999999999998</v>
      </c>
      <c r="AD274">
        <v>9.1999999999999993</v>
      </c>
      <c r="AE274">
        <v>1703</v>
      </c>
      <c r="AF274">
        <v>21.5</v>
      </c>
      <c r="AG274">
        <v>0.70199999999999996</v>
      </c>
      <c r="AH274">
        <v>7.0000000000000001E-3</v>
      </c>
      <c r="AI274">
        <v>0.38400000000000001</v>
      </c>
      <c r="AJ274">
        <v>14.9</v>
      </c>
      <c r="AK274">
        <v>24.4</v>
      </c>
      <c r="AL274">
        <v>19.7</v>
      </c>
      <c r="AM274">
        <v>5.7</v>
      </c>
      <c r="AN274">
        <v>0.7</v>
      </c>
      <c r="AO274">
        <v>8.6</v>
      </c>
      <c r="AP274">
        <v>10.7</v>
      </c>
      <c r="AQ274">
        <v>13.3</v>
      </c>
      <c r="AR274">
        <v>4.5999999999999996</v>
      </c>
      <c r="AS274">
        <v>2.5</v>
      </c>
      <c r="AT274">
        <v>7.1</v>
      </c>
      <c r="AU274">
        <v>0.2</v>
      </c>
      <c r="AV274">
        <v>1.4</v>
      </c>
      <c r="AW274">
        <v>1.5</v>
      </c>
      <c r="AX274">
        <v>2.9</v>
      </c>
      <c r="AY274">
        <v>2.1</v>
      </c>
      <c r="AZ274" s="8">
        <f t="shared" si="8"/>
        <v>5</v>
      </c>
      <c r="BA274" s="8">
        <f t="shared" si="9"/>
        <v>1.8543242842308263</v>
      </c>
    </row>
    <row r="275" spans="1:53" hidden="1" x14ac:dyDescent="0.25">
      <c r="A275" t="s">
        <v>358</v>
      </c>
      <c r="B275" s="2">
        <v>2681040</v>
      </c>
      <c r="C275" t="s">
        <v>62</v>
      </c>
      <c r="D275">
        <v>20</v>
      </c>
      <c r="E275" t="s">
        <v>70</v>
      </c>
      <c r="F275">
        <v>40</v>
      </c>
      <c r="G275">
        <v>0</v>
      </c>
      <c r="H275">
        <v>10.4</v>
      </c>
      <c r="I275">
        <v>1.7</v>
      </c>
      <c r="J275">
        <v>4.5</v>
      </c>
      <c r="K275">
        <v>0.376</v>
      </c>
      <c r="L275">
        <v>0.7</v>
      </c>
      <c r="M275">
        <v>2</v>
      </c>
      <c r="N275">
        <v>0.34599999999999997</v>
      </c>
      <c r="O275">
        <v>1</v>
      </c>
      <c r="P275">
        <v>2.4</v>
      </c>
      <c r="Q275">
        <v>0.40200000000000002</v>
      </c>
      <c r="R275">
        <v>0.45500000000000002</v>
      </c>
      <c r="S275">
        <v>0.7</v>
      </c>
      <c r="T275">
        <v>1</v>
      </c>
      <c r="U275">
        <v>0.65900000000000003</v>
      </c>
      <c r="V275">
        <v>0.3</v>
      </c>
      <c r="W275">
        <v>0.8</v>
      </c>
      <c r="X275">
        <v>1.1000000000000001</v>
      </c>
      <c r="Y275">
        <v>1.5</v>
      </c>
      <c r="Z275">
        <v>0.5</v>
      </c>
      <c r="AA275">
        <v>0.2</v>
      </c>
      <c r="AB275">
        <v>1.1000000000000001</v>
      </c>
      <c r="AC275">
        <v>1.1000000000000001</v>
      </c>
      <c r="AD275">
        <v>4.7</v>
      </c>
      <c r="AE275">
        <v>416</v>
      </c>
      <c r="AF275">
        <v>9</v>
      </c>
      <c r="AG275">
        <v>0.48199999999999998</v>
      </c>
      <c r="AH275">
        <v>0.45500000000000002</v>
      </c>
      <c r="AI275">
        <v>0.23</v>
      </c>
      <c r="AJ275">
        <v>3</v>
      </c>
      <c r="AK275">
        <v>9.1999999999999993</v>
      </c>
      <c r="AL275">
        <v>6.1</v>
      </c>
      <c r="AM275">
        <v>20.9</v>
      </c>
      <c r="AN275">
        <v>2.2000000000000002</v>
      </c>
      <c r="AO275">
        <v>1.3</v>
      </c>
      <c r="AP275">
        <v>18</v>
      </c>
      <c r="AQ275">
        <v>25</v>
      </c>
      <c r="AR275">
        <v>-0.7</v>
      </c>
      <c r="AS275">
        <v>0.2</v>
      </c>
      <c r="AT275">
        <v>-0.5</v>
      </c>
      <c r="AU275">
        <v>-5.7000000000000002E-2</v>
      </c>
      <c r="AV275">
        <v>-3.8</v>
      </c>
      <c r="AW275">
        <v>-1.6</v>
      </c>
      <c r="AX275">
        <v>-5.4</v>
      </c>
      <c r="AY275">
        <v>-0.4</v>
      </c>
      <c r="AZ275">
        <f t="shared" si="8"/>
        <v>-2.95</v>
      </c>
      <c r="BA275">
        <f t="shared" si="9"/>
        <v>-1.1003192790857279</v>
      </c>
    </row>
    <row r="276" spans="1:53" hidden="1" x14ac:dyDescent="0.25">
      <c r="A276" t="s">
        <v>359</v>
      </c>
      <c r="B276" s="2">
        <v>2674742</v>
      </c>
      <c r="C276" t="s">
        <v>75</v>
      </c>
      <c r="D276">
        <v>22</v>
      </c>
      <c r="E276" t="s">
        <v>175</v>
      </c>
      <c r="F276">
        <v>35</v>
      </c>
      <c r="G276">
        <v>2</v>
      </c>
      <c r="H276">
        <v>14.5</v>
      </c>
      <c r="I276">
        <v>2.5</v>
      </c>
      <c r="J276">
        <v>3.9</v>
      </c>
      <c r="K276">
        <v>0.64400000000000002</v>
      </c>
      <c r="L276">
        <v>0.1</v>
      </c>
      <c r="M276">
        <v>0.2</v>
      </c>
      <c r="N276">
        <v>0.375</v>
      </c>
      <c r="O276">
        <v>2.4</v>
      </c>
      <c r="P276">
        <v>3.6</v>
      </c>
      <c r="Q276">
        <v>0.66100000000000003</v>
      </c>
      <c r="R276">
        <v>0.65600000000000003</v>
      </c>
      <c r="S276">
        <v>0.6</v>
      </c>
      <c r="T276">
        <v>1.1000000000000001</v>
      </c>
      <c r="U276">
        <v>0.59499999999999997</v>
      </c>
      <c r="V276">
        <v>2.1</v>
      </c>
      <c r="W276">
        <v>3.4</v>
      </c>
      <c r="X276">
        <v>5.5</v>
      </c>
      <c r="Y276">
        <v>1.3</v>
      </c>
      <c r="Z276">
        <v>0.5</v>
      </c>
      <c r="AA276">
        <v>0.9</v>
      </c>
      <c r="AB276">
        <v>1.2</v>
      </c>
      <c r="AC276">
        <v>2.1</v>
      </c>
      <c r="AD276">
        <v>5.7</v>
      </c>
      <c r="AE276">
        <v>508</v>
      </c>
      <c r="AF276">
        <v>18.8</v>
      </c>
      <c r="AG276">
        <v>0.65800000000000003</v>
      </c>
      <c r="AH276">
        <v>5.8999999999999997E-2</v>
      </c>
      <c r="AI276">
        <v>0.27400000000000002</v>
      </c>
      <c r="AJ276">
        <v>15.5</v>
      </c>
      <c r="AK276">
        <v>26.4</v>
      </c>
      <c r="AL276">
        <v>20.7</v>
      </c>
      <c r="AM276">
        <v>12.9</v>
      </c>
      <c r="AN276">
        <v>1.5</v>
      </c>
      <c r="AO276">
        <v>5.4</v>
      </c>
      <c r="AP276">
        <v>21.3</v>
      </c>
      <c r="AQ276">
        <v>15.6</v>
      </c>
      <c r="AR276">
        <v>0.7</v>
      </c>
      <c r="AS276">
        <v>0.6</v>
      </c>
      <c r="AT276">
        <v>1.3</v>
      </c>
      <c r="AU276">
        <v>0.122</v>
      </c>
      <c r="AV276">
        <v>-0.7</v>
      </c>
      <c r="AW276">
        <v>1.3</v>
      </c>
      <c r="AX276">
        <v>0.6</v>
      </c>
      <c r="AY276">
        <v>0.3</v>
      </c>
      <c r="AZ276">
        <f t="shared" si="8"/>
        <v>0.95</v>
      </c>
      <c r="BA276">
        <f t="shared" si="9"/>
        <v>0.35517444299300643</v>
      </c>
    </row>
    <row r="277" spans="1:53" hidden="1" x14ac:dyDescent="0.25">
      <c r="A277" t="s">
        <v>360</v>
      </c>
      <c r="B277" s="2">
        <v>2628597</v>
      </c>
      <c r="C277" t="s">
        <v>52</v>
      </c>
      <c r="D277">
        <v>32</v>
      </c>
      <c r="E277" t="s">
        <v>116</v>
      </c>
      <c r="F277">
        <v>32</v>
      </c>
      <c r="G277">
        <v>0</v>
      </c>
      <c r="H277">
        <v>6.7</v>
      </c>
      <c r="I277">
        <v>0.5</v>
      </c>
      <c r="J277">
        <v>1.6</v>
      </c>
      <c r="K277">
        <v>0.34</v>
      </c>
      <c r="L277">
        <v>0.3</v>
      </c>
      <c r="M277">
        <v>0.8</v>
      </c>
      <c r="N277">
        <v>0.33300000000000002</v>
      </c>
      <c r="O277">
        <v>0.3</v>
      </c>
      <c r="P277">
        <v>0.7</v>
      </c>
      <c r="Q277">
        <v>0.34799999999999998</v>
      </c>
      <c r="R277">
        <v>0.43</v>
      </c>
      <c r="S277">
        <v>0.1</v>
      </c>
      <c r="T277">
        <v>0.2</v>
      </c>
      <c r="U277">
        <v>0.57099999999999995</v>
      </c>
      <c r="V277">
        <v>0</v>
      </c>
      <c r="W277">
        <v>0.4</v>
      </c>
      <c r="X277">
        <v>0.4</v>
      </c>
      <c r="Y277">
        <v>1.3</v>
      </c>
      <c r="Z277">
        <v>0.2</v>
      </c>
      <c r="AA277">
        <v>0</v>
      </c>
      <c r="AB277">
        <v>0.3</v>
      </c>
      <c r="AC277">
        <v>0.6</v>
      </c>
      <c r="AD277">
        <v>1.5</v>
      </c>
      <c r="AE277">
        <v>213</v>
      </c>
      <c r="AF277">
        <v>6.7</v>
      </c>
      <c r="AG277">
        <v>0.443</v>
      </c>
      <c r="AH277">
        <v>0.54</v>
      </c>
      <c r="AI277">
        <v>0.14000000000000001</v>
      </c>
      <c r="AJ277">
        <v>0.5</v>
      </c>
      <c r="AK277">
        <v>6.4</v>
      </c>
      <c r="AL277">
        <v>3.5</v>
      </c>
      <c r="AM277">
        <v>23.4</v>
      </c>
      <c r="AN277">
        <v>1.6</v>
      </c>
      <c r="AO277">
        <v>0</v>
      </c>
      <c r="AP277">
        <v>15.9</v>
      </c>
      <c r="AQ277">
        <v>12.7</v>
      </c>
      <c r="AR277">
        <v>0</v>
      </c>
      <c r="AS277">
        <v>0.1</v>
      </c>
      <c r="AT277">
        <v>0.1</v>
      </c>
      <c r="AU277">
        <v>2.1000000000000001E-2</v>
      </c>
      <c r="AV277">
        <v>-4.4000000000000004</v>
      </c>
      <c r="AW277">
        <v>-0.8</v>
      </c>
      <c r="AX277">
        <v>-5.2</v>
      </c>
      <c r="AY277">
        <v>-0.2</v>
      </c>
      <c r="AZ277">
        <f t="shared" si="8"/>
        <v>-2.5500000000000003</v>
      </c>
      <c r="BA277">
        <f t="shared" si="9"/>
        <v>-0.97009925827352028</v>
      </c>
    </row>
    <row r="278" spans="1:53" x14ac:dyDescent="0.25">
      <c r="A278" t="s">
        <v>361</v>
      </c>
      <c r="B278" s="2">
        <v>2625000</v>
      </c>
      <c r="C278" t="s">
        <v>28</v>
      </c>
      <c r="D278">
        <v>27</v>
      </c>
      <c r="E278" t="s">
        <v>116</v>
      </c>
      <c r="F278">
        <v>74</v>
      </c>
      <c r="G278">
        <v>0</v>
      </c>
      <c r="H278">
        <v>16.899999999999999</v>
      </c>
      <c r="I278">
        <v>2.5</v>
      </c>
      <c r="J278">
        <v>5.5</v>
      </c>
      <c r="K278">
        <v>0.45800000000000002</v>
      </c>
      <c r="L278">
        <v>1.2</v>
      </c>
      <c r="M278">
        <v>3.2</v>
      </c>
      <c r="N278">
        <v>0.36299999999999999</v>
      </c>
      <c r="O278">
        <v>1.4</v>
      </c>
      <c r="P278">
        <v>2.2999999999999998</v>
      </c>
      <c r="Q278">
        <v>0.59499999999999997</v>
      </c>
      <c r="R278">
        <v>0.56499999999999995</v>
      </c>
      <c r="S278">
        <v>1.4</v>
      </c>
      <c r="T278">
        <v>1.7</v>
      </c>
      <c r="U278">
        <v>0.81499999999999995</v>
      </c>
      <c r="V278">
        <v>0.9</v>
      </c>
      <c r="W278">
        <v>3.1</v>
      </c>
      <c r="X278">
        <v>4.0999999999999996</v>
      </c>
      <c r="Y278">
        <v>0.9</v>
      </c>
      <c r="Z278">
        <v>0.4</v>
      </c>
      <c r="AA278">
        <v>0.4</v>
      </c>
      <c r="AB278">
        <v>0.9</v>
      </c>
      <c r="AC278">
        <v>1.3</v>
      </c>
      <c r="AD278">
        <v>7.6</v>
      </c>
      <c r="AE278">
        <v>1247</v>
      </c>
      <c r="AF278">
        <v>14.2</v>
      </c>
      <c r="AG278">
        <v>0.60699999999999998</v>
      </c>
      <c r="AH278">
        <v>0.58799999999999997</v>
      </c>
      <c r="AI278">
        <v>0.30399999999999999</v>
      </c>
      <c r="AJ278">
        <v>6.3</v>
      </c>
      <c r="AK278">
        <v>21.1</v>
      </c>
      <c r="AL278">
        <v>13.7</v>
      </c>
      <c r="AM278">
        <v>7</v>
      </c>
      <c r="AN278">
        <v>1</v>
      </c>
      <c r="AO278">
        <v>2.2000000000000002</v>
      </c>
      <c r="AP278">
        <v>12.2</v>
      </c>
      <c r="AQ278">
        <v>18.100000000000001</v>
      </c>
      <c r="AR278">
        <v>1.4</v>
      </c>
      <c r="AS278">
        <v>1.2</v>
      </c>
      <c r="AT278">
        <v>2.6</v>
      </c>
      <c r="AU278">
        <v>9.8000000000000004E-2</v>
      </c>
      <c r="AV278">
        <v>0</v>
      </c>
      <c r="AW278">
        <v>-0.9</v>
      </c>
      <c r="AX278">
        <v>-1</v>
      </c>
      <c r="AY278">
        <v>0.3</v>
      </c>
      <c r="AZ278" s="8">
        <f t="shared" si="8"/>
        <v>0.8</v>
      </c>
      <c r="BA278" s="8">
        <f t="shared" si="9"/>
        <v>0.30476190476190479</v>
      </c>
    </row>
    <row r="279" spans="1:53" hidden="1" x14ac:dyDescent="0.25">
      <c r="A279" t="s">
        <v>362</v>
      </c>
      <c r="B279" s="2">
        <v>2617800</v>
      </c>
      <c r="C279" t="s">
        <v>28</v>
      </c>
      <c r="D279">
        <v>22</v>
      </c>
      <c r="E279" t="s">
        <v>103</v>
      </c>
      <c r="F279">
        <v>53</v>
      </c>
      <c r="G279">
        <v>5</v>
      </c>
      <c r="H279">
        <v>13.7</v>
      </c>
      <c r="I279">
        <v>2.1</v>
      </c>
      <c r="J279">
        <v>3.7</v>
      </c>
      <c r="K279">
        <v>0.56100000000000005</v>
      </c>
      <c r="L279">
        <v>0.3</v>
      </c>
      <c r="M279">
        <v>1.2</v>
      </c>
      <c r="N279">
        <v>0.26200000000000001</v>
      </c>
      <c r="O279">
        <v>1.8</v>
      </c>
      <c r="P279">
        <v>2.5</v>
      </c>
      <c r="Q279">
        <v>0.71</v>
      </c>
      <c r="R279">
        <v>0.60499999999999998</v>
      </c>
      <c r="S279">
        <v>0.8</v>
      </c>
      <c r="T279">
        <v>1.2</v>
      </c>
      <c r="U279">
        <v>0.64500000000000002</v>
      </c>
      <c r="V279">
        <v>1.2</v>
      </c>
      <c r="W279">
        <v>1.4</v>
      </c>
      <c r="X279">
        <v>2.6</v>
      </c>
      <c r="Y279">
        <v>0.3</v>
      </c>
      <c r="Z279">
        <v>0.3</v>
      </c>
      <c r="AA279">
        <v>0.4</v>
      </c>
      <c r="AB279">
        <v>0.6</v>
      </c>
      <c r="AC279">
        <v>2</v>
      </c>
      <c r="AD279">
        <v>5.2</v>
      </c>
      <c r="AE279">
        <v>728</v>
      </c>
      <c r="AF279">
        <v>12.5</v>
      </c>
      <c r="AG279">
        <v>0.62</v>
      </c>
      <c r="AH279">
        <v>0.33200000000000002</v>
      </c>
      <c r="AI279">
        <v>0.316</v>
      </c>
      <c r="AJ279">
        <v>10.5</v>
      </c>
      <c r="AK279">
        <v>11.2</v>
      </c>
      <c r="AL279">
        <v>10.9</v>
      </c>
      <c r="AM279">
        <v>3.3</v>
      </c>
      <c r="AN279">
        <v>1.1000000000000001</v>
      </c>
      <c r="AO279">
        <v>2.8</v>
      </c>
      <c r="AP279">
        <v>12.2</v>
      </c>
      <c r="AQ279">
        <v>15.2</v>
      </c>
      <c r="AR279">
        <v>0.9</v>
      </c>
      <c r="AS279">
        <v>0.7</v>
      </c>
      <c r="AT279">
        <v>1.6</v>
      </c>
      <c r="AU279">
        <v>0.106</v>
      </c>
      <c r="AV279">
        <v>-2.7</v>
      </c>
      <c r="AW279">
        <v>-0.9</v>
      </c>
      <c r="AX279">
        <v>-3.7</v>
      </c>
      <c r="AY279">
        <v>-0.3</v>
      </c>
      <c r="AZ279">
        <f t="shared" si="8"/>
        <v>-1.05</v>
      </c>
      <c r="BA279">
        <f t="shared" si="9"/>
        <v>-0.40110016044006419</v>
      </c>
    </row>
    <row r="280" spans="1:53" hidden="1" x14ac:dyDescent="0.25">
      <c r="A280" t="s">
        <v>363</v>
      </c>
      <c r="B280" s="2">
        <v>2588640</v>
      </c>
      <c r="C280" t="s">
        <v>28</v>
      </c>
      <c r="D280">
        <v>21</v>
      </c>
      <c r="E280" t="s">
        <v>150</v>
      </c>
      <c r="F280">
        <v>70</v>
      </c>
      <c r="G280">
        <v>4</v>
      </c>
      <c r="H280">
        <v>18</v>
      </c>
      <c r="I280">
        <v>2.6</v>
      </c>
      <c r="J280">
        <v>6</v>
      </c>
      <c r="K280">
        <v>0.42899999999999999</v>
      </c>
      <c r="L280">
        <v>0.9</v>
      </c>
      <c r="M280">
        <v>3</v>
      </c>
      <c r="N280">
        <v>0.307</v>
      </c>
      <c r="O280">
        <v>1.6</v>
      </c>
      <c r="P280">
        <v>3</v>
      </c>
      <c r="Q280">
        <v>0.55300000000000005</v>
      </c>
      <c r="R280">
        <v>0.50600000000000001</v>
      </c>
      <c r="S280">
        <v>0.6</v>
      </c>
      <c r="T280">
        <v>0.9</v>
      </c>
      <c r="U280">
        <v>0.63100000000000001</v>
      </c>
      <c r="V280">
        <v>0.7</v>
      </c>
      <c r="W280">
        <v>2</v>
      </c>
      <c r="X280">
        <v>2.8</v>
      </c>
      <c r="Y280">
        <v>0.8</v>
      </c>
      <c r="Z280">
        <v>0.4</v>
      </c>
      <c r="AA280">
        <v>0.3</v>
      </c>
      <c r="AB280">
        <v>0.8</v>
      </c>
      <c r="AC280">
        <v>1.5</v>
      </c>
      <c r="AD280">
        <v>6.7</v>
      </c>
      <c r="AE280">
        <v>1258</v>
      </c>
      <c r="AF280">
        <v>8.8000000000000007</v>
      </c>
      <c r="AG280">
        <v>0.51900000000000002</v>
      </c>
      <c r="AH280">
        <v>0.505</v>
      </c>
      <c r="AI280">
        <v>0.155</v>
      </c>
      <c r="AJ280">
        <v>4.2</v>
      </c>
      <c r="AK280">
        <v>12</v>
      </c>
      <c r="AL280">
        <v>8.1</v>
      </c>
      <c r="AM280">
        <v>6.1</v>
      </c>
      <c r="AN280">
        <v>1.1000000000000001</v>
      </c>
      <c r="AO280">
        <v>1.4</v>
      </c>
      <c r="AP280">
        <v>11.3</v>
      </c>
      <c r="AQ280">
        <v>16.7</v>
      </c>
      <c r="AR280">
        <v>-0.3</v>
      </c>
      <c r="AS280">
        <v>1.4</v>
      </c>
      <c r="AT280">
        <v>1.1000000000000001</v>
      </c>
      <c r="AU280">
        <v>4.2999999999999997E-2</v>
      </c>
      <c r="AV280">
        <v>-3.2</v>
      </c>
      <c r="AW280">
        <v>-0.7</v>
      </c>
      <c r="AX280">
        <v>-3.9</v>
      </c>
      <c r="AY280">
        <v>-0.6</v>
      </c>
      <c r="AZ280">
        <f t="shared" si="8"/>
        <v>-1.4</v>
      </c>
      <c r="BA280">
        <f t="shared" si="9"/>
        <v>-0.54082452561963035</v>
      </c>
    </row>
    <row r="281" spans="1:53" x14ac:dyDescent="0.25">
      <c r="A281" t="s">
        <v>364</v>
      </c>
      <c r="B281" s="2">
        <v>2573760</v>
      </c>
      <c r="C281" t="s">
        <v>75</v>
      </c>
      <c r="D281">
        <v>21</v>
      </c>
      <c r="E281" t="s">
        <v>93</v>
      </c>
      <c r="F281">
        <v>63</v>
      </c>
      <c r="G281">
        <v>12</v>
      </c>
      <c r="H281">
        <v>16.5</v>
      </c>
      <c r="I281">
        <v>2.8</v>
      </c>
      <c r="J281">
        <v>5</v>
      </c>
      <c r="K281">
        <v>0.56299999999999994</v>
      </c>
      <c r="L281">
        <v>0</v>
      </c>
      <c r="M281">
        <v>0.2</v>
      </c>
      <c r="N281">
        <v>0.14299999999999999</v>
      </c>
      <c r="O281">
        <v>2.8</v>
      </c>
      <c r="P281">
        <v>4.8</v>
      </c>
      <c r="Q281">
        <v>0.58199999999999996</v>
      </c>
      <c r="R281">
        <v>0.56599999999999995</v>
      </c>
      <c r="S281">
        <v>1.5</v>
      </c>
      <c r="T281">
        <v>2.2999999999999998</v>
      </c>
      <c r="U281">
        <v>0.65100000000000002</v>
      </c>
      <c r="V281">
        <v>1.8</v>
      </c>
      <c r="W281">
        <v>2.7</v>
      </c>
      <c r="X281">
        <v>4.5</v>
      </c>
      <c r="Y281">
        <v>0.8</v>
      </c>
      <c r="Z281">
        <v>0.5</v>
      </c>
      <c r="AA281">
        <v>1.5</v>
      </c>
      <c r="AB281">
        <v>0.8</v>
      </c>
      <c r="AC281">
        <v>2.4</v>
      </c>
      <c r="AD281">
        <v>7.2</v>
      </c>
      <c r="AE281">
        <v>1042</v>
      </c>
      <c r="AF281">
        <v>17.5</v>
      </c>
      <c r="AG281">
        <v>0.59499999999999997</v>
      </c>
      <c r="AH281">
        <v>4.3999999999999997E-2</v>
      </c>
      <c r="AI281">
        <v>0.45900000000000002</v>
      </c>
      <c r="AJ281">
        <v>12.1</v>
      </c>
      <c r="AK281">
        <v>18</v>
      </c>
      <c r="AL281">
        <v>15</v>
      </c>
      <c r="AM281">
        <v>7</v>
      </c>
      <c r="AN281">
        <v>1.4</v>
      </c>
      <c r="AO281">
        <v>7.7</v>
      </c>
      <c r="AP281">
        <v>11.8</v>
      </c>
      <c r="AQ281">
        <v>17.399999999999999</v>
      </c>
      <c r="AR281">
        <v>1.5</v>
      </c>
      <c r="AS281">
        <v>1.2</v>
      </c>
      <c r="AT281">
        <v>2.7</v>
      </c>
      <c r="AU281">
        <v>0.124</v>
      </c>
      <c r="AV281">
        <v>-1.7</v>
      </c>
      <c r="AW281">
        <v>0.9</v>
      </c>
      <c r="AX281">
        <v>-0.8</v>
      </c>
      <c r="AY281">
        <v>0.3</v>
      </c>
      <c r="AZ281" s="8">
        <f t="shared" si="8"/>
        <v>0.95000000000000007</v>
      </c>
      <c r="BA281" s="8">
        <f t="shared" si="9"/>
        <v>0.36910978490612961</v>
      </c>
    </row>
    <row r="282" spans="1:53" hidden="1" x14ac:dyDescent="0.25">
      <c r="A282" t="s">
        <v>365</v>
      </c>
      <c r="B282" s="2">
        <v>2485200</v>
      </c>
      <c r="C282" t="s">
        <v>65</v>
      </c>
      <c r="D282">
        <v>22</v>
      </c>
      <c r="E282" t="s">
        <v>68</v>
      </c>
      <c r="F282">
        <v>52</v>
      </c>
      <c r="G282">
        <v>11</v>
      </c>
      <c r="H282">
        <v>13.5</v>
      </c>
      <c r="I282">
        <v>1.8</v>
      </c>
      <c r="J282">
        <v>4.7</v>
      </c>
      <c r="K282">
        <v>0.39500000000000002</v>
      </c>
      <c r="L282">
        <v>0.9</v>
      </c>
      <c r="M282">
        <v>2.7</v>
      </c>
      <c r="N282">
        <v>0.33100000000000002</v>
      </c>
      <c r="O282">
        <v>0.9</v>
      </c>
      <c r="P282">
        <v>1.9</v>
      </c>
      <c r="Q282">
        <v>0.48499999999999999</v>
      </c>
      <c r="R282">
        <v>0.49199999999999999</v>
      </c>
      <c r="S282">
        <v>0.5</v>
      </c>
      <c r="T282">
        <v>0.7</v>
      </c>
      <c r="U282">
        <v>0.73</v>
      </c>
      <c r="V282">
        <v>0.7</v>
      </c>
      <c r="W282">
        <v>1.5</v>
      </c>
      <c r="X282">
        <v>2.2000000000000002</v>
      </c>
      <c r="Y282">
        <v>0.7</v>
      </c>
      <c r="Z282">
        <v>0.4</v>
      </c>
      <c r="AA282">
        <v>0.1</v>
      </c>
      <c r="AB282">
        <v>0.9</v>
      </c>
      <c r="AC282">
        <v>1.4</v>
      </c>
      <c r="AD282">
        <v>5.0999999999999996</v>
      </c>
      <c r="AE282">
        <v>701</v>
      </c>
      <c r="AF282">
        <v>8.1999999999999993</v>
      </c>
      <c r="AG282">
        <v>0.51300000000000001</v>
      </c>
      <c r="AH282">
        <v>0.58399999999999996</v>
      </c>
      <c r="AI282">
        <v>0.152</v>
      </c>
      <c r="AJ282">
        <v>5.9</v>
      </c>
      <c r="AK282">
        <v>11</v>
      </c>
      <c r="AL282">
        <v>8.5</v>
      </c>
      <c r="AM282">
        <v>6.7</v>
      </c>
      <c r="AN282">
        <v>1.4</v>
      </c>
      <c r="AO282">
        <v>0.8</v>
      </c>
      <c r="AP282">
        <v>14.8</v>
      </c>
      <c r="AQ282">
        <v>18.3</v>
      </c>
      <c r="AR282">
        <v>-0.4</v>
      </c>
      <c r="AS282">
        <v>0.8</v>
      </c>
      <c r="AT282">
        <v>0.4</v>
      </c>
      <c r="AU282">
        <v>2.7E-2</v>
      </c>
      <c r="AV282">
        <v>-4.0999999999999996</v>
      </c>
      <c r="AW282">
        <v>-0.6</v>
      </c>
      <c r="AX282">
        <v>-4.8</v>
      </c>
      <c r="AY282">
        <v>-0.5</v>
      </c>
      <c r="AZ282">
        <f t="shared" si="8"/>
        <v>-2.1999999999999997</v>
      </c>
      <c r="BA282">
        <f t="shared" si="9"/>
        <v>-0.88524062449702223</v>
      </c>
    </row>
    <row r="283" spans="1:53" hidden="1" x14ac:dyDescent="0.25">
      <c r="A283" t="s">
        <v>366</v>
      </c>
      <c r="B283" s="2">
        <v>2471160</v>
      </c>
      <c r="C283" t="s">
        <v>75</v>
      </c>
      <c r="D283">
        <v>20</v>
      </c>
      <c r="E283" t="s">
        <v>213</v>
      </c>
      <c r="F283">
        <v>75</v>
      </c>
      <c r="G283">
        <v>1</v>
      </c>
      <c r="H283">
        <v>12.9</v>
      </c>
      <c r="I283">
        <v>1.1000000000000001</v>
      </c>
      <c r="J283">
        <v>2.4</v>
      </c>
      <c r="K283">
        <v>0.48599999999999999</v>
      </c>
      <c r="L283">
        <v>0.3</v>
      </c>
      <c r="M283">
        <v>0.8</v>
      </c>
      <c r="N283">
        <v>0.40699999999999997</v>
      </c>
      <c r="O283">
        <v>0.8</v>
      </c>
      <c r="P283">
        <v>1.6</v>
      </c>
      <c r="Q283">
        <v>0.52500000000000002</v>
      </c>
      <c r="R283">
        <v>0.55400000000000005</v>
      </c>
      <c r="S283">
        <v>0.4</v>
      </c>
      <c r="T283">
        <v>0.6</v>
      </c>
      <c r="U283">
        <v>0.61699999999999999</v>
      </c>
      <c r="V283">
        <v>1.6</v>
      </c>
      <c r="W283">
        <v>2.5</v>
      </c>
      <c r="X283">
        <v>4.0999999999999996</v>
      </c>
      <c r="Y283">
        <v>0.9</v>
      </c>
      <c r="Z283">
        <v>0.6</v>
      </c>
      <c r="AA283">
        <v>0.4</v>
      </c>
      <c r="AB283">
        <v>0.6</v>
      </c>
      <c r="AC283">
        <v>1.8</v>
      </c>
      <c r="AD283">
        <v>3</v>
      </c>
      <c r="AE283">
        <v>970</v>
      </c>
      <c r="AF283">
        <v>12.9</v>
      </c>
      <c r="AG283">
        <v>0.56899999999999995</v>
      </c>
      <c r="AH283">
        <v>0.33300000000000002</v>
      </c>
      <c r="AI283">
        <v>0.26600000000000001</v>
      </c>
      <c r="AJ283">
        <v>13.4</v>
      </c>
      <c r="AK283">
        <v>21.4</v>
      </c>
      <c r="AL283">
        <v>17.399999999999999</v>
      </c>
      <c r="AM283">
        <v>8.8000000000000007</v>
      </c>
      <c r="AN283">
        <v>2.2000000000000002</v>
      </c>
      <c r="AO283">
        <v>2.9</v>
      </c>
      <c r="AP283">
        <v>19.2</v>
      </c>
      <c r="AQ283">
        <v>10.5</v>
      </c>
      <c r="AR283">
        <v>0.9</v>
      </c>
      <c r="AS283">
        <v>0.9</v>
      </c>
      <c r="AT283">
        <v>1.8</v>
      </c>
      <c r="AU283">
        <v>9.0999999999999998E-2</v>
      </c>
      <c r="AV283">
        <v>-2</v>
      </c>
      <c r="AW283">
        <v>0.6</v>
      </c>
      <c r="AX283">
        <v>-1.4</v>
      </c>
      <c r="AY283">
        <v>0.2</v>
      </c>
      <c r="AZ283">
        <f t="shared" si="8"/>
        <v>0.20000000000000007</v>
      </c>
      <c r="BA283">
        <f t="shared" si="9"/>
        <v>8.0933650593243686E-2</v>
      </c>
    </row>
    <row r="284" spans="1:53" hidden="1" x14ac:dyDescent="0.25">
      <c r="A284" t="s">
        <v>367</v>
      </c>
      <c r="B284" s="2">
        <v>2463490</v>
      </c>
      <c r="C284" t="s">
        <v>52</v>
      </c>
      <c r="D284">
        <v>30</v>
      </c>
      <c r="E284" t="s">
        <v>107</v>
      </c>
      <c r="F284">
        <v>48</v>
      </c>
      <c r="G284">
        <v>1</v>
      </c>
      <c r="H284">
        <v>10.5</v>
      </c>
      <c r="I284">
        <v>1.2</v>
      </c>
      <c r="J284">
        <v>2.2999999999999998</v>
      </c>
      <c r="K284">
        <v>0.51800000000000002</v>
      </c>
      <c r="L284">
        <v>0.3</v>
      </c>
      <c r="M284">
        <v>0.9</v>
      </c>
      <c r="N284">
        <v>0.28599999999999998</v>
      </c>
      <c r="O284">
        <v>0.9</v>
      </c>
      <c r="P284">
        <v>1.4</v>
      </c>
      <c r="Q284">
        <v>0.66200000000000003</v>
      </c>
      <c r="R284">
        <v>0.57299999999999995</v>
      </c>
      <c r="S284">
        <v>0.6</v>
      </c>
      <c r="T284">
        <v>0.7</v>
      </c>
      <c r="U284">
        <v>0.91200000000000003</v>
      </c>
      <c r="V284">
        <v>0.2</v>
      </c>
      <c r="W284">
        <v>0.8</v>
      </c>
      <c r="X284">
        <v>1</v>
      </c>
      <c r="Y284">
        <v>1.6</v>
      </c>
      <c r="Z284">
        <v>0.4</v>
      </c>
      <c r="AA284">
        <v>0.1</v>
      </c>
      <c r="AB284">
        <v>0.5</v>
      </c>
      <c r="AC284">
        <v>1</v>
      </c>
      <c r="AD284">
        <v>3.3</v>
      </c>
      <c r="AE284">
        <v>505</v>
      </c>
      <c r="AF284">
        <v>12.6</v>
      </c>
      <c r="AG284">
        <v>0.628</v>
      </c>
      <c r="AH284">
        <v>0.38200000000000001</v>
      </c>
      <c r="AI284">
        <v>0.309</v>
      </c>
      <c r="AJ284">
        <v>2.2999999999999998</v>
      </c>
      <c r="AK284">
        <v>8.4</v>
      </c>
      <c r="AL284">
        <v>5.4</v>
      </c>
      <c r="AM284">
        <v>21</v>
      </c>
      <c r="AN284">
        <v>1.7</v>
      </c>
      <c r="AO284">
        <v>0.7</v>
      </c>
      <c r="AP284">
        <v>16.100000000000001</v>
      </c>
      <c r="AQ284">
        <v>13.2</v>
      </c>
      <c r="AR284">
        <v>0.8</v>
      </c>
      <c r="AS284">
        <v>0.6</v>
      </c>
      <c r="AT284">
        <v>1.5</v>
      </c>
      <c r="AU284">
        <v>0.14199999999999999</v>
      </c>
      <c r="AV284">
        <v>-1.7</v>
      </c>
      <c r="AW284">
        <v>1.5</v>
      </c>
      <c r="AX284">
        <v>-0.2</v>
      </c>
      <c r="AY284">
        <v>0.2</v>
      </c>
      <c r="AZ284">
        <f t="shared" si="8"/>
        <v>0.65</v>
      </c>
      <c r="BA284">
        <f t="shared" si="9"/>
        <v>0.26385331379465715</v>
      </c>
    </row>
    <row r="285" spans="1:53" hidden="1" x14ac:dyDescent="0.25">
      <c r="A285" t="s">
        <v>368</v>
      </c>
      <c r="B285" s="2">
        <v>2463490</v>
      </c>
      <c r="C285" t="s">
        <v>75</v>
      </c>
      <c r="D285">
        <v>29</v>
      </c>
      <c r="E285" t="s">
        <v>85</v>
      </c>
      <c r="F285">
        <v>36</v>
      </c>
      <c r="G285">
        <v>0</v>
      </c>
      <c r="H285">
        <v>6.5</v>
      </c>
      <c r="I285">
        <v>0.9</v>
      </c>
      <c r="J285">
        <v>1.8</v>
      </c>
      <c r="K285">
        <v>0.49199999999999999</v>
      </c>
      <c r="L285">
        <v>0.4</v>
      </c>
      <c r="M285">
        <v>0.9</v>
      </c>
      <c r="N285">
        <v>0.39400000000000002</v>
      </c>
      <c r="O285">
        <v>0.5</v>
      </c>
      <c r="P285">
        <v>0.8</v>
      </c>
      <c r="Q285">
        <v>0.6</v>
      </c>
      <c r="R285">
        <v>0.59499999999999997</v>
      </c>
      <c r="S285">
        <v>0.4</v>
      </c>
      <c r="T285">
        <v>0.4</v>
      </c>
      <c r="U285">
        <v>0.875</v>
      </c>
      <c r="V285">
        <v>0.2</v>
      </c>
      <c r="W285">
        <v>1.3</v>
      </c>
      <c r="X285">
        <v>1.4</v>
      </c>
      <c r="Y285">
        <v>0.9</v>
      </c>
      <c r="Z285">
        <v>0.2</v>
      </c>
      <c r="AA285">
        <v>0.1</v>
      </c>
      <c r="AB285">
        <v>0.3</v>
      </c>
      <c r="AC285">
        <v>0.6</v>
      </c>
      <c r="AD285">
        <v>2.5</v>
      </c>
      <c r="AE285">
        <v>235</v>
      </c>
      <c r="AF285">
        <v>15.3</v>
      </c>
      <c r="AG285">
        <v>0.63500000000000001</v>
      </c>
      <c r="AH285">
        <v>0.52400000000000002</v>
      </c>
      <c r="AI285">
        <v>0.254</v>
      </c>
      <c r="AJ285">
        <v>3.2</v>
      </c>
      <c r="AK285">
        <v>21.2</v>
      </c>
      <c r="AL285">
        <v>12.1</v>
      </c>
      <c r="AM285">
        <v>17.8</v>
      </c>
      <c r="AN285">
        <v>1.2</v>
      </c>
      <c r="AO285">
        <v>1.6</v>
      </c>
      <c r="AP285">
        <v>11.4</v>
      </c>
      <c r="AQ285">
        <v>14.1</v>
      </c>
      <c r="AR285">
        <v>0.5</v>
      </c>
      <c r="AS285">
        <v>0.2</v>
      </c>
      <c r="AT285">
        <v>0.7</v>
      </c>
      <c r="AU285">
        <v>0.14099999999999999</v>
      </c>
      <c r="AV285">
        <v>1.2</v>
      </c>
      <c r="AW285">
        <v>1.7</v>
      </c>
      <c r="AX285">
        <v>2.8</v>
      </c>
      <c r="AY285">
        <v>0.3</v>
      </c>
      <c r="AZ285">
        <f t="shared" si="8"/>
        <v>1.75</v>
      </c>
      <c r="BA285">
        <f t="shared" si="9"/>
        <v>0.7103743063702308</v>
      </c>
    </row>
    <row r="286" spans="1:53" hidden="1" x14ac:dyDescent="0.25">
      <c r="A286" t="s">
        <v>369</v>
      </c>
      <c r="B286" s="2">
        <v>2463490</v>
      </c>
      <c r="C286" t="s">
        <v>75</v>
      </c>
      <c r="D286">
        <v>29</v>
      </c>
      <c r="E286" t="s">
        <v>82</v>
      </c>
      <c r="F286">
        <v>57</v>
      </c>
      <c r="G286">
        <v>7</v>
      </c>
      <c r="H286">
        <v>11.9</v>
      </c>
      <c r="I286">
        <v>2.2000000000000002</v>
      </c>
      <c r="J286">
        <v>3.7</v>
      </c>
      <c r="K286">
        <v>0.59799999999999998</v>
      </c>
      <c r="L286">
        <v>0</v>
      </c>
      <c r="M286">
        <v>0.1</v>
      </c>
      <c r="N286">
        <v>0</v>
      </c>
      <c r="O286">
        <v>2.2000000000000002</v>
      </c>
      <c r="P286">
        <v>3.6</v>
      </c>
      <c r="Q286">
        <v>0.61599999999999999</v>
      </c>
      <c r="R286">
        <v>0.59799999999999998</v>
      </c>
      <c r="S286">
        <v>1.2</v>
      </c>
      <c r="T286">
        <v>1.8</v>
      </c>
      <c r="U286">
        <v>0.69299999999999995</v>
      </c>
      <c r="V286">
        <v>1.2</v>
      </c>
      <c r="W286">
        <v>1.6</v>
      </c>
      <c r="X286">
        <v>2.8</v>
      </c>
      <c r="Y286">
        <v>0.6</v>
      </c>
      <c r="Z286">
        <v>0.3</v>
      </c>
      <c r="AA286">
        <v>0.4</v>
      </c>
      <c r="AB286">
        <v>0.6</v>
      </c>
      <c r="AC286">
        <v>1.3</v>
      </c>
      <c r="AD286">
        <v>5.6</v>
      </c>
      <c r="AE286">
        <v>681</v>
      </c>
      <c r="AF286">
        <v>17.600000000000001</v>
      </c>
      <c r="AG286">
        <v>0.63100000000000001</v>
      </c>
      <c r="AH286">
        <v>2.9000000000000001E-2</v>
      </c>
      <c r="AI286">
        <v>0.48299999999999998</v>
      </c>
      <c r="AJ286">
        <v>11.8</v>
      </c>
      <c r="AK286">
        <v>15.7</v>
      </c>
      <c r="AL286">
        <v>13.8</v>
      </c>
      <c r="AM286">
        <v>7.4</v>
      </c>
      <c r="AN286">
        <v>1.2</v>
      </c>
      <c r="AO286">
        <v>3.4</v>
      </c>
      <c r="AP286">
        <v>12.1</v>
      </c>
      <c r="AQ286">
        <v>18.899999999999999</v>
      </c>
      <c r="AR286">
        <v>1.3</v>
      </c>
      <c r="AS286">
        <v>0.8</v>
      </c>
      <c r="AT286">
        <v>2.2000000000000002</v>
      </c>
      <c r="AU286">
        <v>0.153</v>
      </c>
      <c r="AV286">
        <v>-0.9</v>
      </c>
      <c r="AW286">
        <v>-0.4</v>
      </c>
      <c r="AX286">
        <v>-1.3</v>
      </c>
      <c r="AY286">
        <v>0.1</v>
      </c>
      <c r="AZ286">
        <f t="shared" si="8"/>
        <v>0.45000000000000007</v>
      </c>
      <c r="BA286">
        <f t="shared" si="9"/>
        <v>0.18266767878091653</v>
      </c>
    </row>
    <row r="287" spans="1:53" hidden="1" x14ac:dyDescent="0.25">
      <c r="A287" t="s">
        <v>370</v>
      </c>
      <c r="B287" s="2">
        <v>2385480</v>
      </c>
      <c r="C287" t="s">
        <v>62</v>
      </c>
      <c r="D287">
        <v>19</v>
      </c>
      <c r="E287" t="s">
        <v>175</v>
      </c>
      <c r="F287">
        <v>37</v>
      </c>
      <c r="G287">
        <v>1</v>
      </c>
      <c r="H287">
        <v>18.100000000000001</v>
      </c>
      <c r="I287">
        <v>1.9</v>
      </c>
      <c r="J287">
        <v>5.8</v>
      </c>
      <c r="K287">
        <v>0.32100000000000001</v>
      </c>
      <c r="L287">
        <v>0.5</v>
      </c>
      <c r="M287">
        <v>1.4</v>
      </c>
      <c r="N287">
        <v>0.38500000000000001</v>
      </c>
      <c r="O287">
        <v>1.3</v>
      </c>
      <c r="P287">
        <v>4.4000000000000004</v>
      </c>
      <c r="Q287">
        <v>0.30099999999999999</v>
      </c>
      <c r="R287">
        <v>0.36699999999999999</v>
      </c>
      <c r="S287">
        <v>0.7</v>
      </c>
      <c r="T287">
        <v>1.2</v>
      </c>
      <c r="U287">
        <v>0.59099999999999997</v>
      </c>
      <c r="V287">
        <v>0.3</v>
      </c>
      <c r="W287">
        <v>1.9</v>
      </c>
      <c r="X287">
        <v>2.2000000000000002</v>
      </c>
      <c r="Y287">
        <v>2.7</v>
      </c>
      <c r="Z287">
        <v>0.7</v>
      </c>
      <c r="AA287">
        <v>0.1</v>
      </c>
      <c r="AB287">
        <v>1.8</v>
      </c>
      <c r="AC287">
        <v>1.8</v>
      </c>
      <c r="AD287">
        <v>5</v>
      </c>
      <c r="AE287">
        <v>669</v>
      </c>
      <c r="AF287">
        <v>3.5</v>
      </c>
      <c r="AG287">
        <v>0.39300000000000002</v>
      </c>
      <c r="AH287">
        <v>0.24199999999999999</v>
      </c>
      <c r="AI287">
        <v>0.20499999999999999</v>
      </c>
      <c r="AJ287">
        <v>1.7</v>
      </c>
      <c r="AK287">
        <v>11.9</v>
      </c>
      <c r="AL287">
        <v>6.6</v>
      </c>
      <c r="AM287">
        <v>18.8</v>
      </c>
      <c r="AN287">
        <v>1.8</v>
      </c>
      <c r="AO287">
        <v>0.6</v>
      </c>
      <c r="AP287">
        <v>21.7</v>
      </c>
      <c r="AQ287">
        <v>18.5</v>
      </c>
      <c r="AR287">
        <v>-1.9</v>
      </c>
      <c r="AS287">
        <v>0.3</v>
      </c>
      <c r="AT287">
        <v>-1.6</v>
      </c>
      <c r="AU287">
        <v>-0.114</v>
      </c>
      <c r="AV287">
        <v>-7.9</v>
      </c>
      <c r="AW287">
        <v>-1.8</v>
      </c>
      <c r="AX287">
        <v>-9.6</v>
      </c>
      <c r="AY287">
        <v>-1.3</v>
      </c>
      <c r="AZ287">
        <f t="shared" si="8"/>
        <v>-5.6</v>
      </c>
      <c r="BA287">
        <f t="shared" si="9"/>
        <v>-2.34753592568372</v>
      </c>
    </row>
    <row r="288" spans="1:53" hidden="1" x14ac:dyDescent="0.25">
      <c r="A288" t="s">
        <v>371</v>
      </c>
      <c r="B288" s="2">
        <v>2372160</v>
      </c>
      <c r="C288" t="s">
        <v>62</v>
      </c>
      <c r="D288">
        <v>21</v>
      </c>
      <c r="E288" t="s">
        <v>213</v>
      </c>
      <c r="F288">
        <v>64</v>
      </c>
      <c r="G288">
        <v>2</v>
      </c>
      <c r="H288">
        <v>12.3</v>
      </c>
      <c r="I288">
        <v>2.4</v>
      </c>
      <c r="J288">
        <v>5.0999999999999996</v>
      </c>
      <c r="K288">
        <v>0.46500000000000002</v>
      </c>
      <c r="L288">
        <v>0.3</v>
      </c>
      <c r="M288">
        <v>1.4</v>
      </c>
      <c r="N288">
        <v>0.23599999999999999</v>
      </c>
      <c r="O288">
        <v>2.1</v>
      </c>
      <c r="P288">
        <v>3.8</v>
      </c>
      <c r="Q288">
        <v>0.55000000000000004</v>
      </c>
      <c r="R288">
        <v>0.497</v>
      </c>
      <c r="S288">
        <v>0.7</v>
      </c>
      <c r="T288">
        <v>0.9</v>
      </c>
      <c r="U288">
        <v>0.75</v>
      </c>
      <c r="V288">
        <v>0.3</v>
      </c>
      <c r="W288">
        <v>0.8</v>
      </c>
      <c r="X288">
        <v>1.1000000000000001</v>
      </c>
      <c r="Y288">
        <v>1.1000000000000001</v>
      </c>
      <c r="Z288">
        <v>0.5</v>
      </c>
      <c r="AA288">
        <v>0.2</v>
      </c>
      <c r="AB288">
        <v>0.9</v>
      </c>
      <c r="AC288">
        <v>0.9</v>
      </c>
      <c r="AD288">
        <v>5.8</v>
      </c>
      <c r="AE288">
        <v>786</v>
      </c>
      <c r="AF288">
        <v>11.5</v>
      </c>
      <c r="AG288">
        <v>0.52300000000000002</v>
      </c>
      <c r="AH288">
        <v>0.27100000000000002</v>
      </c>
      <c r="AI288">
        <v>0.182</v>
      </c>
      <c r="AJ288">
        <v>2.8</v>
      </c>
      <c r="AK288">
        <v>7.2</v>
      </c>
      <c r="AL288">
        <v>5</v>
      </c>
      <c r="AM288">
        <v>14.3</v>
      </c>
      <c r="AN288">
        <v>2</v>
      </c>
      <c r="AO288">
        <v>1.9</v>
      </c>
      <c r="AP288">
        <v>14.4</v>
      </c>
      <c r="AQ288">
        <v>21.9</v>
      </c>
      <c r="AR288">
        <v>-0.3</v>
      </c>
      <c r="AS288">
        <v>0.3</v>
      </c>
      <c r="AT288">
        <v>0</v>
      </c>
      <c r="AU288">
        <v>-1E-3</v>
      </c>
      <c r="AV288">
        <v>-3</v>
      </c>
      <c r="AW288">
        <v>-1.4</v>
      </c>
      <c r="AX288">
        <v>-4.3</v>
      </c>
      <c r="AY288">
        <v>-0.5</v>
      </c>
      <c r="AZ288">
        <f t="shared" si="8"/>
        <v>-2.15</v>
      </c>
      <c r="BA288">
        <f t="shared" si="9"/>
        <v>-0.90634695804667476</v>
      </c>
    </row>
    <row r="289" spans="1:53" hidden="1" x14ac:dyDescent="0.25">
      <c r="A289" t="s">
        <v>372</v>
      </c>
      <c r="B289" s="2">
        <v>2330681</v>
      </c>
      <c r="C289" t="s">
        <v>28</v>
      </c>
      <c r="D289">
        <v>24</v>
      </c>
      <c r="E289" t="s">
        <v>175</v>
      </c>
      <c r="F289">
        <v>42</v>
      </c>
      <c r="G289">
        <v>2</v>
      </c>
      <c r="H289">
        <v>11.3</v>
      </c>
      <c r="I289">
        <v>1.6</v>
      </c>
      <c r="J289">
        <v>3.7</v>
      </c>
      <c r="K289">
        <v>0.432</v>
      </c>
      <c r="L289">
        <v>0.4</v>
      </c>
      <c r="M289">
        <v>1.4</v>
      </c>
      <c r="N289">
        <v>0.3</v>
      </c>
      <c r="O289">
        <v>1.2</v>
      </c>
      <c r="P289">
        <v>2.2999999999999998</v>
      </c>
      <c r="Q289">
        <v>0.51600000000000001</v>
      </c>
      <c r="R289">
        <v>0.49</v>
      </c>
      <c r="S289">
        <v>0.5</v>
      </c>
      <c r="T289">
        <v>1</v>
      </c>
      <c r="U289">
        <v>0.48799999999999999</v>
      </c>
      <c r="V289">
        <v>0.5</v>
      </c>
      <c r="W289">
        <v>2</v>
      </c>
      <c r="X289">
        <v>2.5</v>
      </c>
      <c r="Y289">
        <v>0.9</v>
      </c>
      <c r="Z289">
        <v>0.4</v>
      </c>
      <c r="AA289">
        <v>0.2</v>
      </c>
      <c r="AB289">
        <v>0.7</v>
      </c>
      <c r="AC289">
        <v>1.3</v>
      </c>
      <c r="AD289">
        <v>4.0999999999999996</v>
      </c>
      <c r="AE289">
        <v>474</v>
      </c>
      <c r="AF289">
        <v>9.3000000000000007</v>
      </c>
      <c r="AG289">
        <v>0.497</v>
      </c>
      <c r="AH289">
        <v>0.38700000000000001</v>
      </c>
      <c r="AI289">
        <v>0.26500000000000001</v>
      </c>
      <c r="AJ289">
        <v>4.7</v>
      </c>
      <c r="AK289">
        <v>20.6</v>
      </c>
      <c r="AL289">
        <v>12.3</v>
      </c>
      <c r="AM289">
        <v>10.7</v>
      </c>
      <c r="AN289">
        <v>1.8</v>
      </c>
      <c r="AO289">
        <v>1.2</v>
      </c>
      <c r="AP289">
        <v>15.2</v>
      </c>
      <c r="AQ289">
        <v>17.8</v>
      </c>
      <c r="AR289">
        <v>-0.4</v>
      </c>
      <c r="AS289">
        <v>0.3</v>
      </c>
      <c r="AT289">
        <v>-0.1</v>
      </c>
      <c r="AU289">
        <v>-1.0999999999999999E-2</v>
      </c>
      <c r="AV289">
        <v>-4</v>
      </c>
      <c r="AW289">
        <v>-0.6</v>
      </c>
      <c r="AX289">
        <v>-4.5999999999999996</v>
      </c>
      <c r="AY289">
        <v>-0.3</v>
      </c>
      <c r="AZ289">
        <f t="shared" si="8"/>
        <v>-2.3499999999999996</v>
      </c>
      <c r="BA289">
        <f t="shared" si="9"/>
        <v>-1.0082889936460628</v>
      </c>
    </row>
    <row r="290" spans="1:53" hidden="1" x14ac:dyDescent="0.25">
      <c r="A290" t="s">
        <v>373</v>
      </c>
      <c r="B290" s="2">
        <v>2316876</v>
      </c>
      <c r="C290" t="s">
        <v>62</v>
      </c>
      <c r="D290">
        <v>25</v>
      </c>
      <c r="E290" t="s">
        <v>109</v>
      </c>
      <c r="F290">
        <v>41</v>
      </c>
      <c r="G290">
        <v>0</v>
      </c>
      <c r="H290">
        <v>13</v>
      </c>
      <c r="I290">
        <v>1.7</v>
      </c>
      <c r="J290">
        <v>4.3</v>
      </c>
      <c r="K290">
        <v>0.39300000000000002</v>
      </c>
      <c r="L290">
        <v>1.4</v>
      </c>
      <c r="M290">
        <v>4</v>
      </c>
      <c r="N290">
        <v>0.35799999999999998</v>
      </c>
      <c r="O290">
        <v>0.3</v>
      </c>
      <c r="P290">
        <v>0.4</v>
      </c>
      <c r="Q290">
        <v>0.75</v>
      </c>
      <c r="R290">
        <v>0.55600000000000005</v>
      </c>
      <c r="S290">
        <v>0.4</v>
      </c>
      <c r="T290">
        <v>0.5</v>
      </c>
      <c r="U290">
        <v>0.8</v>
      </c>
      <c r="V290">
        <v>0.4</v>
      </c>
      <c r="W290">
        <v>1.4</v>
      </c>
      <c r="X290">
        <v>1.8</v>
      </c>
      <c r="Y290">
        <v>0.7</v>
      </c>
      <c r="Z290">
        <v>0.3</v>
      </c>
      <c r="AA290">
        <v>0.3</v>
      </c>
      <c r="AB290">
        <v>0.2</v>
      </c>
      <c r="AC290">
        <v>1</v>
      </c>
      <c r="AD290">
        <v>5.2</v>
      </c>
      <c r="AE290">
        <v>531</v>
      </c>
      <c r="AF290">
        <v>11.8</v>
      </c>
      <c r="AG290">
        <v>0.57299999999999995</v>
      </c>
      <c r="AH290">
        <v>0.91</v>
      </c>
      <c r="AI290">
        <v>0.112</v>
      </c>
      <c r="AJ290">
        <v>3.2</v>
      </c>
      <c r="AK290">
        <v>12.2</v>
      </c>
      <c r="AL290">
        <v>7.6</v>
      </c>
      <c r="AM290">
        <v>7</v>
      </c>
      <c r="AN290">
        <v>1.3</v>
      </c>
      <c r="AO290">
        <v>1.9</v>
      </c>
      <c r="AP290">
        <v>5.0999999999999996</v>
      </c>
      <c r="AQ290">
        <v>15.5</v>
      </c>
      <c r="AR290">
        <v>0.6</v>
      </c>
      <c r="AS290">
        <v>0.5</v>
      </c>
      <c r="AT290">
        <v>1.1000000000000001</v>
      </c>
      <c r="AU290">
        <v>0.10100000000000001</v>
      </c>
      <c r="AV290">
        <v>0.5</v>
      </c>
      <c r="AW290">
        <v>-0.4</v>
      </c>
      <c r="AX290">
        <v>0.1</v>
      </c>
      <c r="AY290">
        <v>0.3</v>
      </c>
      <c r="AZ290">
        <f t="shared" si="8"/>
        <v>0.60000000000000009</v>
      </c>
      <c r="BA290">
        <f t="shared" si="9"/>
        <v>0.25896940535445145</v>
      </c>
    </row>
    <row r="291" spans="1:53" x14ac:dyDescent="0.25">
      <c r="A291" t="s">
        <v>374</v>
      </c>
      <c r="B291" s="2">
        <v>2316240</v>
      </c>
      <c r="C291" t="s">
        <v>62</v>
      </c>
      <c r="D291">
        <v>23</v>
      </c>
      <c r="E291" t="s">
        <v>123</v>
      </c>
      <c r="F291">
        <v>81</v>
      </c>
      <c r="G291">
        <v>21</v>
      </c>
      <c r="H291">
        <v>28.9</v>
      </c>
      <c r="I291">
        <v>5.2</v>
      </c>
      <c r="J291">
        <v>11.6</v>
      </c>
      <c r="K291">
        <v>0.44800000000000001</v>
      </c>
      <c r="L291">
        <v>2.1</v>
      </c>
      <c r="M291">
        <v>5.6</v>
      </c>
      <c r="N291">
        <v>0.37</v>
      </c>
      <c r="O291">
        <v>3.1</v>
      </c>
      <c r="P291">
        <v>6</v>
      </c>
      <c r="Q291">
        <v>0.52100000000000002</v>
      </c>
      <c r="R291">
        <v>0.53700000000000003</v>
      </c>
      <c r="S291">
        <v>2.5</v>
      </c>
      <c r="T291">
        <v>3.1</v>
      </c>
      <c r="U291">
        <v>0.81899999999999995</v>
      </c>
      <c r="V291">
        <v>0.7</v>
      </c>
      <c r="W291">
        <v>3.4</v>
      </c>
      <c r="X291">
        <v>4.2</v>
      </c>
      <c r="Y291">
        <v>3.4</v>
      </c>
      <c r="Z291">
        <v>1</v>
      </c>
      <c r="AA291">
        <v>0.2</v>
      </c>
      <c r="AB291">
        <v>1.2</v>
      </c>
      <c r="AC291">
        <v>2</v>
      </c>
      <c r="AD291">
        <v>14.9</v>
      </c>
      <c r="AE291">
        <v>2344</v>
      </c>
      <c r="AF291">
        <v>16.3</v>
      </c>
      <c r="AG291">
        <v>0.57799999999999996</v>
      </c>
      <c r="AH291">
        <v>0.48499999999999999</v>
      </c>
      <c r="AI291">
        <v>0.26500000000000001</v>
      </c>
      <c r="AJ291">
        <v>2.7</v>
      </c>
      <c r="AK291">
        <v>13.1</v>
      </c>
      <c r="AL291">
        <v>7.9</v>
      </c>
      <c r="AM291">
        <v>17.399999999999999</v>
      </c>
      <c r="AN291">
        <v>1.7</v>
      </c>
      <c r="AO291">
        <v>0.6</v>
      </c>
      <c r="AP291">
        <v>8.6999999999999993</v>
      </c>
      <c r="AQ291">
        <v>20.9</v>
      </c>
      <c r="AR291">
        <v>4.4000000000000004</v>
      </c>
      <c r="AS291">
        <v>2.2999999999999998</v>
      </c>
      <c r="AT291">
        <v>6.7</v>
      </c>
      <c r="AU291">
        <v>0.13700000000000001</v>
      </c>
      <c r="AV291">
        <v>1.3</v>
      </c>
      <c r="AW291">
        <v>0.4</v>
      </c>
      <c r="AX291">
        <v>1.7</v>
      </c>
      <c r="AY291">
        <v>2.1</v>
      </c>
      <c r="AZ291" s="8">
        <f t="shared" si="8"/>
        <v>4.2</v>
      </c>
      <c r="BA291" s="8">
        <f t="shared" si="9"/>
        <v>1.8132835975546575</v>
      </c>
    </row>
    <row r="292" spans="1:53" x14ac:dyDescent="0.25">
      <c r="A292" t="s">
        <v>375</v>
      </c>
      <c r="B292" s="2">
        <v>2300000</v>
      </c>
      <c r="C292" t="s">
        <v>65</v>
      </c>
      <c r="D292">
        <v>26</v>
      </c>
      <c r="E292" t="s">
        <v>150</v>
      </c>
      <c r="F292">
        <v>72</v>
      </c>
      <c r="G292">
        <v>23</v>
      </c>
      <c r="H292">
        <v>20.8</v>
      </c>
      <c r="I292">
        <v>1.9</v>
      </c>
      <c r="J292">
        <v>4.4000000000000004</v>
      </c>
      <c r="K292">
        <v>0.43099999999999999</v>
      </c>
      <c r="L292">
        <v>0.8</v>
      </c>
      <c r="M292">
        <v>2.5</v>
      </c>
      <c r="N292">
        <v>0.33900000000000002</v>
      </c>
      <c r="O292">
        <v>1.1000000000000001</v>
      </c>
      <c r="P292">
        <v>2</v>
      </c>
      <c r="Q292">
        <v>0.54500000000000004</v>
      </c>
      <c r="R292">
        <v>0.52500000000000002</v>
      </c>
      <c r="S292">
        <v>0.4</v>
      </c>
      <c r="T292">
        <v>0.5</v>
      </c>
      <c r="U292">
        <v>0.77800000000000002</v>
      </c>
      <c r="V292">
        <v>0.9</v>
      </c>
      <c r="W292">
        <v>3.4</v>
      </c>
      <c r="X292">
        <v>4.3</v>
      </c>
      <c r="Y292">
        <v>1.4</v>
      </c>
      <c r="Z292">
        <v>1.1000000000000001</v>
      </c>
      <c r="AA292">
        <v>0.3</v>
      </c>
      <c r="AB292">
        <v>0.5</v>
      </c>
      <c r="AC292">
        <v>1.6</v>
      </c>
      <c r="AD292">
        <v>5.0999999999999996</v>
      </c>
      <c r="AE292">
        <v>1494</v>
      </c>
      <c r="AF292">
        <v>10.8</v>
      </c>
      <c r="AG292">
        <v>0.54200000000000004</v>
      </c>
      <c r="AH292">
        <v>0.55300000000000005</v>
      </c>
      <c r="AI292">
        <v>0.113</v>
      </c>
      <c r="AJ292">
        <v>4.5</v>
      </c>
      <c r="AK292">
        <v>17.399999999999999</v>
      </c>
      <c r="AL292">
        <v>11</v>
      </c>
      <c r="AM292">
        <v>8.1999999999999993</v>
      </c>
      <c r="AN292">
        <v>2.4</v>
      </c>
      <c r="AO292">
        <v>1.5</v>
      </c>
      <c r="AP292">
        <v>9.9</v>
      </c>
      <c r="AQ292">
        <v>10.4</v>
      </c>
      <c r="AR292">
        <v>1</v>
      </c>
      <c r="AS292">
        <v>2.5</v>
      </c>
      <c r="AT292">
        <v>3.5</v>
      </c>
      <c r="AU292">
        <v>0.111</v>
      </c>
      <c r="AV292">
        <v>-1.9</v>
      </c>
      <c r="AW292">
        <v>2.4</v>
      </c>
      <c r="AX292">
        <v>0.5</v>
      </c>
      <c r="AY292">
        <v>0.9</v>
      </c>
      <c r="AZ292" s="8">
        <f t="shared" si="8"/>
        <v>2</v>
      </c>
      <c r="BA292" s="8">
        <f t="shared" si="9"/>
        <v>0.86956521739130432</v>
      </c>
    </row>
    <row r="293" spans="1:53" hidden="1" x14ac:dyDescent="0.25">
      <c r="A293" t="s">
        <v>376</v>
      </c>
      <c r="B293" s="2">
        <v>2298385</v>
      </c>
      <c r="C293" t="s">
        <v>62</v>
      </c>
      <c r="D293">
        <v>31</v>
      </c>
      <c r="E293" t="s">
        <v>201</v>
      </c>
      <c r="F293">
        <v>32</v>
      </c>
      <c r="G293">
        <v>12</v>
      </c>
      <c r="H293">
        <v>16.399999999999999</v>
      </c>
      <c r="I293">
        <v>1.9</v>
      </c>
      <c r="J293">
        <v>4.8</v>
      </c>
      <c r="K293">
        <v>0.40799999999999997</v>
      </c>
      <c r="L293">
        <v>1.3</v>
      </c>
      <c r="M293">
        <v>3</v>
      </c>
      <c r="N293">
        <v>0.42299999999999999</v>
      </c>
      <c r="O293">
        <v>0.7</v>
      </c>
      <c r="P293">
        <v>1.7</v>
      </c>
      <c r="Q293">
        <v>0.38200000000000001</v>
      </c>
      <c r="R293">
        <v>0.54300000000000004</v>
      </c>
      <c r="S293">
        <v>0.6</v>
      </c>
      <c r="T293">
        <v>0.7</v>
      </c>
      <c r="U293">
        <v>0.81799999999999995</v>
      </c>
      <c r="V293">
        <v>0.6</v>
      </c>
      <c r="W293">
        <v>1.7</v>
      </c>
      <c r="X293">
        <v>2.2999999999999998</v>
      </c>
      <c r="Y293">
        <v>0.9</v>
      </c>
      <c r="Z293">
        <v>0.5</v>
      </c>
      <c r="AA293">
        <v>0</v>
      </c>
      <c r="AB293">
        <v>0.3</v>
      </c>
      <c r="AC293">
        <v>1.2</v>
      </c>
      <c r="AD293">
        <v>5.7</v>
      </c>
      <c r="AE293">
        <v>524</v>
      </c>
      <c r="AF293">
        <v>10.7</v>
      </c>
      <c r="AG293">
        <v>0.56599999999999995</v>
      </c>
      <c r="AH293">
        <v>0.63800000000000001</v>
      </c>
      <c r="AI293">
        <v>0.14499999999999999</v>
      </c>
      <c r="AJ293">
        <v>4.0999999999999996</v>
      </c>
      <c r="AK293">
        <v>11.8</v>
      </c>
      <c r="AL293">
        <v>7.8</v>
      </c>
      <c r="AM293">
        <v>7.6</v>
      </c>
      <c r="AN293">
        <v>1.5</v>
      </c>
      <c r="AO293">
        <v>0.2</v>
      </c>
      <c r="AP293">
        <v>6.4</v>
      </c>
      <c r="AQ293">
        <v>14</v>
      </c>
      <c r="AR293">
        <v>0.5</v>
      </c>
      <c r="AS293">
        <v>0.2</v>
      </c>
      <c r="AT293">
        <v>0.7</v>
      </c>
      <c r="AU293">
        <v>6.8000000000000005E-2</v>
      </c>
      <c r="AV293">
        <v>-0.8</v>
      </c>
      <c r="AW293">
        <v>-0.7</v>
      </c>
      <c r="AX293">
        <v>-1.5</v>
      </c>
      <c r="AY293">
        <v>0.1</v>
      </c>
      <c r="AZ293">
        <f t="shared" si="8"/>
        <v>-0.4</v>
      </c>
      <c r="BA293">
        <f t="shared" si="9"/>
        <v>-0.17403524648829505</v>
      </c>
    </row>
    <row r="294" spans="1:53" hidden="1" x14ac:dyDescent="0.25">
      <c r="A294" t="s">
        <v>377</v>
      </c>
      <c r="B294" s="2">
        <v>2298385</v>
      </c>
      <c r="C294" t="s">
        <v>62</v>
      </c>
      <c r="D294">
        <v>29</v>
      </c>
      <c r="E294" t="s">
        <v>76</v>
      </c>
      <c r="F294">
        <v>25</v>
      </c>
      <c r="G294">
        <v>0</v>
      </c>
      <c r="H294">
        <v>10.7</v>
      </c>
      <c r="I294">
        <v>1.2</v>
      </c>
      <c r="J294">
        <v>3.3</v>
      </c>
      <c r="K294">
        <v>0.36099999999999999</v>
      </c>
      <c r="L294">
        <v>0.6</v>
      </c>
      <c r="M294">
        <v>1.8</v>
      </c>
      <c r="N294">
        <v>0.30399999999999999</v>
      </c>
      <c r="O294">
        <v>0.6</v>
      </c>
      <c r="P294">
        <v>1.5</v>
      </c>
      <c r="Q294">
        <v>0.432</v>
      </c>
      <c r="R294">
        <v>0.44600000000000001</v>
      </c>
      <c r="S294">
        <v>0.6</v>
      </c>
      <c r="T294">
        <v>0.6</v>
      </c>
      <c r="U294">
        <v>1</v>
      </c>
      <c r="V294">
        <v>0.2</v>
      </c>
      <c r="W294">
        <v>0.4</v>
      </c>
      <c r="X294">
        <v>0.6</v>
      </c>
      <c r="Y294">
        <v>0.7</v>
      </c>
      <c r="Z294">
        <v>0.3</v>
      </c>
      <c r="AA294">
        <v>0.1</v>
      </c>
      <c r="AB294">
        <v>0.5</v>
      </c>
      <c r="AC294">
        <v>0.9</v>
      </c>
      <c r="AD294">
        <v>3.6</v>
      </c>
      <c r="AE294">
        <v>268</v>
      </c>
      <c r="AF294">
        <v>6.2</v>
      </c>
      <c r="AG294">
        <v>0.497</v>
      </c>
      <c r="AH294">
        <v>0.55400000000000005</v>
      </c>
      <c r="AI294">
        <v>0.18099999999999999</v>
      </c>
      <c r="AJ294">
        <v>1.7</v>
      </c>
      <c r="AK294">
        <v>4.5</v>
      </c>
      <c r="AL294">
        <v>3.1</v>
      </c>
      <c r="AM294">
        <v>8.1999999999999993</v>
      </c>
      <c r="AN294">
        <v>1.2</v>
      </c>
      <c r="AO294">
        <v>0.7</v>
      </c>
      <c r="AP294">
        <v>11.8</v>
      </c>
      <c r="AQ294">
        <v>16.2</v>
      </c>
      <c r="AR294">
        <v>-0.2</v>
      </c>
      <c r="AS294">
        <v>0.2</v>
      </c>
      <c r="AT294">
        <v>0</v>
      </c>
      <c r="AU294">
        <v>0</v>
      </c>
      <c r="AV294">
        <v>-4.8</v>
      </c>
      <c r="AW294">
        <v>-1.5</v>
      </c>
      <c r="AX294">
        <v>-6.3</v>
      </c>
      <c r="AY294">
        <v>-0.3</v>
      </c>
      <c r="AZ294">
        <f t="shared" si="8"/>
        <v>-3.15</v>
      </c>
      <c r="BA294">
        <f t="shared" si="9"/>
        <v>-1.3705275660953236</v>
      </c>
    </row>
    <row r="295" spans="1:53" hidden="1" x14ac:dyDescent="0.25">
      <c r="A295" t="s">
        <v>378</v>
      </c>
      <c r="B295" s="2">
        <v>2298385</v>
      </c>
      <c r="C295" t="s">
        <v>75</v>
      </c>
      <c r="D295">
        <v>27</v>
      </c>
      <c r="E295" t="s">
        <v>130</v>
      </c>
      <c r="F295">
        <v>41</v>
      </c>
      <c r="G295">
        <v>1</v>
      </c>
      <c r="H295">
        <v>11.6</v>
      </c>
      <c r="I295">
        <v>1.3</v>
      </c>
      <c r="J295">
        <v>2.1</v>
      </c>
      <c r="K295">
        <v>0.64</v>
      </c>
      <c r="L295">
        <v>0.2</v>
      </c>
      <c r="M295">
        <v>0.4</v>
      </c>
      <c r="N295">
        <v>0.58799999999999997</v>
      </c>
      <c r="O295">
        <v>1.1000000000000001</v>
      </c>
      <c r="P295">
        <v>1.7</v>
      </c>
      <c r="Q295">
        <v>0.65200000000000002</v>
      </c>
      <c r="R295">
        <v>0.69799999999999995</v>
      </c>
      <c r="S295">
        <v>0.5</v>
      </c>
      <c r="T295">
        <v>0.7</v>
      </c>
      <c r="U295">
        <v>0.75900000000000001</v>
      </c>
      <c r="V295">
        <v>1</v>
      </c>
      <c r="W295">
        <v>2</v>
      </c>
      <c r="X295">
        <v>3</v>
      </c>
      <c r="Y295">
        <v>0.4</v>
      </c>
      <c r="Z295">
        <v>0.2</v>
      </c>
      <c r="AA295">
        <v>0.5</v>
      </c>
      <c r="AB295">
        <v>0.6</v>
      </c>
      <c r="AC295">
        <v>1.3</v>
      </c>
      <c r="AD295">
        <v>3.5</v>
      </c>
      <c r="AE295">
        <v>477</v>
      </c>
      <c r="AF295">
        <v>12.9</v>
      </c>
      <c r="AG295">
        <v>0.71899999999999997</v>
      </c>
      <c r="AH295">
        <v>0.19800000000000001</v>
      </c>
      <c r="AI295">
        <v>0.33700000000000002</v>
      </c>
      <c r="AJ295">
        <v>9.6999999999999993</v>
      </c>
      <c r="AK295">
        <v>17.7</v>
      </c>
      <c r="AL295">
        <v>13.8</v>
      </c>
      <c r="AM295">
        <v>4.0999999999999996</v>
      </c>
      <c r="AN295">
        <v>0.8</v>
      </c>
      <c r="AO295">
        <v>3.7</v>
      </c>
      <c r="AP295">
        <v>18.899999999999999</v>
      </c>
      <c r="AQ295">
        <v>10.7</v>
      </c>
      <c r="AR295">
        <v>0.7</v>
      </c>
      <c r="AS295">
        <v>0.5</v>
      </c>
      <c r="AT295">
        <v>1.2</v>
      </c>
      <c r="AU295">
        <v>0.11899999999999999</v>
      </c>
      <c r="AV295">
        <v>-2</v>
      </c>
      <c r="AW295">
        <v>0.3</v>
      </c>
      <c r="AX295">
        <v>-1.7</v>
      </c>
      <c r="AY295">
        <v>0</v>
      </c>
      <c r="AZ295">
        <f t="shared" si="8"/>
        <v>-0.25</v>
      </c>
      <c r="BA295">
        <f t="shared" si="9"/>
        <v>-0.1087720290551844</v>
      </c>
    </row>
    <row r="296" spans="1:53" x14ac:dyDescent="0.25">
      <c r="A296" t="s">
        <v>379</v>
      </c>
      <c r="B296" s="2">
        <v>2277000</v>
      </c>
      <c r="C296" t="s">
        <v>62</v>
      </c>
      <c r="D296">
        <v>22</v>
      </c>
      <c r="E296" t="s">
        <v>123</v>
      </c>
      <c r="F296">
        <v>71</v>
      </c>
      <c r="G296">
        <v>66</v>
      </c>
      <c r="H296">
        <v>29.9</v>
      </c>
      <c r="I296">
        <v>4</v>
      </c>
      <c r="J296">
        <v>8.5</v>
      </c>
      <c r="K296">
        <v>0.46800000000000003</v>
      </c>
      <c r="L296">
        <v>2.2000000000000002</v>
      </c>
      <c r="M296">
        <v>5.7</v>
      </c>
      <c r="N296">
        <v>0.38600000000000001</v>
      </c>
      <c r="O296">
        <v>1.8</v>
      </c>
      <c r="P296">
        <v>2.7</v>
      </c>
      <c r="Q296">
        <v>0.64100000000000001</v>
      </c>
      <c r="R296">
        <v>0.59899999999999998</v>
      </c>
      <c r="S296">
        <v>1.1000000000000001</v>
      </c>
      <c r="T296">
        <v>1.4</v>
      </c>
      <c r="U296">
        <v>0.79600000000000004</v>
      </c>
      <c r="V296">
        <v>0.7</v>
      </c>
      <c r="W296">
        <v>2.5</v>
      </c>
      <c r="X296">
        <v>3.2</v>
      </c>
      <c r="Y296">
        <v>2.1</v>
      </c>
      <c r="Z296">
        <v>0.7</v>
      </c>
      <c r="AA296">
        <v>0.4</v>
      </c>
      <c r="AB296">
        <v>1</v>
      </c>
      <c r="AC296">
        <v>2.5</v>
      </c>
      <c r="AD296">
        <v>11.3</v>
      </c>
      <c r="AE296">
        <v>2121</v>
      </c>
      <c r="AF296">
        <v>11.7</v>
      </c>
      <c r="AG296">
        <v>0.61899999999999999</v>
      </c>
      <c r="AH296">
        <v>0.67600000000000005</v>
      </c>
      <c r="AI296">
        <v>0.16300000000000001</v>
      </c>
      <c r="AJ296">
        <v>2.5</v>
      </c>
      <c r="AK296">
        <v>9.4</v>
      </c>
      <c r="AL296">
        <v>5.9</v>
      </c>
      <c r="AM296">
        <v>9.6999999999999993</v>
      </c>
      <c r="AN296">
        <v>1.1000000000000001</v>
      </c>
      <c r="AO296">
        <v>1.2</v>
      </c>
      <c r="AP296">
        <v>9.6999999999999993</v>
      </c>
      <c r="AQ296">
        <v>14.4</v>
      </c>
      <c r="AR296">
        <v>3.2</v>
      </c>
      <c r="AS296">
        <v>1.6</v>
      </c>
      <c r="AT296">
        <v>4.8</v>
      </c>
      <c r="AU296">
        <v>0.108</v>
      </c>
      <c r="AV296">
        <v>-0.3</v>
      </c>
      <c r="AW296">
        <v>0.1</v>
      </c>
      <c r="AX296">
        <v>-0.1</v>
      </c>
      <c r="AY296">
        <v>1</v>
      </c>
      <c r="AZ296" s="8">
        <f t="shared" si="8"/>
        <v>2.35</v>
      </c>
      <c r="BA296" s="8">
        <f t="shared" si="9"/>
        <v>1.0320597277119017</v>
      </c>
    </row>
    <row r="297" spans="1:53" hidden="1" x14ac:dyDescent="0.25">
      <c r="A297" t="s">
        <v>380</v>
      </c>
      <c r="B297" s="2">
        <v>2266640</v>
      </c>
      <c r="C297" t="s">
        <v>52</v>
      </c>
      <c r="D297">
        <v>23</v>
      </c>
      <c r="E297" t="s">
        <v>60</v>
      </c>
      <c r="F297">
        <v>25</v>
      </c>
      <c r="G297">
        <v>1</v>
      </c>
      <c r="H297">
        <v>14.9</v>
      </c>
      <c r="I297">
        <v>2</v>
      </c>
      <c r="J297">
        <v>4.8</v>
      </c>
      <c r="K297">
        <v>0.40500000000000003</v>
      </c>
      <c r="L297">
        <v>0.4</v>
      </c>
      <c r="M297">
        <v>1.2</v>
      </c>
      <c r="N297">
        <v>0.36699999999999999</v>
      </c>
      <c r="O297">
        <v>1.5</v>
      </c>
      <c r="P297">
        <v>3.6</v>
      </c>
      <c r="Q297">
        <v>0.41799999999999998</v>
      </c>
      <c r="R297">
        <v>0.45</v>
      </c>
      <c r="S297">
        <v>1.7</v>
      </c>
      <c r="T297">
        <v>2.2999999999999998</v>
      </c>
      <c r="U297">
        <v>0.73699999999999999</v>
      </c>
      <c r="V297">
        <v>0.5</v>
      </c>
      <c r="W297">
        <v>1.3</v>
      </c>
      <c r="X297">
        <v>1.8</v>
      </c>
      <c r="Y297">
        <v>2.7</v>
      </c>
      <c r="Z297">
        <v>0.8</v>
      </c>
      <c r="AA297">
        <v>0</v>
      </c>
      <c r="AB297">
        <v>1</v>
      </c>
      <c r="AC297">
        <v>1.3</v>
      </c>
      <c r="AD297">
        <v>6</v>
      </c>
      <c r="AE297">
        <v>373</v>
      </c>
      <c r="AF297">
        <v>13.1</v>
      </c>
      <c r="AG297">
        <v>0.51700000000000002</v>
      </c>
      <c r="AH297">
        <v>0.248</v>
      </c>
      <c r="AI297">
        <v>0.47099999999999997</v>
      </c>
      <c r="AJ297">
        <v>3.8</v>
      </c>
      <c r="AK297">
        <v>9.6999999999999993</v>
      </c>
      <c r="AL297">
        <v>6.7</v>
      </c>
      <c r="AM297">
        <v>24.3</v>
      </c>
      <c r="AN297">
        <v>2.5</v>
      </c>
      <c r="AO297">
        <v>0.2</v>
      </c>
      <c r="AP297">
        <v>14.1</v>
      </c>
      <c r="AQ297">
        <v>19.5</v>
      </c>
      <c r="AR297">
        <v>0.2</v>
      </c>
      <c r="AS297">
        <v>0.4</v>
      </c>
      <c r="AT297">
        <v>0.7</v>
      </c>
      <c r="AU297">
        <v>8.7999999999999995E-2</v>
      </c>
      <c r="AV297">
        <v>-2.7</v>
      </c>
      <c r="AW297">
        <v>0.9</v>
      </c>
      <c r="AX297">
        <v>-1.8</v>
      </c>
      <c r="AY297">
        <v>0</v>
      </c>
      <c r="AZ297">
        <f t="shared" si="8"/>
        <v>-0.55000000000000004</v>
      </c>
      <c r="BA297">
        <f t="shared" si="9"/>
        <v>-0.24264991352839446</v>
      </c>
    </row>
    <row r="298" spans="1:53" hidden="1" x14ac:dyDescent="0.25">
      <c r="A298" t="s">
        <v>381</v>
      </c>
      <c r="B298" s="2">
        <v>2244111</v>
      </c>
      <c r="C298" t="s">
        <v>62</v>
      </c>
      <c r="D298">
        <v>23</v>
      </c>
      <c r="E298" t="s">
        <v>93</v>
      </c>
      <c r="F298">
        <v>75</v>
      </c>
      <c r="G298">
        <v>63</v>
      </c>
      <c r="H298">
        <v>27.6</v>
      </c>
      <c r="I298">
        <v>3.8</v>
      </c>
      <c r="J298">
        <v>8.6</v>
      </c>
      <c r="K298">
        <v>0.441</v>
      </c>
      <c r="L298">
        <v>1.2</v>
      </c>
      <c r="M298">
        <v>3.5</v>
      </c>
      <c r="N298">
        <v>0.35</v>
      </c>
      <c r="O298">
        <v>2.6</v>
      </c>
      <c r="P298">
        <v>5.0999999999999996</v>
      </c>
      <c r="Q298">
        <v>0.504</v>
      </c>
      <c r="R298">
        <v>0.51200000000000001</v>
      </c>
      <c r="S298">
        <v>0.7</v>
      </c>
      <c r="T298">
        <v>0.8</v>
      </c>
      <c r="U298">
        <v>0.79</v>
      </c>
      <c r="V298">
        <v>0.5</v>
      </c>
      <c r="W298">
        <v>2.2000000000000002</v>
      </c>
      <c r="X298">
        <v>2.7</v>
      </c>
      <c r="Y298">
        <v>4.5</v>
      </c>
      <c r="Z298">
        <v>0.9</v>
      </c>
      <c r="AA298">
        <v>0.2</v>
      </c>
      <c r="AB298">
        <v>1.7</v>
      </c>
      <c r="AC298">
        <v>2.4</v>
      </c>
      <c r="AD298">
        <v>9.5</v>
      </c>
      <c r="AE298">
        <v>2073</v>
      </c>
      <c r="AF298">
        <v>10</v>
      </c>
      <c r="AG298">
        <v>0.52800000000000002</v>
      </c>
      <c r="AH298">
        <v>0.40799999999999997</v>
      </c>
      <c r="AI298">
        <v>9.6000000000000002E-2</v>
      </c>
      <c r="AJ298">
        <v>1.9</v>
      </c>
      <c r="AK298">
        <v>8.8000000000000007</v>
      </c>
      <c r="AL298">
        <v>5.3</v>
      </c>
      <c r="AM298">
        <v>22.4</v>
      </c>
      <c r="AN298">
        <v>1.6</v>
      </c>
      <c r="AO298">
        <v>0.5</v>
      </c>
      <c r="AP298">
        <v>15.8</v>
      </c>
      <c r="AQ298">
        <v>16.100000000000001</v>
      </c>
      <c r="AR298">
        <v>0.4</v>
      </c>
      <c r="AS298">
        <v>0.8</v>
      </c>
      <c r="AT298">
        <v>1.2</v>
      </c>
      <c r="AU298">
        <v>2.9000000000000001E-2</v>
      </c>
      <c r="AV298">
        <v>-2.4</v>
      </c>
      <c r="AW298">
        <v>-0.8</v>
      </c>
      <c r="AX298">
        <v>-3.2</v>
      </c>
      <c r="AY298">
        <v>-0.6</v>
      </c>
      <c r="AZ298">
        <f t="shared" si="8"/>
        <v>-1</v>
      </c>
      <c r="BA298">
        <f t="shared" si="9"/>
        <v>-0.44561075633068059</v>
      </c>
    </row>
    <row r="299" spans="1:53" hidden="1" x14ac:dyDescent="0.25">
      <c r="A299" t="s">
        <v>382</v>
      </c>
      <c r="B299" s="2">
        <v>2239200</v>
      </c>
      <c r="C299" t="s">
        <v>52</v>
      </c>
      <c r="D299">
        <v>25</v>
      </c>
      <c r="E299" t="s">
        <v>113</v>
      </c>
      <c r="F299">
        <v>48</v>
      </c>
      <c r="G299">
        <v>3</v>
      </c>
      <c r="H299">
        <v>13.4</v>
      </c>
      <c r="I299">
        <v>2.1</v>
      </c>
      <c r="J299">
        <v>5.0999999999999996</v>
      </c>
      <c r="K299">
        <v>0.41199999999999998</v>
      </c>
      <c r="L299">
        <v>1.2</v>
      </c>
      <c r="M299">
        <v>3.2</v>
      </c>
      <c r="N299">
        <v>0.36399999999999999</v>
      </c>
      <c r="O299">
        <v>0.9</v>
      </c>
      <c r="P299">
        <v>1.9</v>
      </c>
      <c r="Q299">
        <v>0.495</v>
      </c>
      <c r="R299">
        <v>0.52700000000000002</v>
      </c>
      <c r="S299">
        <v>0.3</v>
      </c>
      <c r="T299">
        <v>0.3</v>
      </c>
      <c r="U299">
        <v>0.75</v>
      </c>
      <c r="V299">
        <v>0.5</v>
      </c>
      <c r="W299">
        <v>1.3</v>
      </c>
      <c r="X299">
        <v>1.8</v>
      </c>
      <c r="Y299">
        <v>1.3</v>
      </c>
      <c r="Z299">
        <v>0.3</v>
      </c>
      <c r="AA299">
        <v>0</v>
      </c>
      <c r="AB299">
        <v>0.8</v>
      </c>
      <c r="AC299">
        <v>0.8</v>
      </c>
      <c r="AD299">
        <v>5.6</v>
      </c>
      <c r="AE299">
        <v>643</v>
      </c>
      <c r="AF299">
        <v>10.3</v>
      </c>
      <c r="AG299">
        <v>0.53600000000000003</v>
      </c>
      <c r="AH299">
        <v>0.629</v>
      </c>
      <c r="AI299">
        <v>6.5000000000000002E-2</v>
      </c>
      <c r="AJ299">
        <v>4.3</v>
      </c>
      <c r="AK299">
        <v>10.5</v>
      </c>
      <c r="AL299">
        <v>7.5</v>
      </c>
      <c r="AM299">
        <v>14</v>
      </c>
      <c r="AN299">
        <v>1.1000000000000001</v>
      </c>
      <c r="AO299">
        <v>0.1</v>
      </c>
      <c r="AP299">
        <v>13.7</v>
      </c>
      <c r="AQ299">
        <v>19.8</v>
      </c>
      <c r="AR299">
        <v>-0.1</v>
      </c>
      <c r="AS299">
        <v>0.7</v>
      </c>
      <c r="AT299">
        <v>0.6</v>
      </c>
      <c r="AU299">
        <v>4.4999999999999998E-2</v>
      </c>
      <c r="AV299">
        <v>-2.1</v>
      </c>
      <c r="AW299">
        <v>-1.2</v>
      </c>
      <c r="AX299">
        <v>-3.4</v>
      </c>
      <c r="AY299">
        <v>-0.2</v>
      </c>
      <c r="AZ299">
        <f t="shared" si="8"/>
        <v>-1.4</v>
      </c>
      <c r="BA299">
        <f t="shared" si="9"/>
        <v>-0.62522329403358345</v>
      </c>
    </row>
    <row r="300" spans="1:53" x14ac:dyDescent="0.25">
      <c r="A300" t="s">
        <v>383</v>
      </c>
      <c r="B300" s="2">
        <v>2201520</v>
      </c>
      <c r="C300" t="s">
        <v>52</v>
      </c>
      <c r="D300">
        <v>22</v>
      </c>
      <c r="E300" t="s">
        <v>55</v>
      </c>
      <c r="F300">
        <v>56</v>
      </c>
      <c r="G300">
        <v>1</v>
      </c>
      <c r="H300">
        <v>19.399999999999999</v>
      </c>
      <c r="I300">
        <v>4.0999999999999996</v>
      </c>
      <c r="J300">
        <v>10.199999999999999</v>
      </c>
      <c r="K300">
        <v>0.39900000000000002</v>
      </c>
      <c r="L300">
        <v>2.1</v>
      </c>
      <c r="M300">
        <v>5.6</v>
      </c>
      <c r="N300">
        <v>0.371</v>
      </c>
      <c r="O300">
        <v>2</v>
      </c>
      <c r="P300">
        <v>4.5999999999999996</v>
      </c>
      <c r="Q300">
        <v>0.434</v>
      </c>
      <c r="R300">
        <v>0.502</v>
      </c>
      <c r="S300">
        <v>1.5</v>
      </c>
      <c r="T300">
        <v>1.8</v>
      </c>
      <c r="U300">
        <v>0.84299999999999997</v>
      </c>
      <c r="V300">
        <v>0.4</v>
      </c>
      <c r="W300">
        <v>2.1</v>
      </c>
      <c r="X300">
        <v>2.4</v>
      </c>
      <c r="Y300">
        <v>3.1</v>
      </c>
      <c r="Z300">
        <v>0.7</v>
      </c>
      <c r="AA300">
        <v>0.3</v>
      </c>
      <c r="AB300">
        <v>1.5</v>
      </c>
      <c r="AC300">
        <v>1.7</v>
      </c>
      <c r="AD300">
        <v>11.8</v>
      </c>
      <c r="AE300">
        <v>1085</v>
      </c>
      <c r="AF300">
        <v>14.9</v>
      </c>
      <c r="AG300">
        <v>0.53500000000000003</v>
      </c>
      <c r="AH300">
        <v>0.55200000000000005</v>
      </c>
      <c r="AI300">
        <v>0.17899999999999999</v>
      </c>
      <c r="AJ300">
        <v>2.1</v>
      </c>
      <c r="AK300">
        <v>11.8</v>
      </c>
      <c r="AL300">
        <v>7.1</v>
      </c>
      <c r="AM300">
        <v>23.4</v>
      </c>
      <c r="AN300">
        <v>1.8</v>
      </c>
      <c r="AO300">
        <v>1.2</v>
      </c>
      <c r="AP300">
        <v>11.7</v>
      </c>
      <c r="AQ300">
        <v>28</v>
      </c>
      <c r="AR300">
        <v>0.3</v>
      </c>
      <c r="AS300">
        <v>1.1000000000000001</v>
      </c>
      <c r="AT300">
        <v>1.4</v>
      </c>
      <c r="AU300">
        <v>6.2E-2</v>
      </c>
      <c r="AV300">
        <v>0.4</v>
      </c>
      <c r="AW300">
        <v>-1.2</v>
      </c>
      <c r="AX300">
        <v>-0.8</v>
      </c>
      <c r="AY300">
        <v>0.3</v>
      </c>
      <c r="AZ300" s="8">
        <f t="shared" si="8"/>
        <v>0.29999999999999993</v>
      </c>
      <c r="BA300" s="8">
        <f t="shared" si="9"/>
        <v>0.1362694865365747</v>
      </c>
    </row>
    <row r="301" spans="1:53" x14ac:dyDescent="0.25">
      <c r="A301" t="s">
        <v>384</v>
      </c>
      <c r="B301" s="2">
        <v>2200000</v>
      </c>
      <c r="C301" t="s">
        <v>28</v>
      </c>
      <c r="D301">
        <v>23</v>
      </c>
      <c r="E301" t="s">
        <v>152</v>
      </c>
      <c r="F301">
        <v>70</v>
      </c>
      <c r="G301">
        <v>33</v>
      </c>
      <c r="H301">
        <v>21.5</v>
      </c>
      <c r="I301">
        <v>3.7</v>
      </c>
      <c r="J301">
        <v>6.8</v>
      </c>
      <c r="K301">
        <v>0.54600000000000004</v>
      </c>
      <c r="L301">
        <v>0.4</v>
      </c>
      <c r="M301">
        <v>1.6</v>
      </c>
      <c r="N301">
        <v>0.26500000000000001</v>
      </c>
      <c r="O301">
        <v>3.3</v>
      </c>
      <c r="P301">
        <v>5.2</v>
      </c>
      <c r="Q301">
        <v>0.63300000000000001</v>
      </c>
      <c r="R301">
        <v>0.57699999999999996</v>
      </c>
      <c r="S301">
        <v>1.2</v>
      </c>
      <c r="T301">
        <v>1.5</v>
      </c>
      <c r="U301">
        <v>0.75900000000000001</v>
      </c>
      <c r="V301">
        <v>1</v>
      </c>
      <c r="W301">
        <v>4.8</v>
      </c>
      <c r="X301">
        <v>5.8</v>
      </c>
      <c r="Y301">
        <v>1</v>
      </c>
      <c r="Z301">
        <v>0.4</v>
      </c>
      <c r="AA301">
        <v>1.2</v>
      </c>
      <c r="AB301">
        <v>1.6</v>
      </c>
      <c r="AC301">
        <v>1.3</v>
      </c>
      <c r="AD301">
        <v>9.1</v>
      </c>
      <c r="AE301">
        <v>1505</v>
      </c>
      <c r="AF301">
        <v>14.4</v>
      </c>
      <c r="AG301">
        <v>0.60299999999999998</v>
      </c>
      <c r="AH301">
        <v>0.23599999999999999</v>
      </c>
      <c r="AI301">
        <v>0.22600000000000001</v>
      </c>
      <c r="AJ301">
        <v>5.2</v>
      </c>
      <c r="AK301">
        <v>25.3</v>
      </c>
      <c r="AL301">
        <v>15.2</v>
      </c>
      <c r="AM301">
        <v>6.9</v>
      </c>
      <c r="AN301">
        <v>1</v>
      </c>
      <c r="AO301">
        <v>5.5</v>
      </c>
      <c r="AP301">
        <v>17.600000000000001</v>
      </c>
      <c r="AQ301">
        <v>18.2</v>
      </c>
      <c r="AR301">
        <v>0</v>
      </c>
      <c r="AS301">
        <v>2.2000000000000002</v>
      </c>
      <c r="AT301">
        <v>2.2999999999999998</v>
      </c>
      <c r="AU301">
        <v>7.1999999999999995E-2</v>
      </c>
      <c r="AV301">
        <v>-1.8</v>
      </c>
      <c r="AW301">
        <v>0.9</v>
      </c>
      <c r="AX301">
        <v>-0.9</v>
      </c>
      <c r="AY301">
        <v>0.4</v>
      </c>
      <c r="AZ301" s="8">
        <f t="shared" si="8"/>
        <v>0.7</v>
      </c>
      <c r="BA301" s="8">
        <f t="shared" si="9"/>
        <v>0.31818181818181818</v>
      </c>
    </row>
    <row r="302" spans="1:53" hidden="1" x14ac:dyDescent="0.25">
      <c r="A302" t="s">
        <v>385</v>
      </c>
      <c r="B302" s="2">
        <v>2193960</v>
      </c>
      <c r="C302" t="s">
        <v>62</v>
      </c>
      <c r="D302">
        <v>20</v>
      </c>
      <c r="E302" t="s">
        <v>103</v>
      </c>
      <c r="F302">
        <v>23</v>
      </c>
      <c r="G302">
        <v>2</v>
      </c>
      <c r="H302">
        <v>8.1</v>
      </c>
      <c r="I302">
        <v>1.3</v>
      </c>
      <c r="J302">
        <v>2.6</v>
      </c>
      <c r="K302">
        <v>0.49199999999999999</v>
      </c>
      <c r="L302">
        <v>0.3</v>
      </c>
      <c r="M302">
        <v>0.6</v>
      </c>
      <c r="N302">
        <v>0.42899999999999999</v>
      </c>
      <c r="O302">
        <v>1</v>
      </c>
      <c r="P302">
        <v>2</v>
      </c>
      <c r="Q302">
        <v>0.51100000000000001</v>
      </c>
      <c r="R302">
        <v>0.54200000000000004</v>
      </c>
      <c r="S302">
        <v>0.5</v>
      </c>
      <c r="T302">
        <v>0.9</v>
      </c>
      <c r="U302">
        <v>0.55000000000000004</v>
      </c>
      <c r="V302">
        <v>0.3</v>
      </c>
      <c r="W302">
        <v>1.3</v>
      </c>
      <c r="X302">
        <v>1.6</v>
      </c>
      <c r="Y302">
        <v>0.5</v>
      </c>
      <c r="Z302">
        <v>0.1</v>
      </c>
      <c r="AA302">
        <v>0.5</v>
      </c>
      <c r="AB302">
        <v>0.3</v>
      </c>
      <c r="AC302">
        <v>0.6</v>
      </c>
      <c r="AD302">
        <v>3.3</v>
      </c>
      <c r="AE302">
        <v>186</v>
      </c>
      <c r="AF302">
        <v>12.8</v>
      </c>
      <c r="AG302">
        <v>0.55300000000000005</v>
      </c>
      <c r="AH302">
        <v>0.23699999999999999</v>
      </c>
      <c r="AI302">
        <v>0.33900000000000002</v>
      </c>
      <c r="AJ302">
        <v>5.0999999999999996</v>
      </c>
      <c r="AK302">
        <v>17.399999999999999</v>
      </c>
      <c r="AL302">
        <v>11.4</v>
      </c>
      <c r="AM302">
        <v>7.9</v>
      </c>
      <c r="AN302">
        <v>0.5</v>
      </c>
      <c r="AO302">
        <v>5.2</v>
      </c>
      <c r="AP302">
        <v>10.6</v>
      </c>
      <c r="AQ302">
        <v>17.7</v>
      </c>
      <c r="AR302">
        <v>0.1</v>
      </c>
      <c r="AS302">
        <v>0.2</v>
      </c>
      <c r="AT302">
        <v>0.3</v>
      </c>
      <c r="AU302">
        <v>7.2999999999999995E-2</v>
      </c>
      <c r="AV302">
        <v>-2.7</v>
      </c>
      <c r="AW302">
        <v>-0.1</v>
      </c>
      <c r="AX302">
        <v>-2.8</v>
      </c>
      <c r="AY302">
        <v>0</v>
      </c>
      <c r="AZ302">
        <f t="shared" si="8"/>
        <v>-1.25</v>
      </c>
      <c r="BA302">
        <f t="shared" si="9"/>
        <v>-0.56974603000966284</v>
      </c>
    </row>
    <row r="303" spans="1:53" hidden="1" x14ac:dyDescent="0.25">
      <c r="A303" t="s">
        <v>386</v>
      </c>
      <c r="B303" s="2">
        <v>2174880</v>
      </c>
      <c r="C303" t="s">
        <v>75</v>
      </c>
      <c r="D303">
        <v>23</v>
      </c>
      <c r="E303" t="s">
        <v>130</v>
      </c>
      <c r="F303">
        <v>36</v>
      </c>
      <c r="G303">
        <v>4</v>
      </c>
      <c r="H303">
        <v>10</v>
      </c>
      <c r="I303">
        <v>1.6</v>
      </c>
      <c r="J303">
        <v>2</v>
      </c>
      <c r="K303">
        <v>0.81899999999999995</v>
      </c>
      <c r="L303">
        <v>0</v>
      </c>
      <c r="M303">
        <v>0</v>
      </c>
      <c r="O303">
        <v>1.6</v>
      </c>
      <c r="P303">
        <v>2</v>
      </c>
      <c r="Q303">
        <v>0.81899999999999995</v>
      </c>
      <c r="R303">
        <v>0.81899999999999995</v>
      </c>
      <c r="S303">
        <v>0.2</v>
      </c>
      <c r="T303">
        <v>0.6</v>
      </c>
      <c r="U303">
        <v>0.35</v>
      </c>
      <c r="V303">
        <v>0.9</v>
      </c>
      <c r="W303">
        <v>2.4</v>
      </c>
      <c r="X303">
        <v>3.3</v>
      </c>
      <c r="Y303">
        <v>0.3</v>
      </c>
      <c r="Z303">
        <v>0.2</v>
      </c>
      <c r="AA303">
        <v>0.4</v>
      </c>
      <c r="AB303">
        <v>0.5</v>
      </c>
      <c r="AC303">
        <v>0.9</v>
      </c>
      <c r="AD303">
        <v>3.5</v>
      </c>
      <c r="AE303">
        <v>359</v>
      </c>
      <c r="AF303">
        <v>16.100000000000001</v>
      </c>
      <c r="AG303">
        <v>0.77400000000000002</v>
      </c>
      <c r="AH303">
        <v>0</v>
      </c>
      <c r="AI303">
        <v>0.27800000000000002</v>
      </c>
      <c r="AJ303">
        <v>9.5</v>
      </c>
      <c r="AK303">
        <v>26.1</v>
      </c>
      <c r="AL303">
        <v>17.899999999999999</v>
      </c>
      <c r="AM303">
        <v>4.3</v>
      </c>
      <c r="AN303">
        <v>0.8</v>
      </c>
      <c r="AO303">
        <v>3.5</v>
      </c>
      <c r="AP303">
        <v>18.2</v>
      </c>
      <c r="AQ303">
        <v>11.5</v>
      </c>
      <c r="AR303">
        <v>0.6</v>
      </c>
      <c r="AS303">
        <v>0.4</v>
      </c>
      <c r="AT303">
        <v>1</v>
      </c>
      <c r="AU303">
        <v>0.13400000000000001</v>
      </c>
      <c r="AV303">
        <v>-1.2</v>
      </c>
      <c r="AW303">
        <v>0.5</v>
      </c>
      <c r="AX303">
        <v>-0.6</v>
      </c>
      <c r="AY303">
        <v>0.1</v>
      </c>
      <c r="AZ303">
        <f t="shared" si="8"/>
        <v>0.2</v>
      </c>
      <c r="BA303">
        <f t="shared" si="9"/>
        <v>9.1959096593835069E-2</v>
      </c>
    </row>
    <row r="304" spans="1:53" x14ac:dyDescent="0.25">
      <c r="A304" t="s">
        <v>387</v>
      </c>
      <c r="B304" s="2">
        <v>2161440</v>
      </c>
      <c r="C304" t="s">
        <v>65</v>
      </c>
      <c r="D304">
        <v>22</v>
      </c>
      <c r="E304" t="s">
        <v>76</v>
      </c>
      <c r="F304">
        <v>79</v>
      </c>
      <c r="G304">
        <v>79</v>
      </c>
      <c r="H304">
        <v>30.6</v>
      </c>
      <c r="I304">
        <v>4.7</v>
      </c>
      <c r="J304">
        <v>9.1</v>
      </c>
      <c r="K304">
        <v>0.51700000000000002</v>
      </c>
      <c r="L304">
        <v>1.4</v>
      </c>
      <c r="M304">
        <v>3.4</v>
      </c>
      <c r="N304">
        <v>0.39800000000000002</v>
      </c>
      <c r="O304">
        <v>3.3</v>
      </c>
      <c r="P304">
        <v>5.7</v>
      </c>
      <c r="Q304">
        <v>0.58799999999999997</v>
      </c>
      <c r="R304">
        <v>0.59099999999999997</v>
      </c>
      <c r="S304">
        <v>1.3</v>
      </c>
      <c r="T304">
        <v>1.8</v>
      </c>
      <c r="U304">
        <v>0.73599999999999999</v>
      </c>
      <c r="V304">
        <v>1.2</v>
      </c>
      <c r="W304">
        <v>2.7</v>
      </c>
      <c r="X304">
        <v>3.9</v>
      </c>
      <c r="Y304">
        <v>1.9</v>
      </c>
      <c r="Z304">
        <v>0.9</v>
      </c>
      <c r="AA304">
        <v>1</v>
      </c>
      <c r="AB304">
        <v>1.4</v>
      </c>
      <c r="AC304">
        <v>3.4</v>
      </c>
      <c r="AD304">
        <v>12.1</v>
      </c>
      <c r="AE304">
        <v>2416</v>
      </c>
      <c r="AF304">
        <v>12</v>
      </c>
      <c r="AG304">
        <v>0.61099999999999999</v>
      </c>
      <c r="AH304">
        <v>0.376</v>
      </c>
      <c r="AI304">
        <v>0.20100000000000001</v>
      </c>
      <c r="AJ304">
        <v>4.3</v>
      </c>
      <c r="AK304">
        <v>9.8000000000000007</v>
      </c>
      <c r="AL304">
        <v>7.1</v>
      </c>
      <c r="AM304">
        <v>8.4</v>
      </c>
      <c r="AN304">
        <v>1.5</v>
      </c>
      <c r="AO304">
        <v>2.7</v>
      </c>
      <c r="AP304">
        <v>12.6</v>
      </c>
      <c r="AQ304">
        <v>15.8</v>
      </c>
      <c r="AR304">
        <v>2</v>
      </c>
      <c r="AS304">
        <v>2.4</v>
      </c>
      <c r="AT304">
        <v>4.4000000000000004</v>
      </c>
      <c r="AU304">
        <v>8.6999999999999994E-2</v>
      </c>
      <c r="AV304">
        <v>-1.7</v>
      </c>
      <c r="AW304">
        <v>0.5</v>
      </c>
      <c r="AX304">
        <v>-1.2</v>
      </c>
      <c r="AY304">
        <v>0.5</v>
      </c>
      <c r="AZ304" s="8">
        <f t="shared" si="8"/>
        <v>1.6</v>
      </c>
      <c r="BA304" s="8">
        <f t="shared" si="9"/>
        <v>0.74024724257902141</v>
      </c>
    </row>
    <row r="305" spans="1:53" hidden="1" x14ac:dyDescent="0.25">
      <c r="A305" t="s">
        <v>388</v>
      </c>
      <c r="B305" s="2">
        <v>2160000</v>
      </c>
      <c r="C305" t="s">
        <v>52</v>
      </c>
      <c r="D305">
        <v>26</v>
      </c>
      <c r="E305" t="s">
        <v>76</v>
      </c>
      <c r="F305">
        <v>43</v>
      </c>
      <c r="G305">
        <v>0</v>
      </c>
      <c r="H305">
        <v>15.8</v>
      </c>
      <c r="I305">
        <v>1.4</v>
      </c>
      <c r="J305">
        <v>3.4</v>
      </c>
      <c r="K305">
        <v>0.42099999999999999</v>
      </c>
      <c r="L305">
        <v>0.6</v>
      </c>
      <c r="M305">
        <v>1.8</v>
      </c>
      <c r="N305">
        <v>0.308</v>
      </c>
      <c r="O305">
        <v>0.9</v>
      </c>
      <c r="P305">
        <v>1.6</v>
      </c>
      <c r="Q305">
        <v>0.55200000000000005</v>
      </c>
      <c r="R305">
        <v>0.503</v>
      </c>
      <c r="S305">
        <v>0.3</v>
      </c>
      <c r="T305">
        <v>0.4</v>
      </c>
      <c r="U305">
        <v>0.83299999999999996</v>
      </c>
      <c r="V305">
        <v>0.3</v>
      </c>
      <c r="W305">
        <v>1.1000000000000001</v>
      </c>
      <c r="X305">
        <v>1.4</v>
      </c>
      <c r="Y305">
        <v>3.4</v>
      </c>
      <c r="Z305">
        <v>0.7</v>
      </c>
      <c r="AA305">
        <v>0.1</v>
      </c>
      <c r="AB305">
        <v>0.8</v>
      </c>
      <c r="AC305">
        <v>0.7</v>
      </c>
      <c r="AD305">
        <v>3.7</v>
      </c>
      <c r="AE305">
        <v>678</v>
      </c>
      <c r="AF305">
        <v>11.8</v>
      </c>
      <c r="AG305">
        <v>0.52600000000000002</v>
      </c>
      <c r="AH305">
        <v>0.53800000000000003</v>
      </c>
      <c r="AI305">
        <v>0.124</v>
      </c>
      <c r="AJ305">
        <v>2.5</v>
      </c>
      <c r="AK305">
        <v>7.6</v>
      </c>
      <c r="AL305">
        <v>5.0999999999999996</v>
      </c>
      <c r="AM305">
        <v>27.4</v>
      </c>
      <c r="AN305">
        <v>2.2000000000000002</v>
      </c>
      <c r="AO305">
        <v>0.5</v>
      </c>
      <c r="AP305">
        <v>17.7</v>
      </c>
      <c r="AQ305">
        <v>11.7</v>
      </c>
      <c r="AR305">
        <v>0.7</v>
      </c>
      <c r="AS305">
        <v>0.6</v>
      </c>
      <c r="AT305">
        <v>1.3</v>
      </c>
      <c r="AU305">
        <v>9.4E-2</v>
      </c>
      <c r="AV305">
        <v>-1.3</v>
      </c>
      <c r="AW305">
        <v>0.6</v>
      </c>
      <c r="AX305">
        <v>-0.7</v>
      </c>
      <c r="AY305">
        <v>0.2</v>
      </c>
      <c r="AZ305">
        <f t="shared" si="8"/>
        <v>0.30000000000000004</v>
      </c>
      <c r="BA305">
        <f t="shared" si="9"/>
        <v>0.13888888888888892</v>
      </c>
    </row>
    <row r="306" spans="1:53" hidden="1" x14ac:dyDescent="0.25">
      <c r="A306" t="s">
        <v>389</v>
      </c>
      <c r="B306" s="2">
        <v>2145720</v>
      </c>
      <c r="C306" t="s">
        <v>52</v>
      </c>
      <c r="D306">
        <v>24</v>
      </c>
      <c r="E306" t="s">
        <v>91</v>
      </c>
      <c r="F306">
        <v>53</v>
      </c>
      <c r="G306">
        <v>2</v>
      </c>
      <c r="H306">
        <v>13</v>
      </c>
      <c r="I306">
        <v>1.6</v>
      </c>
      <c r="J306">
        <v>4.5999999999999996</v>
      </c>
      <c r="K306">
        <v>0.36</v>
      </c>
      <c r="L306">
        <v>0.9</v>
      </c>
      <c r="M306">
        <v>2.5</v>
      </c>
      <c r="N306">
        <v>0.35299999999999998</v>
      </c>
      <c r="O306">
        <v>0.8</v>
      </c>
      <c r="P306">
        <v>2.1</v>
      </c>
      <c r="Q306">
        <v>0.36699999999999999</v>
      </c>
      <c r="R306">
        <v>0.45700000000000002</v>
      </c>
      <c r="S306">
        <v>0.5</v>
      </c>
      <c r="T306">
        <v>0.6</v>
      </c>
      <c r="U306">
        <v>0.75800000000000001</v>
      </c>
      <c r="V306">
        <v>0.3</v>
      </c>
      <c r="W306">
        <v>1.2</v>
      </c>
      <c r="X306">
        <v>1.4</v>
      </c>
      <c r="Y306">
        <v>1.3</v>
      </c>
      <c r="Z306">
        <v>0.4</v>
      </c>
      <c r="AA306">
        <v>0.1</v>
      </c>
      <c r="AB306">
        <v>0.5</v>
      </c>
      <c r="AC306">
        <v>1.2</v>
      </c>
      <c r="AD306">
        <v>4.5999999999999996</v>
      </c>
      <c r="AE306">
        <v>691</v>
      </c>
      <c r="AF306">
        <v>8.6999999999999993</v>
      </c>
      <c r="AG306">
        <v>0.47899999999999998</v>
      </c>
      <c r="AH306">
        <v>0.55000000000000004</v>
      </c>
      <c r="AI306">
        <v>0.13600000000000001</v>
      </c>
      <c r="AJ306">
        <v>2.2999999999999998</v>
      </c>
      <c r="AK306">
        <v>10.8</v>
      </c>
      <c r="AL306">
        <v>6.2</v>
      </c>
      <c r="AM306">
        <v>13.7</v>
      </c>
      <c r="AN306">
        <v>1.5</v>
      </c>
      <c r="AO306">
        <v>0.6</v>
      </c>
      <c r="AP306">
        <v>8.9</v>
      </c>
      <c r="AQ306">
        <v>17.399999999999999</v>
      </c>
      <c r="AR306">
        <v>0</v>
      </c>
      <c r="AS306">
        <v>0.5</v>
      </c>
      <c r="AT306">
        <v>0.5</v>
      </c>
      <c r="AU306">
        <v>3.4000000000000002E-2</v>
      </c>
      <c r="AV306">
        <v>-3.3</v>
      </c>
      <c r="AW306">
        <v>-0.8</v>
      </c>
      <c r="AX306">
        <v>-4.0999999999999996</v>
      </c>
      <c r="AY306">
        <v>-0.4</v>
      </c>
      <c r="AZ306">
        <f t="shared" si="8"/>
        <v>-1.7999999999999998</v>
      </c>
      <c r="BA306">
        <f t="shared" si="9"/>
        <v>-0.83887925731223079</v>
      </c>
    </row>
    <row r="307" spans="1:53" hidden="1" x14ac:dyDescent="0.25">
      <c r="A307" t="s">
        <v>390</v>
      </c>
      <c r="B307" s="2">
        <v>2138160</v>
      </c>
      <c r="C307" t="s">
        <v>62</v>
      </c>
      <c r="D307">
        <v>21</v>
      </c>
      <c r="E307" t="s">
        <v>89</v>
      </c>
      <c r="F307">
        <v>57</v>
      </c>
      <c r="G307">
        <v>4</v>
      </c>
      <c r="H307">
        <v>16.600000000000001</v>
      </c>
      <c r="I307">
        <v>3.5</v>
      </c>
      <c r="J307">
        <v>8</v>
      </c>
      <c r="K307">
        <v>0.441</v>
      </c>
      <c r="L307">
        <v>0.9</v>
      </c>
      <c r="M307">
        <v>2.2999999999999998</v>
      </c>
      <c r="N307">
        <v>0.38300000000000001</v>
      </c>
      <c r="O307">
        <v>2.6</v>
      </c>
      <c r="P307">
        <v>5.7</v>
      </c>
      <c r="Q307">
        <v>0.46400000000000002</v>
      </c>
      <c r="R307">
        <v>0.497</v>
      </c>
      <c r="S307">
        <v>2.6</v>
      </c>
      <c r="T307">
        <v>3.1</v>
      </c>
      <c r="U307">
        <v>0.86799999999999999</v>
      </c>
      <c r="V307">
        <v>0.1</v>
      </c>
      <c r="W307">
        <v>1.5</v>
      </c>
      <c r="X307">
        <v>1.7</v>
      </c>
      <c r="Y307">
        <v>1.4</v>
      </c>
      <c r="Z307">
        <v>0.4</v>
      </c>
      <c r="AA307">
        <v>0.1</v>
      </c>
      <c r="AB307">
        <v>1.1000000000000001</v>
      </c>
      <c r="AC307">
        <v>1</v>
      </c>
      <c r="AD307">
        <v>10.6</v>
      </c>
      <c r="AE307">
        <v>948</v>
      </c>
      <c r="AF307">
        <v>14.7</v>
      </c>
      <c r="AG307">
        <v>0.56699999999999995</v>
      </c>
      <c r="AH307">
        <v>0.29199999999999998</v>
      </c>
      <c r="AI307">
        <v>0.38200000000000001</v>
      </c>
      <c r="AJ307">
        <v>1</v>
      </c>
      <c r="AK307">
        <v>10.1</v>
      </c>
      <c r="AL307">
        <v>5.6</v>
      </c>
      <c r="AM307">
        <v>12.7</v>
      </c>
      <c r="AN307">
        <v>1</v>
      </c>
      <c r="AO307">
        <v>0.6</v>
      </c>
      <c r="AP307">
        <v>10.6</v>
      </c>
      <c r="AQ307">
        <v>27.8</v>
      </c>
      <c r="AR307">
        <v>0.3</v>
      </c>
      <c r="AS307">
        <v>0.7</v>
      </c>
      <c r="AT307">
        <v>1</v>
      </c>
      <c r="AU307">
        <v>4.9000000000000002E-2</v>
      </c>
      <c r="AV307">
        <v>-0.7</v>
      </c>
      <c r="AW307">
        <v>-2</v>
      </c>
      <c r="AX307">
        <v>-2.7</v>
      </c>
      <c r="AY307">
        <v>-0.2</v>
      </c>
      <c r="AZ307">
        <f t="shared" si="8"/>
        <v>-0.85000000000000009</v>
      </c>
      <c r="BA307">
        <f t="shared" si="9"/>
        <v>-0.39753807011636177</v>
      </c>
    </row>
    <row r="308" spans="1:53" hidden="1" x14ac:dyDescent="0.25">
      <c r="A308" t="s">
        <v>391</v>
      </c>
      <c r="B308" s="2">
        <v>2133278</v>
      </c>
      <c r="C308" t="s">
        <v>75</v>
      </c>
      <c r="D308">
        <v>27</v>
      </c>
      <c r="E308" t="s">
        <v>113</v>
      </c>
      <c r="F308">
        <v>69</v>
      </c>
      <c r="G308">
        <v>0</v>
      </c>
      <c r="H308">
        <v>11.7</v>
      </c>
      <c r="I308">
        <v>1.6</v>
      </c>
      <c r="J308">
        <v>2.5</v>
      </c>
      <c r="K308">
        <v>0.66500000000000004</v>
      </c>
      <c r="L308">
        <v>0</v>
      </c>
      <c r="M308">
        <v>0.2</v>
      </c>
      <c r="N308">
        <v>0.23100000000000001</v>
      </c>
      <c r="O308">
        <v>1.6</v>
      </c>
      <c r="P308">
        <v>2.2999999999999998</v>
      </c>
      <c r="Q308">
        <v>0.70099999999999996</v>
      </c>
      <c r="R308">
        <v>0.67400000000000004</v>
      </c>
      <c r="S308">
        <v>0.5</v>
      </c>
      <c r="T308">
        <v>0.6</v>
      </c>
      <c r="U308">
        <v>0.82099999999999995</v>
      </c>
      <c r="V308">
        <v>1.2</v>
      </c>
      <c r="W308">
        <v>1.6</v>
      </c>
      <c r="X308">
        <v>2.9</v>
      </c>
      <c r="Y308">
        <v>0.8</v>
      </c>
      <c r="Z308">
        <v>0.2</v>
      </c>
      <c r="AA308">
        <v>0.7</v>
      </c>
      <c r="AB308">
        <v>0.4</v>
      </c>
      <c r="AC308">
        <v>1.2</v>
      </c>
      <c r="AD308">
        <v>3.8</v>
      </c>
      <c r="AE308">
        <v>804</v>
      </c>
      <c r="AF308">
        <v>16.7</v>
      </c>
      <c r="AG308">
        <v>0.69699999999999995</v>
      </c>
      <c r="AH308">
        <v>7.5999999999999998E-2</v>
      </c>
      <c r="AI308">
        <v>0.22900000000000001</v>
      </c>
      <c r="AJ308">
        <v>11.9</v>
      </c>
      <c r="AK308">
        <v>14.8</v>
      </c>
      <c r="AL308">
        <v>13.4</v>
      </c>
      <c r="AM308">
        <v>9.1</v>
      </c>
      <c r="AN308">
        <v>0.7</v>
      </c>
      <c r="AO308">
        <v>4.9000000000000004</v>
      </c>
      <c r="AP308">
        <v>11.8</v>
      </c>
      <c r="AQ308">
        <v>11.5</v>
      </c>
      <c r="AR308">
        <v>2.1</v>
      </c>
      <c r="AS308">
        <v>1.2</v>
      </c>
      <c r="AT308">
        <v>3.3</v>
      </c>
      <c r="AU308">
        <v>0.19800000000000001</v>
      </c>
      <c r="AV308">
        <v>-0.4</v>
      </c>
      <c r="AW308">
        <v>1.3</v>
      </c>
      <c r="AX308">
        <v>1</v>
      </c>
      <c r="AY308">
        <v>0.6</v>
      </c>
      <c r="AZ308">
        <f t="shared" si="8"/>
        <v>2.15</v>
      </c>
      <c r="BA308">
        <f t="shared" si="9"/>
        <v>1.0078386408147462</v>
      </c>
    </row>
    <row r="309" spans="1:53" x14ac:dyDescent="0.25">
      <c r="A309" t="s">
        <v>392</v>
      </c>
      <c r="B309" s="2">
        <v>2133278</v>
      </c>
      <c r="C309" t="s">
        <v>62</v>
      </c>
      <c r="D309">
        <v>30</v>
      </c>
      <c r="E309" t="s">
        <v>60</v>
      </c>
      <c r="F309">
        <v>74</v>
      </c>
      <c r="G309">
        <v>5</v>
      </c>
      <c r="H309">
        <v>20.399999999999999</v>
      </c>
      <c r="I309">
        <v>2.7</v>
      </c>
      <c r="J309">
        <v>6.1</v>
      </c>
      <c r="K309">
        <v>0.442</v>
      </c>
      <c r="L309">
        <v>1.5</v>
      </c>
      <c r="M309">
        <v>3.3</v>
      </c>
      <c r="N309">
        <v>0.44500000000000001</v>
      </c>
      <c r="O309">
        <v>1.2</v>
      </c>
      <c r="P309">
        <v>2.8</v>
      </c>
      <c r="Q309">
        <v>0.439</v>
      </c>
      <c r="R309">
        <v>0.56399999999999995</v>
      </c>
      <c r="S309">
        <v>1.3</v>
      </c>
      <c r="T309">
        <v>1.4</v>
      </c>
      <c r="U309">
        <v>0.90400000000000003</v>
      </c>
      <c r="V309">
        <v>0.5</v>
      </c>
      <c r="W309">
        <v>2.5</v>
      </c>
      <c r="X309">
        <v>3</v>
      </c>
      <c r="Y309">
        <v>1.3</v>
      </c>
      <c r="Z309">
        <v>0.4</v>
      </c>
      <c r="AA309">
        <v>0.1</v>
      </c>
      <c r="AB309">
        <v>1.1000000000000001</v>
      </c>
      <c r="AC309">
        <v>1.6</v>
      </c>
      <c r="AD309">
        <v>8.1999999999999993</v>
      </c>
      <c r="AE309">
        <v>1506</v>
      </c>
      <c r="AF309">
        <v>10.7</v>
      </c>
      <c r="AG309">
        <v>0.60699999999999998</v>
      </c>
      <c r="AH309">
        <v>0.54600000000000004</v>
      </c>
      <c r="AI309">
        <v>0.23</v>
      </c>
      <c r="AJ309">
        <v>2.8</v>
      </c>
      <c r="AK309">
        <v>14</v>
      </c>
      <c r="AL309">
        <v>8.3000000000000007</v>
      </c>
      <c r="AM309">
        <v>8.9</v>
      </c>
      <c r="AN309">
        <v>1</v>
      </c>
      <c r="AO309">
        <v>0.4</v>
      </c>
      <c r="AP309">
        <v>13.5</v>
      </c>
      <c r="AQ309">
        <v>16.3</v>
      </c>
      <c r="AR309">
        <v>1.1000000000000001</v>
      </c>
      <c r="AS309">
        <v>1.4</v>
      </c>
      <c r="AT309">
        <v>2.6</v>
      </c>
      <c r="AU309">
        <v>8.1000000000000003E-2</v>
      </c>
      <c r="AV309">
        <v>-1.3</v>
      </c>
      <c r="AW309">
        <v>-0.4</v>
      </c>
      <c r="AX309">
        <v>-1.7</v>
      </c>
      <c r="AY309">
        <v>0.1</v>
      </c>
      <c r="AZ309" s="8">
        <f t="shared" si="8"/>
        <v>0.45000000000000007</v>
      </c>
      <c r="BA309" s="8">
        <f t="shared" si="9"/>
        <v>0.21094297133331899</v>
      </c>
    </row>
    <row r="310" spans="1:53" hidden="1" x14ac:dyDescent="0.25">
      <c r="A310" t="s">
        <v>393</v>
      </c>
      <c r="B310" s="2">
        <v>2133278</v>
      </c>
      <c r="C310" t="s">
        <v>65</v>
      </c>
      <c r="D310">
        <v>29</v>
      </c>
      <c r="E310" t="s">
        <v>130</v>
      </c>
      <c r="F310">
        <v>52</v>
      </c>
      <c r="G310">
        <v>9</v>
      </c>
      <c r="H310">
        <v>13.5</v>
      </c>
      <c r="I310">
        <v>1.2</v>
      </c>
      <c r="J310">
        <v>2.8</v>
      </c>
      <c r="K310">
        <v>0.44800000000000001</v>
      </c>
      <c r="L310">
        <v>0.2</v>
      </c>
      <c r="M310">
        <v>0.8</v>
      </c>
      <c r="N310">
        <v>0.186</v>
      </c>
      <c r="O310">
        <v>1.1000000000000001</v>
      </c>
      <c r="P310">
        <v>1.9</v>
      </c>
      <c r="Q310">
        <v>0.56000000000000005</v>
      </c>
      <c r="R310">
        <v>0.47599999999999998</v>
      </c>
      <c r="S310">
        <v>0.4</v>
      </c>
      <c r="T310">
        <v>0.5</v>
      </c>
      <c r="U310">
        <v>0.79200000000000004</v>
      </c>
      <c r="V310">
        <v>0.5</v>
      </c>
      <c r="W310">
        <v>1.8</v>
      </c>
      <c r="X310">
        <v>2.4</v>
      </c>
      <c r="Y310">
        <v>1.3</v>
      </c>
      <c r="Z310">
        <v>0.3</v>
      </c>
      <c r="AA310">
        <v>0.2</v>
      </c>
      <c r="AB310">
        <v>0.7</v>
      </c>
      <c r="AC310">
        <v>1.5</v>
      </c>
      <c r="AD310">
        <v>3</v>
      </c>
      <c r="AE310">
        <v>700</v>
      </c>
      <c r="AF310">
        <v>7.2</v>
      </c>
      <c r="AG310">
        <v>0.505</v>
      </c>
      <c r="AH310">
        <v>0.30099999999999999</v>
      </c>
      <c r="AI310">
        <v>0.16800000000000001</v>
      </c>
      <c r="AJ310">
        <v>4.4000000000000004</v>
      </c>
      <c r="AK310">
        <v>14.4</v>
      </c>
      <c r="AL310">
        <v>9.5</v>
      </c>
      <c r="AM310">
        <v>11.8</v>
      </c>
      <c r="AN310">
        <v>1.1000000000000001</v>
      </c>
      <c r="AO310">
        <v>1.2</v>
      </c>
      <c r="AP310">
        <v>18.100000000000001</v>
      </c>
      <c r="AQ310">
        <v>11.3</v>
      </c>
      <c r="AR310">
        <v>-0.1</v>
      </c>
      <c r="AS310">
        <v>0.6</v>
      </c>
      <c r="AT310">
        <v>0.5</v>
      </c>
      <c r="AU310">
        <v>3.7999999999999999E-2</v>
      </c>
      <c r="AV310">
        <v>-4.5999999999999996</v>
      </c>
      <c r="AW310">
        <v>0.8</v>
      </c>
      <c r="AX310">
        <v>-3.8</v>
      </c>
      <c r="AY310">
        <v>-0.3</v>
      </c>
      <c r="AZ310">
        <f t="shared" si="8"/>
        <v>-1.65</v>
      </c>
      <c r="BA310">
        <f t="shared" si="9"/>
        <v>-0.77345756155550283</v>
      </c>
    </row>
    <row r="311" spans="1:53" x14ac:dyDescent="0.25">
      <c r="A311" t="s">
        <v>394</v>
      </c>
      <c r="B311" s="2">
        <v>2130240</v>
      </c>
      <c r="C311" t="s">
        <v>62</v>
      </c>
      <c r="D311">
        <v>24</v>
      </c>
      <c r="E311" t="s">
        <v>150</v>
      </c>
      <c r="F311">
        <v>58</v>
      </c>
      <c r="G311">
        <v>58</v>
      </c>
      <c r="H311">
        <v>31.7</v>
      </c>
      <c r="I311">
        <v>7.8</v>
      </c>
      <c r="J311">
        <v>16.2</v>
      </c>
      <c r="K311">
        <v>0.47899999999999998</v>
      </c>
      <c r="L311">
        <v>2.9</v>
      </c>
      <c r="M311">
        <v>7</v>
      </c>
      <c r="N311">
        <v>0.40799999999999997</v>
      </c>
      <c r="O311">
        <v>4.9000000000000004</v>
      </c>
      <c r="P311">
        <v>9.1999999999999993</v>
      </c>
      <c r="Q311">
        <v>0.53400000000000003</v>
      </c>
      <c r="R311">
        <v>0.56799999999999995</v>
      </c>
      <c r="S311">
        <v>3.1</v>
      </c>
      <c r="T311">
        <v>3.5</v>
      </c>
      <c r="U311">
        <v>0.88300000000000001</v>
      </c>
      <c r="V311">
        <v>0.7</v>
      </c>
      <c r="W311">
        <v>4.3</v>
      </c>
      <c r="X311">
        <v>5</v>
      </c>
      <c r="Y311">
        <v>4.4000000000000004</v>
      </c>
      <c r="Z311">
        <v>1</v>
      </c>
      <c r="AA311">
        <v>0.4</v>
      </c>
      <c r="AB311">
        <v>2.2000000000000002</v>
      </c>
      <c r="AC311">
        <v>2.6</v>
      </c>
      <c r="AD311">
        <v>21.5</v>
      </c>
      <c r="AE311">
        <v>1841</v>
      </c>
      <c r="AF311">
        <v>19.100000000000001</v>
      </c>
      <c r="AG311">
        <v>0.60599999999999998</v>
      </c>
      <c r="AH311">
        <v>0.433</v>
      </c>
      <c r="AI311">
        <v>0.218</v>
      </c>
      <c r="AJ311">
        <v>2.5</v>
      </c>
      <c r="AK311">
        <v>14.3</v>
      </c>
      <c r="AL311">
        <v>8.4</v>
      </c>
      <c r="AM311">
        <v>20.8</v>
      </c>
      <c r="AN311">
        <v>1.4</v>
      </c>
      <c r="AO311">
        <v>1.1000000000000001</v>
      </c>
      <c r="AP311">
        <v>10.9</v>
      </c>
      <c r="AQ311">
        <v>26.1</v>
      </c>
      <c r="AR311">
        <v>3.5</v>
      </c>
      <c r="AS311">
        <v>2.2999999999999998</v>
      </c>
      <c r="AT311">
        <v>5.8</v>
      </c>
      <c r="AU311">
        <v>0.151</v>
      </c>
      <c r="AV311">
        <v>3.3</v>
      </c>
      <c r="AW311">
        <v>0.1</v>
      </c>
      <c r="AX311">
        <v>3.5</v>
      </c>
      <c r="AY311">
        <v>2.5</v>
      </c>
      <c r="AZ311" s="8">
        <f t="shared" si="8"/>
        <v>4.6500000000000004</v>
      </c>
      <c r="BA311" s="8">
        <f t="shared" si="9"/>
        <v>2.1828526363226679</v>
      </c>
    </row>
    <row r="312" spans="1:53" hidden="1" x14ac:dyDescent="0.25">
      <c r="A312" t="s">
        <v>395</v>
      </c>
      <c r="B312" s="2">
        <v>2125200</v>
      </c>
      <c r="C312" t="s">
        <v>62</v>
      </c>
      <c r="D312">
        <v>20</v>
      </c>
      <c r="E312" t="s">
        <v>82</v>
      </c>
      <c r="F312">
        <v>16</v>
      </c>
      <c r="G312">
        <v>2</v>
      </c>
      <c r="H312">
        <v>5.6</v>
      </c>
      <c r="I312">
        <v>1.1000000000000001</v>
      </c>
      <c r="J312">
        <v>2.2000000000000002</v>
      </c>
      <c r="K312">
        <v>0.48599999999999999</v>
      </c>
      <c r="L312">
        <v>0.1</v>
      </c>
      <c r="M312">
        <v>0.3</v>
      </c>
      <c r="N312">
        <v>0.4</v>
      </c>
      <c r="O312">
        <v>0.9</v>
      </c>
      <c r="P312">
        <v>1.9</v>
      </c>
      <c r="Q312">
        <v>0.5</v>
      </c>
      <c r="R312">
        <v>0.51400000000000001</v>
      </c>
      <c r="S312">
        <v>0.4</v>
      </c>
      <c r="T312">
        <v>0.5</v>
      </c>
      <c r="U312">
        <v>0.75</v>
      </c>
      <c r="V312">
        <v>0.4</v>
      </c>
      <c r="W312">
        <v>0.5</v>
      </c>
      <c r="X312">
        <v>0.9</v>
      </c>
      <c r="Y312">
        <v>0.5</v>
      </c>
      <c r="Z312">
        <v>0.4</v>
      </c>
      <c r="AA312">
        <v>0.2</v>
      </c>
      <c r="AB312">
        <v>0.2</v>
      </c>
      <c r="AC312">
        <v>0.9</v>
      </c>
      <c r="AD312">
        <v>2.6</v>
      </c>
      <c r="AE312">
        <v>89</v>
      </c>
      <c r="AF312">
        <v>17.2</v>
      </c>
      <c r="AG312">
        <v>0.54500000000000004</v>
      </c>
      <c r="AH312">
        <v>0.14299999999999999</v>
      </c>
      <c r="AI312">
        <v>0.22900000000000001</v>
      </c>
      <c r="AJ312">
        <v>8.1</v>
      </c>
      <c r="AK312">
        <v>10.4</v>
      </c>
      <c r="AL312">
        <v>9.3000000000000007</v>
      </c>
      <c r="AM312">
        <v>13.8</v>
      </c>
      <c r="AN312">
        <v>3.9</v>
      </c>
      <c r="AO312">
        <v>3.1</v>
      </c>
      <c r="AP312">
        <v>7.2</v>
      </c>
      <c r="AQ312">
        <v>20.8</v>
      </c>
      <c r="AR312">
        <v>0.1</v>
      </c>
      <c r="AS312">
        <v>0.2</v>
      </c>
      <c r="AT312">
        <v>0.3</v>
      </c>
      <c r="AU312">
        <v>0.14499999999999999</v>
      </c>
      <c r="AV312">
        <v>-2.6</v>
      </c>
      <c r="AW312">
        <v>2.9</v>
      </c>
      <c r="AX312">
        <v>0.3</v>
      </c>
      <c r="AY312">
        <v>0.1</v>
      </c>
      <c r="AZ312">
        <f t="shared" si="8"/>
        <v>0.3</v>
      </c>
      <c r="BA312">
        <f t="shared" si="9"/>
        <v>0.1411631846414455</v>
      </c>
    </row>
    <row r="313" spans="1:53" hidden="1" x14ac:dyDescent="0.25">
      <c r="A313" t="s">
        <v>396</v>
      </c>
      <c r="B313" s="2">
        <v>2109480</v>
      </c>
      <c r="C313" t="s">
        <v>75</v>
      </c>
      <c r="D313">
        <v>21</v>
      </c>
      <c r="E313" t="s">
        <v>89</v>
      </c>
      <c r="F313">
        <v>48</v>
      </c>
      <c r="G313">
        <v>3</v>
      </c>
      <c r="H313">
        <v>11.5</v>
      </c>
      <c r="I313">
        <v>1.9</v>
      </c>
      <c r="J313">
        <v>3.6</v>
      </c>
      <c r="K313">
        <v>0.54400000000000004</v>
      </c>
      <c r="L313">
        <v>0.1</v>
      </c>
      <c r="M313">
        <v>0.2</v>
      </c>
      <c r="N313">
        <v>0.54500000000000004</v>
      </c>
      <c r="O313">
        <v>1.8</v>
      </c>
      <c r="P313">
        <v>3.3</v>
      </c>
      <c r="Q313">
        <v>0.54400000000000004</v>
      </c>
      <c r="R313">
        <v>0.56100000000000005</v>
      </c>
      <c r="S313">
        <v>0.7</v>
      </c>
      <c r="T313">
        <v>1.1000000000000001</v>
      </c>
      <c r="U313">
        <v>0.63600000000000001</v>
      </c>
      <c r="V313">
        <v>2.1</v>
      </c>
      <c r="W313">
        <v>2.1</v>
      </c>
      <c r="X313">
        <v>4.2</v>
      </c>
      <c r="Y313">
        <v>0.8</v>
      </c>
      <c r="Z313">
        <v>0.3</v>
      </c>
      <c r="AA313">
        <v>0.7</v>
      </c>
      <c r="AB313">
        <v>0.9</v>
      </c>
      <c r="AC313">
        <v>1.9</v>
      </c>
      <c r="AD313">
        <v>4.7</v>
      </c>
      <c r="AE313">
        <v>552</v>
      </c>
      <c r="AF313">
        <v>17.8</v>
      </c>
      <c r="AG313">
        <v>0.58099999999999996</v>
      </c>
      <c r="AH313">
        <v>6.4000000000000001E-2</v>
      </c>
      <c r="AI313">
        <v>0.32200000000000001</v>
      </c>
      <c r="AJ313">
        <v>20.6</v>
      </c>
      <c r="AK313">
        <v>20.100000000000001</v>
      </c>
      <c r="AL313">
        <v>20.399999999999999</v>
      </c>
      <c r="AM313">
        <v>9.6999999999999993</v>
      </c>
      <c r="AN313">
        <v>1.3</v>
      </c>
      <c r="AO313">
        <v>5</v>
      </c>
      <c r="AP313">
        <v>17.7</v>
      </c>
      <c r="AQ313">
        <v>19</v>
      </c>
      <c r="AR313">
        <v>0.8</v>
      </c>
      <c r="AS313">
        <v>0.8</v>
      </c>
      <c r="AT313">
        <v>1.6</v>
      </c>
      <c r="AU313">
        <v>0.13900000000000001</v>
      </c>
      <c r="AV313">
        <v>-1.8</v>
      </c>
      <c r="AW313">
        <v>-0.6</v>
      </c>
      <c r="AX313">
        <v>-2.2999999999999998</v>
      </c>
      <c r="AY313">
        <v>0</v>
      </c>
      <c r="AZ313">
        <f t="shared" si="8"/>
        <v>-0.34999999999999987</v>
      </c>
      <c r="BA313">
        <f t="shared" si="9"/>
        <v>-0.16591766691317286</v>
      </c>
    </row>
    <row r="314" spans="1:53" hidden="1" x14ac:dyDescent="0.25">
      <c r="A314" t="s">
        <v>397</v>
      </c>
      <c r="B314" s="2">
        <v>2036318</v>
      </c>
      <c r="C314" t="s">
        <v>75</v>
      </c>
      <c r="D314">
        <v>25</v>
      </c>
      <c r="E314" t="s">
        <v>87</v>
      </c>
      <c r="F314">
        <v>12</v>
      </c>
      <c r="G314">
        <v>0</v>
      </c>
      <c r="H314">
        <v>2.8</v>
      </c>
      <c r="I314">
        <v>0.5</v>
      </c>
      <c r="J314">
        <v>1</v>
      </c>
      <c r="K314">
        <v>0.5</v>
      </c>
      <c r="L314">
        <v>0.3</v>
      </c>
      <c r="M314">
        <v>0.4</v>
      </c>
      <c r="N314">
        <v>0.6</v>
      </c>
      <c r="O314">
        <v>0.3</v>
      </c>
      <c r="P314">
        <v>0.6</v>
      </c>
      <c r="Q314">
        <v>0.42899999999999999</v>
      </c>
      <c r="R314">
        <v>0.625</v>
      </c>
      <c r="S314">
        <v>0.3</v>
      </c>
      <c r="T314">
        <v>0.3</v>
      </c>
      <c r="U314">
        <v>1</v>
      </c>
      <c r="V314">
        <v>0.1</v>
      </c>
      <c r="W314">
        <v>0.8</v>
      </c>
      <c r="X314">
        <v>0.9</v>
      </c>
      <c r="Y314">
        <v>0.1</v>
      </c>
      <c r="Z314">
        <v>0.1</v>
      </c>
      <c r="AA314">
        <v>0.1</v>
      </c>
      <c r="AB314">
        <v>0.1</v>
      </c>
      <c r="AC314">
        <v>0.2</v>
      </c>
      <c r="AD314">
        <v>1.6</v>
      </c>
      <c r="AE314">
        <v>33</v>
      </c>
      <c r="AF314">
        <v>21.7</v>
      </c>
      <c r="AG314">
        <v>0.69</v>
      </c>
      <c r="AH314">
        <v>0.41699999999999998</v>
      </c>
      <c r="AI314">
        <v>0.33300000000000002</v>
      </c>
      <c r="AJ314">
        <v>3.5</v>
      </c>
      <c r="AK314">
        <v>33.799999999999997</v>
      </c>
      <c r="AL314">
        <v>18.899999999999999</v>
      </c>
      <c r="AM314">
        <v>4.4000000000000004</v>
      </c>
      <c r="AN314">
        <v>1.5</v>
      </c>
      <c r="AO314">
        <v>2.9</v>
      </c>
      <c r="AP314">
        <v>6.8</v>
      </c>
      <c r="AQ314">
        <v>19.8</v>
      </c>
      <c r="AR314">
        <v>0.1</v>
      </c>
      <c r="AS314">
        <v>0.1</v>
      </c>
      <c r="AT314">
        <v>0.2</v>
      </c>
      <c r="AU314">
        <v>0.22</v>
      </c>
      <c r="AV314">
        <v>4.4000000000000004</v>
      </c>
      <c r="AW314">
        <v>0.5</v>
      </c>
      <c r="AX314">
        <v>4.9000000000000004</v>
      </c>
      <c r="AY314">
        <v>0.1</v>
      </c>
      <c r="AZ314">
        <f t="shared" si="8"/>
        <v>2.5500000000000003</v>
      </c>
      <c r="BA314">
        <f t="shared" si="9"/>
        <v>1.2522602069028514</v>
      </c>
    </row>
    <row r="315" spans="1:53" hidden="1" x14ac:dyDescent="0.25">
      <c r="A315" t="s">
        <v>398</v>
      </c>
      <c r="B315" s="2">
        <v>2036318</v>
      </c>
      <c r="C315" t="s">
        <v>62</v>
      </c>
      <c r="D315">
        <v>24</v>
      </c>
      <c r="E315" t="s">
        <v>73</v>
      </c>
      <c r="F315">
        <v>47</v>
      </c>
      <c r="G315">
        <v>5</v>
      </c>
      <c r="H315">
        <v>12.9</v>
      </c>
      <c r="I315">
        <v>1</v>
      </c>
      <c r="J315">
        <v>2.8</v>
      </c>
      <c r="K315">
        <v>0.36399999999999999</v>
      </c>
      <c r="L315">
        <v>0.4</v>
      </c>
      <c r="M315">
        <v>1.4</v>
      </c>
      <c r="N315">
        <v>0.254</v>
      </c>
      <c r="O315">
        <v>0.7</v>
      </c>
      <c r="P315">
        <v>1.4</v>
      </c>
      <c r="Q315">
        <v>0.47699999999999998</v>
      </c>
      <c r="R315">
        <v>0.42799999999999999</v>
      </c>
      <c r="S315">
        <v>0.5</v>
      </c>
      <c r="T315">
        <v>0.7</v>
      </c>
      <c r="U315">
        <v>0.66700000000000004</v>
      </c>
      <c r="V315">
        <v>0.1</v>
      </c>
      <c r="W315">
        <v>1.2</v>
      </c>
      <c r="X315">
        <v>1.3</v>
      </c>
      <c r="Y315">
        <v>1.2</v>
      </c>
      <c r="Z315">
        <v>0.3</v>
      </c>
      <c r="AA315">
        <v>0.1</v>
      </c>
      <c r="AB315">
        <v>0.6</v>
      </c>
      <c r="AC315">
        <v>1.4</v>
      </c>
      <c r="AD315">
        <v>2.9</v>
      </c>
      <c r="AE315">
        <v>607</v>
      </c>
      <c r="AF315">
        <v>5.2</v>
      </c>
      <c r="AG315">
        <v>0.46100000000000002</v>
      </c>
      <c r="AH315">
        <v>0.50800000000000001</v>
      </c>
      <c r="AI315">
        <v>0.25</v>
      </c>
      <c r="AJ315">
        <v>1.3</v>
      </c>
      <c r="AK315">
        <v>10.7</v>
      </c>
      <c r="AL315">
        <v>5.9</v>
      </c>
      <c r="AM315">
        <v>12.8</v>
      </c>
      <c r="AN315">
        <v>1.3</v>
      </c>
      <c r="AO315">
        <v>1</v>
      </c>
      <c r="AP315">
        <v>16.5</v>
      </c>
      <c r="AQ315">
        <v>13.1</v>
      </c>
      <c r="AR315">
        <v>-0.5</v>
      </c>
      <c r="AS315">
        <v>0.4</v>
      </c>
      <c r="AT315">
        <v>-0.1</v>
      </c>
      <c r="AU315">
        <v>-0.01</v>
      </c>
      <c r="AV315">
        <v>-6.1</v>
      </c>
      <c r="AW315">
        <v>-0.7</v>
      </c>
      <c r="AX315">
        <v>-6.7</v>
      </c>
      <c r="AY315">
        <v>-0.7</v>
      </c>
      <c r="AZ315">
        <f t="shared" si="8"/>
        <v>-3.4</v>
      </c>
      <c r="BA315">
        <f t="shared" si="9"/>
        <v>-1.6696802758704681</v>
      </c>
    </row>
    <row r="316" spans="1:53" hidden="1" x14ac:dyDescent="0.25">
      <c r="A316" t="s">
        <v>399</v>
      </c>
      <c r="B316" s="2">
        <v>2000000</v>
      </c>
      <c r="C316" t="s">
        <v>62</v>
      </c>
      <c r="D316">
        <v>26</v>
      </c>
      <c r="E316" t="s">
        <v>85</v>
      </c>
      <c r="F316">
        <v>54</v>
      </c>
      <c r="G316">
        <v>0</v>
      </c>
      <c r="H316">
        <v>12.7</v>
      </c>
      <c r="I316">
        <v>1.4</v>
      </c>
      <c r="J316">
        <v>3.7</v>
      </c>
      <c r="K316">
        <v>0.36299999999999999</v>
      </c>
      <c r="L316">
        <v>1.2</v>
      </c>
      <c r="M316">
        <v>3.3</v>
      </c>
      <c r="N316">
        <v>0.35</v>
      </c>
      <c r="O316">
        <v>0.2</v>
      </c>
      <c r="P316">
        <v>0.4</v>
      </c>
      <c r="Q316">
        <v>0.47599999999999998</v>
      </c>
      <c r="R316">
        <v>0.52</v>
      </c>
      <c r="S316">
        <v>0.9</v>
      </c>
      <c r="T316">
        <v>1</v>
      </c>
      <c r="U316">
        <v>0.90600000000000003</v>
      </c>
      <c r="V316">
        <v>0.2</v>
      </c>
      <c r="W316">
        <v>1.1000000000000001</v>
      </c>
      <c r="X316">
        <v>1.4</v>
      </c>
      <c r="Y316">
        <v>0.5</v>
      </c>
      <c r="Z316">
        <v>0.4</v>
      </c>
      <c r="AA316">
        <v>0.1</v>
      </c>
      <c r="AB316">
        <v>0.4</v>
      </c>
      <c r="AC316">
        <v>1.1000000000000001</v>
      </c>
      <c r="AD316">
        <v>4.8</v>
      </c>
      <c r="AE316">
        <v>686</v>
      </c>
      <c r="AF316">
        <v>9.6999999999999993</v>
      </c>
      <c r="AG316">
        <v>0.57299999999999995</v>
      </c>
      <c r="AH316">
        <v>0.89600000000000002</v>
      </c>
      <c r="AI316">
        <v>0.26400000000000001</v>
      </c>
      <c r="AJ316">
        <v>1.7</v>
      </c>
      <c r="AK316">
        <v>10</v>
      </c>
      <c r="AL316">
        <v>5.8</v>
      </c>
      <c r="AM316">
        <v>5.0999999999999996</v>
      </c>
      <c r="AN316">
        <v>1.7</v>
      </c>
      <c r="AO316">
        <v>0.7</v>
      </c>
      <c r="AP316">
        <v>7.8</v>
      </c>
      <c r="AQ316">
        <v>14.7</v>
      </c>
      <c r="AR316">
        <v>0.7</v>
      </c>
      <c r="AS316">
        <v>0.3</v>
      </c>
      <c r="AT316">
        <v>1</v>
      </c>
      <c r="AU316">
        <v>6.7000000000000004E-2</v>
      </c>
      <c r="AV316">
        <v>-2</v>
      </c>
      <c r="AW316">
        <v>-0.4</v>
      </c>
      <c r="AX316">
        <v>-2.4</v>
      </c>
      <c r="AY316">
        <v>-0.1</v>
      </c>
      <c r="AZ316">
        <f t="shared" si="8"/>
        <v>-0.7</v>
      </c>
      <c r="BA316">
        <f t="shared" si="9"/>
        <v>-0.35</v>
      </c>
    </row>
    <row r="317" spans="1:53" hidden="1" x14ac:dyDescent="0.25">
      <c r="A317" t="s">
        <v>400</v>
      </c>
      <c r="B317" s="2">
        <v>2000000</v>
      </c>
      <c r="C317" t="s">
        <v>75</v>
      </c>
      <c r="D317">
        <v>20</v>
      </c>
      <c r="E317" t="s">
        <v>109</v>
      </c>
      <c r="F317">
        <v>49</v>
      </c>
      <c r="G317">
        <v>36</v>
      </c>
      <c r="H317">
        <v>18.7</v>
      </c>
      <c r="I317">
        <v>2.1</v>
      </c>
      <c r="J317">
        <v>4.8</v>
      </c>
      <c r="K317">
        <v>0.436</v>
      </c>
      <c r="L317">
        <v>0.9</v>
      </c>
      <c r="M317">
        <v>2.2999999999999998</v>
      </c>
      <c r="N317">
        <v>0.40699999999999997</v>
      </c>
      <c r="O317">
        <v>1.1000000000000001</v>
      </c>
      <c r="P317">
        <v>2.5</v>
      </c>
      <c r="Q317">
        <v>0.46300000000000002</v>
      </c>
      <c r="R317">
        <v>0.53400000000000003</v>
      </c>
      <c r="S317">
        <v>0.8</v>
      </c>
      <c r="T317">
        <v>1.1000000000000001</v>
      </c>
      <c r="U317">
        <v>0.70399999999999996</v>
      </c>
      <c r="V317">
        <v>0.9</v>
      </c>
      <c r="W317">
        <v>4</v>
      </c>
      <c r="X317">
        <v>4.9000000000000004</v>
      </c>
      <c r="Y317">
        <v>1.6</v>
      </c>
      <c r="Z317">
        <v>0.6</v>
      </c>
      <c r="AA317">
        <v>0.2</v>
      </c>
      <c r="AB317">
        <v>0.8</v>
      </c>
      <c r="AC317">
        <v>2.2999999999999998</v>
      </c>
      <c r="AD317">
        <v>5.9</v>
      </c>
      <c r="AE317">
        <v>914</v>
      </c>
      <c r="AF317">
        <v>11.2</v>
      </c>
      <c r="AG317">
        <v>0.55900000000000005</v>
      </c>
      <c r="AH317">
        <v>0.48299999999999998</v>
      </c>
      <c r="AI317">
        <v>0.23100000000000001</v>
      </c>
      <c r="AJ317">
        <v>5.0999999999999996</v>
      </c>
      <c r="AK317">
        <v>23.6</v>
      </c>
      <c r="AL317">
        <v>14.1</v>
      </c>
      <c r="AM317">
        <v>10.7</v>
      </c>
      <c r="AN317">
        <v>1.5</v>
      </c>
      <c r="AO317">
        <v>1.2</v>
      </c>
      <c r="AP317">
        <v>12.6</v>
      </c>
      <c r="AQ317">
        <v>13.5</v>
      </c>
      <c r="AR317">
        <v>0.7</v>
      </c>
      <c r="AS317">
        <v>1.2</v>
      </c>
      <c r="AT317">
        <v>1.9</v>
      </c>
      <c r="AU317">
        <v>9.9000000000000005E-2</v>
      </c>
      <c r="AV317">
        <v>-2.2999999999999998</v>
      </c>
      <c r="AW317">
        <v>0.6</v>
      </c>
      <c r="AX317">
        <v>-1.7</v>
      </c>
      <c r="AY317">
        <v>0.1</v>
      </c>
      <c r="AZ317">
        <f t="shared" si="8"/>
        <v>9.9999999999999978E-2</v>
      </c>
      <c r="BA317">
        <f t="shared" si="9"/>
        <v>4.9999999999999989E-2</v>
      </c>
    </row>
    <row r="318" spans="1:53" hidden="1" x14ac:dyDescent="0.25">
      <c r="A318" t="s">
        <v>401</v>
      </c>
      <c r="B318" s="2">
        <v>2000000</v>
      </c>
      <c r="C318" t="s">
        <v>28</v>
      </c>
      <c r="D318">
        <v>22</v>
      </c>
      <c r="E318" t="s">
        <v>109</v>
      </c>
      <c r="F318">
        <v>43</v>
      </c>
      <c r="G318">
        <v>20</v>
      </c>
      <c r="H318">
        <v>18.899999999999999</v>
      </c>
      <c r="I318">
        <v>2.6</v>
      </c>
      <c r="J318">
        <v>5.8</v>
      </c>
      <c r="K318">
        <v>0.44400000000000001</v>
      </c>
      <c r="L318">
        <v>0.9</v>
      </c>
      <c r="M318">
        <v>2.6</v>
      </c>
      <c r="N318">
        <v>0.33300000000000002</v>
      </c>
      <c r="O318">
        <v>1.7</v>
      </c>
      <c r="P318">
        <v>3.2</v>
      </c>
      <c r="Q318">
        <v>0.53300000000000003</v>
      </c>
      <c r="R318">
        <v>0.51800000000000002</v>
      </c>
      <c r="S318">
        <v>0.8</v>
      </c>
      <c r="T318">
        <v>1</v>
      </c>
      <c r="U318">
        <v>0.83299999999999996</v>
      </c>
      <c r="V318">
        <v>1.7</v>
      </c>
      <c r="W318">
        <v>2.5</v>
      </c>
      <c r="X318">
        <v>4.2</v>
      </c>
      <c r="Y318">
        <v>1</v>
      </c>
      <c r="Z318">
        <v>0.6</v>
      </c>
      <c r="AA318">
        <v>0.3</v>
      </c>
      <c r="AB318">
        <v>0.4</v>
      </c>
      <c r="AC318">
        <v>1.7</v>
      </c>
      <c r="AD318">
        <v>6.8</v>
      </c>
      <c r="AE318">
        <v>814</v>
      </c>
      <c r="AF318">
        <v>13</v>
      </c>
      <c r="AG318">
        <v>0.54800000000000004</v>
      </c>
      <c r="AH318">
        <v>0.44800000000000001</v>
      </c>
      <c r="AI318">
        <v>0.16900000000000001</v>
      </c>
      <c r="AJ318">
        <v>9.1999999999999993</v>
      </c>
      <c r="AK318">
        <v>14.7</v>
      </c>
      <c r="AL318">
        <v>11.9</v>
      </c>
      <c r="AM318">
        <v>7</v>
      </c>
      <c r="AN318">
        <v>1.4</v>
      </c>
      <c r="AO318">
        <v>1.2</v>
      </c>
      <c r="AP318">
        <v>6.7</v>
      </c>
      <c r="AQ318">
        <v>14.6</v>
      </c>
      <c r="AR318">
        <v>1.1000000000000001</v>
      </c>
      <c r="AS318">
        <v>0.8</v>
      </c>
      <c r="AT318">
        <v>1.9</v>
      </c>
      <c r="AU318">
        <v>0.111</v>
      </c>
      <c r="AV318">
        <v>-0.8</v>
      </c>
      <c r="AW318">
        <v>-0.7</v>
      </c>
      <c r="AX318">
        <v>-1.5</v>
      </c>
      <c r="AY318">
        <v>0.1</v>
      </c>
      <c r="AZ318">
        <f t="shared" si="8"/>
        <v>0.19999999999999996</v>
      </c>
      <c r="BA318">
        <f t="shared" si="9"/>
        <v>9.9999999999999978E-2</v>
      </c>
    </row>
    <row r="319" spans="1:53" x14ac:dyDescent="0.25">
      <c r="A319" t="s">
        <v>402</v>
      </c>
      <c r="B319" s="2">
        <v>2000000</v>
      </c>
      <c r="C319" t="s">
        <v>28</v>
      </c>
      <c r="D319">
        <v>28</v>
      </c>
      <c r="E319" t="s">
        <v>109</v>
      </c>
      <c r="F319">
        <v>53</v>
      </c>
      <c r="G319">
        <v>10</v>
      </c>
      <c r="H319">
        <v>22.8</v>
      </c>
      <c r="I319">
        <v>3.4</v>
      </c>
      <c r="J319">
        <v>6.5</v>
      </c>
      <c r="K319">
        <v>0.51700000000000002</v>
      </c>
      <c r="L319">
        <v>0.9</v>
      </c>
      <c r="M319">
        <v>2.5</v>
      </c>
      <c r="N319">
        <v>0.373</v>
      </c>
      <c r="O319">
        <v>2.4</v>
      </c>
      <c r="P319">
        <v>4</v>
      </c>
      <c r="Q319">
        <v>0.60799999999999998</v>
      </c>
      <c r="R319">
        <v>0.59</v>
      </c>
      <c r="S319">
        <v>0.3</v>
      </c>
      <c r="T319">
        <v>0.7</v>
      </c>
      <c r="U319">
        <v>0.436</v>
      </c>
      <c r="V319">
        <v>1.8</v>
      </c>
      <c r="W319">
        <v>3.1</v>
      </c>
      <c r="X319">
        <v>4.9000000000000004</v>
      </c>
      <c r="Y319">
        <v>2</v>
      </c>
      <c r="Z319">
        <v>0.8</v>
      </c>
      <c r="AA319">
        <v>0.3</v>
      </c>
      <c r="AB319">
        <v>0.6</v>
      </c>
      <c r="AC319">
        <v>2.1</v>
      </c>
      <c r="AD319">
        <v>8</v>
      </c>
      <c r="AE319">
        <v>1206</v>
      </c>
      <c r="AF319">
        <v>14.4</v>
      </c>
      <c r="AG319">
        <v>0.58499999999999996</v>
      </c>
      <c r="AH319">
        <v>0.38700000000000001</v>
      </c>
      <c r="AI319">
        <v>0.113</v>
      </c>
      <c r="AJ319">
        <v>8.5</v>
      </c>
      <c r="AK319">
        <v>14.9</v>
      </c>
      <c r="AL319">
        <v>11.6</v>
      </c>
      <c r="AM319">
        <v>11.7</v>
      </c>
      <c r="AN319">
        <v>1.8</v>
      </c>
      <c r="AO319">
        <v>1.1000000000000001</v>
      </c>
      <c r="AP319">
        <v>8.1</v>
      </c>
      <c r="AQ319">
        <v>13.7</v>
      </c>
      <c r="AR319">
        <v>2</v>
      </c>
      <c r="AS319">
        <v>1.3</v>
      </c>
      <c r="AT319">
        <v>3.3</v>
      </c>
      <c r="AU319">
        <v>0.13300000000000001</v>
      </c>
      <c r="AV319">
        <v>0.1</v>
      </c>
      <c r="AW319">
        <v>0.4</v>
      </c>
      <c r="AX319">
        <v>0.5</v>
      </c>
      <c r="AY319">
        <v>0.8</v>
      </c>
      <c r="AZ319" s="8">
        <f t="shared" si="8"/>
        <v>1.9</v>
      </c>
      <c r="BA319" s="8">
        <f t="shared" si="9"/>
        <v>0.95</v>
      </c>
    </row>
    <row r="320" spans="1:53" hidden="1" x14ac:dyDescent="0.25">
      <c r="A320" t="s">
        <v>403</v>
      </c>
      <c r="B320" s="2">
        <v>2000000</v>
      </c>
      <c r="C320" t="s">
        <v>65</v>
      </c>
      <c r="D320">
        <v>20</v>
      </c>
      <c r="E320" t="s">
        <v>152</v>
      </c>
      <c r="F320">
        <v>51</v>
      </c>
      <c r="G320">
        <v>4</v>
      </c>
      <c r="H320">
        <v>15.9</v>
      </c>
      <c r="I320">
        <v>1.3</v>
      </c>
      <c r="J320">
        <v>3.6</v>
      </c>
      <c r="K320">
        <v>0.36299999999999999</v>
      </c>
      <c r="L320">
        <v>0.9</v>
      </c>
      <c r="M320">
        <v>2.7</v>
      </c>
      <c r="N320">
        <v>0.33800000000000002</v>
      </c>
      <c r="O320">
        <v>0.4</v>
      </c>
      <c r="P320">
        <v>0.9</v>
      </c>
      <c r="Q320">
        <v>0.435</v>
      </c>
      <c r="R320">
        <v>0.48899999999999999</v>
      </c>
      <c r="S320">
        <v>0.3</v>
      </c>
      <c r="T320">
        <v>0.4</v>
      </c>
      <c r="U320">
        <v>0.83299999999999996</v>
      </c>
      <c r="V320">
        <v>0.7</v>
      </c>
      <c r="W320">
        <v>1.3</v>
      </c>
      <c r="X320">
        <v>1.9</v>
      </c>
      <c r="Y320">
        <v>0.6</v>
      </c>
      <c r="Z320">
        <v>0.2</v>
      </c>
      <c r="AA320">
        <v>0.1</v>
      </c>
      <c r="AB320">
        <v>0.4</v>
      </c>
      <c r="AC320">
        <v>1.2</v>
      </c>
      <c r="AD320">
        <v>3.8</v>
      </c>
      <c r="AE320">
        <v>812</v>
      </c>
      <c r="AF320">
        <v>6.2</v>
      </c>
      <c r="AG320">
        <v>0.50800000000000001</v>
      </c>
      <c r="AH320">
        <v>0.747</v>
      </c>
      <c r="AI320">
        <v>9.9000000000000005E-2</v>
      </c>
      <c r="AJ320">
        <v>4.7</v>
      </c>
      <c r="AK320">
        <v>9.1</v>
      </c>
      <c r="AL320">
        <v>6.9</v>
      </c>
      <c r="AM320">
        <v>4.9000000000000004</v>
      </c>
      <c r="AN320">
        <v>0.7</v>
      </c>
      <c r="AO320">
        <v>0.8</v>
      </c>
      <c r="AP320">
        <v>8.6999999999999993</v>
      </c>
      <c r="AQ320">
        <v>11</v>
      </c>
      <c r="AR320">
        <v>0.1</v>
      </c>
      <c r="AS320">
        <v>0.5</v>
      </c>
      <c r="AT320">
        <v>0.7</v>
      </c>
      <c r="AU320">
        <v>3.9E-2</v>
      </c>
      <c r="AV320">
        <v>-3.1</v>
      </c>
      <c r="AW320">
        <v>-0.9</v>
      </c>
      <c r="AX320">
        <v>-4</v>
      </c>
      <c r="AY320">
        <v>-0.4</v>
      </c>
      <c r="AZ320">
        <f t="shared" si="8"/>
        <v>-1.65</v>
      </c>
      <c r="BA320">
        <f t="shared" si="9"/>
        <v>-0.82499999999999996</v>
      </c>
    </row>
    <row r="321" spans="1:53" x14ac:dyDescent="0.25">
      <c r="A321" t="s">
        <v>404</v>
      </c>
      <c r="B321" s="2">
        <v>1997718</v>
      </c>
      <c r="C321" t="s">
        <v>62</v>
      </c>
      <c r="D321">
        <v>26</v>
      </c>
      <c r="E321" t="s">
        <v>82</v>
      </c>
      <c r="F321">
        <v>76</v>
      </c>
      <c r="G321">
        <v>11</v>
      </c>
      <c r="H321">
        <v>20.6</v>
      </c>
      <c r="I321">
        <v>3.2</v>
      </c>
      <c r="J321">
        <v>6.6</v>
      </c>
      <c r="K321">
        <v>0.47899999999999998</v>
      </c>
      <c r="L321">
        <v>0.7</v>
      </c>
      <c r="M321">
        <v>1.9</v>
      </c>
      <c r="N321">
        <v>0.378</v>
      </c>
      <c r="O321">
        <v>2.4</v>
      </c>
      <c r="P321">
        <v>4.7</v>
      </c>
      <c r="Q321">
        <v>0.52100000000000002</v>
      </c>
      <c r="R321">
        <v>0.53500000000000003</v>
      </c>
      <c r="S321">
        <v>1.3</v>
      </c>
      <c r="T321">
        <v>1.5</v>
      </c>
      <c r="U321">
        <v>0.85299999999999998</v>
      </c>
      <c r="V321">
        <v>0.5</v>
      </c>
      <c r="W321">
        <v>2</v>
      </c>
      <c r="X321">
        <v>2.5</v>
      </c>
      <c r="Y321">
        <v>3.2</v>
      </c>
      <c r="Z321">
        <v>0.3</v>
      </c>
      <c r="AA321">
        <v>0.2</v>
      </c>
      <c r="AB321">
        <v>1.2</v>
      </c>
      <c r="AC321">
        <v>1.6</v>
      </c>
      <c r="AD321">
        <v>8.4</v>
      </c>
      <c r="AE321">
        <v>1567</v>
      </c>
      <c r="AF321">
        <v>12.7</v>
      </c>
      <c r="AG321">
        <v>0.57499999999999996</v>
      </c>
      <c r="AH321">
        <v>0.29399999999999998</v>
      </c>
      <c r="AI321">
        <v>0.23100000000000001</v>
      </c>
      <c r="AJ321">
        <v>3</v>
      </c>
      <c r="AK321">
        <v>11.3</v>
      </c>
      <c r="AL321">
        <v>7.2</v>
      </c>
      <c r="AM321">
        <v>22.3</v>
      </c>
      <c r="AN321">
        <v>0.8</v>
      </c>
      <c r="AO321">
        <v>0.8</v>
      </c>
      <c r="AP321">
        <v>14.5</v>
      </c>
      <c r="AQ321">
        <v>18.5</v>
      </c>
      <c r="AR321">
        <v>1.6</v>
      </c>
      <c r="AS321">
        <v>1.2</v>
      </c>
      <c r="AT321">
        <v>2.9</v>
      </c>
      <c r="AU321">
        <v>8.6999999999999994E-2</v>
      </c>
      <c r="AV321">
        <v>-1</v>
      </c>
      <c r="AW321">
        <v>-0.9</v>
      </c>
      <c r="AX321">
        <v>-2</v>
      </c>
      <c r="AY321">
        <v>0</v>
      </c>
      <c r="AZ321" s="8">
        <f t="shared" si="8"/>
        <v>0.44999999999999996</v>
      </c>
      <c r="BA321" s="8">
        <f t="shared" si="9"/>
        <v>0.22525701825783215</v>
      </c>
    </row>
    <row r="322" spans="1:53" hidden="1" x14ac:dyDescent="0.25">
      <c r="A322" t="s">
        <v>405</v>
      </c>
      <c r="B322" s="2">
        <v>1968175</v>
      </c>
      <c r="C322" t="s">
        <v>52</v>
      </c>
      <c r="D322">
        <v>26</v>
      </c>
      <c r="E322" t="s">
        <v>85</v>
      </c>
      <c r="F322">
        <v>63</v>
      </c>
      <c r="G322">
        <v>6</v>
      </c>
      <c r="H322">
        <v>13.4</v>
      </c>
      <c r="I322">
        <v>1.5</v>
      </c>
      <c r="J322">
        <v>3.5</v>
      </c>
      <c r="K322">
        <v>0.41799999999999998</v>
      </c>
      <c r="L322">
        <v>0.6</v>
      </c>
      <c r="M322">
        <v>1.4</v>
      </c>
      <c r="N322">
        <v>0.40899999999999997</v>
      </c>
      <c r="O322">
        <v>0.9</v>
      </c>
      <c r="P322">
        <v>2.1</v>
      </c>
      <c r="Q322">
        <v>0.42399999999999999</v>
      </c>
      <c r="R322">
        <v>0.5</v>
      </c>
      <c r="S322">
        <v>0.4</v>
      </c>
      <c r="T322">
        <v>0.5</v>
      </c>
      <c r="U322">
        <v>0.84399999999999997</v>
      </c>
      <c r="V322">
        <v>0.4</v>
      </c>
      <c r="W322">
        <v>0.8</v>
      </c>
      <c r="X322">
        <v>1.2</v>
      </c>
      <c r="Y322">
        <v>1.4</v>
      </c>
      <c r="Z322">
        <v>0.6</v>
      </c>
      <c r="AA322">
        <v>0.2</v>
      </c>
      <c r="AB322">
        <v>0.6</v>
      </c>
      <c r="AC322">
        <v>1.3</v>
      </c>
      <c r="AD322">
        <v>3.9</v>
      </c>
      <c r="AE322">
        <v>845</v>
      </c>
      <c r="AF322">
        <v>9.4</v>
      </c>
      <c r="AG322">
        <v>0.52800000000000002</v>
      </c>
      <c r="AH322">
        <v>0.4</v>
      </c>
      <c r="AI322">
        <v>0.14499999999999999</v>
      </c>
      <c r="AJ322">
        <v>3.2</v>
      </c>
      <c r="AK322">
        <v>6.4</v>
      </c>
      <c r="AL322">
        <v>4.8</v>
      </c>
      <c r="AM322">
        <v>13</v>
      </c>
      <c r="AN322">
        <v>2.1</v>
      </c>
      <c r="AO322">
        <v>1.2</v>
      </c>
      <c r="AP322">
        <v>13.3</v>
      </c>
      <c r="AQ322">
        <v>13.4</v>
      </c>
      <c r="AR322">
        <v>0.3</v>
      </c>
      <c r="AS322">
        <v>0.6</v>
      </c>
      <c r="AT322">
        <v>0.9</v>
      </c>
      <c r="AU322">
        <v>5.2999999999999999E-2</v>
      </c>
      <c r="AV322">
        <v>-2.9</v>
      </c>
      <c r="AW322">
        <v>0.9</v>
      </c>
      <c r="AX322">
        <v>-2</v>
      </c>
      <c r="AY322">
        <v>0</v>
      </c>
      <c r="AZ322">
        <f t="shared" si="8"/>
        <v>-0.55000000000000004</v>
      </c>
      <c r="BA322">
        <f t="shared" si="9"/>
        <v>-0.2794466955428252</v>
      </c>
    </row>
    <row r="323" spans="1:53" hidden="1" x14ac:dyDescent="0.25">
      <c r="A323" t="s">
        <v>406</v>
      </c>
      <c r="B323" s="2">
        <v>1968175</v>
      </c>
      <c r="C323" t="s">
        <v>65</v>
      </c>
      <c r="D323">
        <v>28</v>
      </c>
      <c r="E323" t="s">
        <v>89</v>
      </c>
      <c r="F323">
        <v>58</v>
      </c>
      <c r="G323">
        <v>1</v>
      </c>
      <c r="H323">
        <v>16</v>
      </c>
      <c r="I323">
        <v>2</v>
      </c>
      <c r="J323">
        <v>4</v>
      </c>
      <c r="K323">
        <v>0.49099999999999999</v>
      </c>
      <c r="L323">
        <v>1</v>
      </c>
      <c r="M323">
        <v>2.2999999999999998</v>
      </c>
      <c r="N323">
        <v>0.44400000000000001</v>
      </c>
      <c r="O323">
        <v>0.9</v>
      </c>
      <c r="P323">
        <v>1.7</v>
      </c>
      <c r="Q323">
        <v>0.55700000000000005</v>
      </c>
      <c r="R323">
        <v>0.621</v>
      </c>
      <c r="S323">
        <v>0.6</v>
      </c>
      <c r="T323">
        <v>0.8</v>
      </c>
      <c r="U323">
        <v>0.72299999999999998</v>
      </c>
      <c r="V323">
        <v>0.5</v>
      </c>
      <c r="W323">
        <v>1.9</v>
      </c>
      <c r="X323">
        <v>2.4</v>
      </c>
      <c r="Y323">
        <v>0.8</v>
      </c>
      <c r="Z323">
        <v>0.4</v>
      </c>
      <c r="AA323">
        <v>0.3</v>
      </c>
      <c r="AB323">
        <v>0.4</v>
      </c>
      <c r="AC323">
        <v>1.4</v>
      </c>
      <c r="AD323">
        <v>5.6</v>
      </c>
      <c r="AE323">
        <v>928</v>
      </c>
      <c r="AF323">
        <v>12.1</v>
      </c>
      <c r="AG323">
        <v>0.63700000000000001</v>
      </c>
      <c r="AH323">
        <v>0.58199999999999996</v>
      </c>
      <c r="AI323">
        <v>0.20300000000000001</v>
      </c>
      <c r="AJ323">
        <v>3.7</v>
      </c>
      <c r="AK323">
        <v>13.1</v>
      </c>
      <c r="AL323">
        <v>8.5</v>
      </c>
      <c r="AM323">
        <v>7</v>
      </c>
      <c r="AN323">
        <v>1.3</v>
      </c>
      <c r="AO323">
        <v>1.6</v>
      </c>
      <c r="AP323">
        <v>8</v>
      </c>
      <c r="AQ323">
        <v>13.1</v>
      </c>
      <c r="AR323">
        <v>1.3</v>
      </c>
      <c r="AS323">
        <v>0.9</v>
      </c>
      <c r="AT323">
        <v>2.1</v>
      </c>
      <c r="AU323">
        <v>0.111</v>
      </c>
      <c r="AV323">
        <v>-0.4</v>
      </c>
      <c r="AW323">
        <v>-0.2</v>
      </c>
      <c r="AX323">
        <v>-0.6</v>
      </c>
      <c r="AY323">
        <v>0.3</v>
      </c>
      <c r="AZ323">
        <f t="shared" ref="AZ323:AZ386" si="10">0.5*AX323 + 0.5*AT323</f>
        <v>0.75</v>
      </c>
      <c r="BA323">
        <f t="shared" ref="BA323:BA386" si="11">IF(B323&gt;0, AZ323*1000000/B323, 0)</f>
        <v>0.38106367574021621</v>
      </c>
    </row>
    <row r="324" spans="1:53" hidden="1" x14ac:dyDescent="0.25">
      <c r="A324" t="s">
        <v>407</v>
      </c>
      <c r="B324" s="2">
        <v>1968175</v>
      </c>
      <c r="C324" t="s">
        <v>62</v>
      </c>
      <c r="D324">
        <v>27</v>
      </c>
      <c r="E324" t="s">
        <v>89</v>
      </c>
      <c r="F324">
        <v>53</v>
      </c>
      <c r="G324">
        <v>12</v>
      </c>
      <c r="H324">
        <v>13.9</v>
      </c>
      <c r="I324">
        <v>2.2999999999999998</v>
      </c>
      <c r="J324">
        <v>5.0999999999999996</v>
      </c>
      <c r="K324">
        <v>0.46100000000000002</v>
      </c>
      <c r="L324">
        <v>0.6</v>
      </c>
      <c r="M324">
        <v>1.6</v>
      </c>
      <c r="N324">
        <v>0.35599999999999998</v>
      </c>
      <c r="O324">
        <v>1.8</v>
      </c>
      <c r="P324">
        <v>3.4</v>
      </c>
      <c r="Q324">
        <v>0.51100000000000001</v>
      </c>
      <c r="R324">
        <v>0.51900000000000002</v>
      </c>
      <c r="S324">
        <v>1.9</v>
      </c>
      <c r="T324">
        <v>2</v>
      </c>
      <c r="U324">
        <v>0.91700000000000004</v>
      </c>
      <c r="V324">
        <v>0.2</v>
      </c>
      <c r="W324">
        <v>1.2</v>
      </c>
      <c r="X324">
        <v>1.5</v>
      </c>
      <c r="Y324">
        <v>1.3</v>
      </c>
      <c r="Z324">
        <v>0.6</v>
      </c>
      <c r="AA324">
        <v>0.2</v>
      </c>
      <c r="AB324">
        <v>0.9</v>
      </c>
      <c r="AC324">
        <v>1.6</v>
      </c>
      <c r="AD324">
        <v>7.1</v>
      </c>
      <c r="AE324">
        <v>736</v>
      </c>
      <c r="AF324">
        <v>14</v>
      </c>
      <c r="AG324">
        <v>0.59699999999999998</v>
      </c>
      <c r="AH324">
        <v>0.32300000000000001</v>
      </c>
      <c r="AI324">
        <v>0.40100000000000002</v>
      </c>
      <c r="AJ324">
        <v>2</v>
      </c>
      <c r="AK324">
        <v>9.9</v>
      </c>
      <c r="AL324">
        <v>6</v>
      </c>
      <c r="AM324">
        <v>13.3</v>
      </c>
      <c r="AN324">
        <v>2.1</v>
      </c>
      <c r="AO324">
        <v>1.2</v>
      </c>
      <c r="AP324">
        <v>13.6</v>
      </c>
      <c r="AQ324">
        <v>22.1</v>
      </c>
      <c r="AR324">
        <v>0.6</v>
      </c>
      <c r="AS324">
        <v>0.7</v>
      </c>
      <c r="AT324">
        <v>1.3</v>
      </c>
      <c r="AU324">
        <v>8.5999999999999993E-2</v>
      </c>
      <c r="AV324">
        <v>-2.4</v>
      </c>
      <c r="AW324">
        <v>-0.2</v>
      </c>
      <c r="AX324">
        <v>-2.6</v>
      </c>
      <c r="AY324">
        <v>-0.1</v>
      </c>
      <c r="AZ324">
        <f t="shared" si="10"/>
        <v>-0.65</v>
      </c>
      <c r="BA324">
        <f t="shared" si="11"/>
        <v>-0.33025518564152068</v>
      </c>
    </row>
    <row r="325" spans="1:53" hidden="1" x14ac:dyDescent="0.25">
      <c r="A325" t="s">
        <v>408</v>
      </c>
      <c r="B325" s="2">
        <v>1968175</v>
      </c>
      <c r="C325" t="s">
        <v>62</v>
      </c>
      <c r="D325">
        <v>27</v>
      </c>
      <c r="E325" t="s">
        <v>73</v>
      </c>
      <c r="F325">
        <v>40</v>
      </c>
      <c r="G325">
        <v>1</v>
      </c>
      <c r="H325">
        <v>8.1</v>
      </c>
      <c r="I325">
        <v>0.8</v>
      </c>
      <c r="J325">
        <v>2.2000000000000002</v>
      </c>
      <c r="K325">
        <v>0.35599999999999998</v>
      </c>
      <c r="L325">
        <v>0.6</v>
      </c>
      <c r="M325">
        <v>1.6</v>
      </c>
      <c r="N325">
        <v>0.35499999999999998</v>
      </c>
      <c r="O325">
        <v>0.2</v>
      </c>
      <c r="P325">
        <v>0.6</v>
      </c>
      <c r="Q325">
        <v>0.36</v>
      </c>
      <c r="R325">
        <v>0.48299999999999998</v>
      </c>
      <c r="S325">
        <v>0.3</v>
      </c>
      <c r="T325">
        <v>0.3</v>
      </c>
      <c r="U325">
        <v>0.84599999999999997</v>
      </c>
      <c r="V325">
        <v>0.3</v>
      </c>
      <c r="W325">
        <v>1.3</v>
      </c>
      <c r="X325">
        <v>1.6</v>
      </c>
      <c r="Y325">
        <v>1.2</v>
      </c>
      <c r="Z325">
        <v>0.2</v>
      </c>
      <c r="AA325">
        <v>0</v>
      </c>
      <c r="AB325">
        <v>0.3</v>
      </c>
      <c r="AC325">
        <v>0.9</v>
      </c>
      <c r="AD325">
        <v>2.4</v>
      </c>
      <c r="AE325">
        <v>323</v>
      </c>
      <c r="AF325">
        <v>10.1</v>
      </c>
      <c r="AG325">
        <v>0.51200000000000001</v>
      </c>
      <c r="AH325">
        <v>0.71299999999999997</v>
      </c>
      <c r="AI325">
        <v>0.14899999999999999</v>
      </c>
      <c r="AJ325">
        <v>3.6</v>
      </c>
      <c r="AK325">
        <v>19.3</v>
      </c>
      <c r="AL325">
        <v>11.4</v>
      </c>
      <c r="AM325">
        <v>19.600000000000001</v>
      </c>
      <c r="AN325">
        <v>0.9</v>
      </c>
      <c r="AO325">
        <v>0.3</v>
      </c>
      <c r="AP325">
        <v>11.5</v>
      </c>
      <c r="AQ325">
        <v>14.7</v>
      </c>
      <c r="AR325">
        <v>0.2</v>
      </c>
      <c r="AS325">
        <v>0.2</v>
      </c>
      <c r="AT325">
        <v>0.5</v>
      </c>
      <c r="AU325">
        <v>7.0999999999999994E-2</v>
      </c>
      <c r="AV325">
        <v>-2.5</v>
      </c>
      <c r="AW325">
        <v>-0.9</v>
      </c>
      <c r="AX325">
        <v>-3.4</v>
      </c>
      <c r="AY325">
        <v>-0.1</v>
      </c>
      <c r="AZ325">
        <f t="shared" si="10"/>
        <v>-1.45</v>
      </c>
      <c r="BA325">
        <f t="shared" si="11"/>
        <v>-0.73672310643108463</v>
      </c>
    </row>
    <row r="326" spans="1:53" x14ac:dyDescent="0.25">
      <c r="A326" t="s">
        <v>409</v>
      </c>
      <c r="B326" s="2">
        <v>1968175</v>
      </c>
      <c r="C326" t="s">
        <v>75</v>
      </c>
      <c r="D326">
        <v>25</v>
      </c>
      <c r="E326" t="s">
        <v>58</v>
      </c>
      <c r="F326">
        <v>59</v>
      </c>
      <c r="G326">
        <v>26</v>
      </c>
      <c r="H326">
        <v>18.3</v>
      </c>
      <c r="I326">
        <v>3.9</v>
      </c>
      <c r="J326">
        <v>6.3</v>
      </c>
      <c r="K326">
        <v>0.623</v>
      </c>
      <c r="L326">
        <v>0.4</v>
      </c>
      <c r="M326">
        <v>1</v>
      </c>
      <c r="N326">
        <v>0.441</v>
      </c>
      <c r="O326">
        <v>3.5</v>
      </c>
      <c r="P326">
        <v>5.3</v>
      </c>
      <c r="Q326">
        <v>0.65800000000000003</v>
      </c>
      <c r="R326">
        <v>0.65900000000000003</v>
      </c>
      <c r="S326">
        <v>1.6</v>
      </c>
      <c r="T326">
        <v>2.1</v>
      </c>
      <c r="U326">
        <v>0.73799999999999999</v>
      </c>
      <c r="V326">
        <v>1.5</v>
      </c>
      <c r="W326">
        <v>4.3</v>
      </c>
      <c r="X326">
        <v>5.7</v>
      </c>
      <c r="Y326">
        <v>0.5</v>
      </c>
      <c r="Z326">
        <v>0.3</v>
      </c>
      <c r="AA326">
        <v>0.5</v>
      </c>
      <c r="AB326">
        <v>0.6</v>
      </c>
      <c r="AC326">
        <v>1.7</v>
      </c>
      <c r="AD326">
        <v>9.8000000000000007</v>
      </c>
      <c r="AE326">
        <v>1081</v>
      </c>
      <c r="AF326">
        <v>19.7</v>
      </c>
      <c r="AG326">
        <v>0.68200000000000005</v>
      </c>
      <c r="AH326">
        <v>0.16</v>
      </c>
      <c r="AI326">
        <v>0.34100000000000003</v>
      </c>
      <c r="AJ326">
        <v>8.9</v>
      </c>
      <c r="AK326">
        <v>24.6</v>
      </c>
      <c r="AL326">
        <v>17</v>
      </c>
      <c r="AM326">
        <v>4.3</v>
      </c>
      <c r="AN326">
        <v>0.7</v>
      </c>
      <c r="AO326">
        <v>2.4</v>
      </c>
      <c r="AP326">
        <v>8.1999999999999993</v>
      </c>
      <c r="AQ326">
        <v>18.2</v>
      </c>
      <c r="AR326">
        <v>2.7</v>
      </c>
      <c r="AS326">
        <v>1.4</v>
      </c>
      <c r="AT326">
        <v>4.0999999999999996</v>
      </c>
      <c r="AU326">
        <v>0.183</v>
      </c>
      <c r="AV326">
        <v>1.1000000000000001</v>
      </c>
      <c r="AW326">
        <v>-0.5</v>
      </c>
      <c r="AX326">
        <v>0.6</v>
      </c>
      <c r="AY326">
        <v>0.7</v>
      </c>
      <c r="AZ326" s="8">
        <f t="shared" si="10"/>
        <v>2.3499999999999996</v>
      </c>
      <c r="BA326" s="8">
        <f t="shared" si="11"/>
        <v>1.1939995173193438</v>
      </c>
    </row>
    <row r="327" spans="1:53" x14ac:dyDescent="0.25">
      <c r="A327" t="s">
        <v>410</v>
      </c>
      <c r="B327" s="2">
        <v>1968175</v>
      </c>
      <c r="C327" t="s">
        <v>62</v>
      </c>
      <c r="D327">
        <v>24</v>
      </c>
      <c r="E327" t="s">
        <v>60</v>
      </c>
      <c r="F327">
        <v>72</v>
      </c>
      <c r="G327">
        <v>26</v>
      </c>
      <c r="H327">
        <v>18.8</v>
      </c>
      <c r="I327">
        <v>2.2999999999999998</v>
      </c>
      <c r="J327">
        <v>5.8</v>
      </c>
      <c r="K327">
        <v>0.39100000000000001</v>
      </c>
      <c r="L327">
        <v>0.9</v>
      </c>
      <c r="M327">
        <v>2.7</v>
      </c>
      <c r="N327">
        <v>0.33500000000000002</v>
      </c>
      <c r="O327">
        <v>1.3</v>
      </c>
      <c r="P327">
        <v>3</v>
      </c>
      <c r="Q327">
        <v>0.442</v>
      </c>
      <c r="R327">
        <v>0.47099999999999997</v>
      </c>
      <c r="S327">
        <v>1.9</v>
      </c>
      <c r="T327">
        <v>2.7</v>
      </c>
      <c r="U327">
        <v>0.72399999999999998</v>
      </c>
      <c r="V327">
        <v>1.5</v>
      </c>
      <c r="W327">
        <v>2</v>
      </c>
      <c r="X327">
        <v>3.5</v>
      </c>
      <c r="Y327">
        <v>1.5</v>
      </c>
      <c r="Z327">
        <v>0.8</v>
      </c>
      <c r="AA327">
        <v>0.5</v>
      </c>
      <c r="AB327">
        <v>0.9</v>
      </c>
      <c r="AC327">
        <v>1.6</v>
      </c>
      <c r="AD327">
        <v>7.3</v>
      </c>
      <c r="AE327">
        <v>1350</v>
      </c>
      <c r="AF327">
        <v>13.3</v>
      </c>
      <c r="AG327">
        <v>0.53100000000000003</v>
      </c>
      <c r="AH327">
        <v>0.47599999999999998</v>
      </c>
      <c r="AI327">
        <v>0.46400000000000002</v>
      </c>
      <c r="AJ327">
        <v>8.8000000000000007</v>
      </c>
      <c r="AK327">
        <v>11.9</v>
      </c>
      <c r="AL327">
        <v>10.3</v>
      </c>
      <c r="AM327">
        <v>10.3</v>
      </c>
      <c r="AN327">
        <v>2</v>
      </c>
      <c r="AO327">
        <v>2.2999999999999998</v>
      </c>
      <c r="AP327">
        <v>11.2</v>
      </c>
      <c r="AQ327">
        <v>17.7</v>
      </c>
      <c r="AR327">
        <v>1.1000000000000001</v>
      </c>
      <c r="AS327">
        <v>1.7</v>
      </c>
      <c r="AT327">
        <v>2.8</v>
      </c>
      <c r="AU327">
        <v>0.10100000000000001</v>
      </c>
      <c r="AV327">
        <v>-0.8</v>
      </c>
      <c r="AW327">
        <v>0.5</v>
      </c>
      <c r="AX327">
        <v>-0.2</v>
      </c>
      <c r="AY327">
        <v>0.6</v>
      </c>
      <c r="AZ327" s="8">
        <f t="shared" si="10"/>
        <v>1.2999999999999998</v>
      </c>
      <c r="BA327" s="8">
        <f t="shared" si="11"/>
        <v>0.66051037128304124</v>
      </c>
    </row>
    <row r="328" spans="1:53" x14ac:dyDescent="0.25">
      <c r="A328" t="s">
        <v>411</v>
      </c>
      <c r="B328" s="2">
        <v>1968175</v>
      </c>
      <c r="C328" t="s">
        <v>75</v>
      </c>
      <c r="D328">
        <v>25</v>
      </c>
      <c r="E328" t="s">
        <v>70</v>
      </c>
      <c r="F328">
        <v>78</v>
      </c>
      <c r="G328">
        <v>28</v>
      </c>
      <c r="H328">
        <v>20.3</v>
      </c>
      <c r="I328">
        <v>2.7</v>
      </c>
      <c r="J328">
        <v>4.3</v>
      </c>
      <c r="K328">
        <v>0.64100000000000001</v>
      </c>
      <c r="L328">
        <v>0.1</v>
      </c>
      <c r="M328">
        <v>0.2</v>
      </c>
      <c r="N328">
        <v>0.38900000000000001</v>
      </c>
      <c r="O328">
        <v>2.7</v>
      </c>
      <c r="P328">
        <v>4.0999999999999996</v>
      </c>
      <c r="Q328">
        <v>0.65500000000000003</v>
      </c>
      <c r="R328">
        <v>0.65100000000000002</v>
      </c>
      <c r="S328">
        <v>1.1000000000000001</v>
      </c>
      <c r="T328">
        <v>1.6</v>
      </c>
      <c r="U328">
        <v>0.66400000000000003</v>
      </c>
      <c r="V328">
        <v>1.7</v>
      </c>
      <c r="W328">
        <v>3.7</v>
      </c>
      <c r="X328">
        <v>5.4</v>
      </c>
      <c r="Y328">
        <v>1.3</v>
      </c>
      <c r="Z328">
        <v>0.5</v>
      </c>
      <c r="AA328">
        <v>1.3</v>
      </c>
      <c r="AB328">
        <v>0.9</v>
      </c>
      <c r="AC328">
        <v>2.2000000000000002</v>
      </c>
      <c r="AD328">
        <v>6.6</v>
      </c>
      <c r="AE328">
        <v>1584</v>
      </c>
      <c r="AF328">
        <v>16.2</v>
      </c>
      <c r="AG328">
        <v>0.66600000000000004</v>
      </c>
      <c r="AH328">
        <v>5.3999999999999999E-2</v>
      </c>
      <c r="AI328">
        <v>0.374</v>
      </c>
      <c r="AJ328">
        <v>9.5</v>
      </c>
      <c r="AK328">
        <v>20.9</v>
      </c>
      <c r="AL328">
        <v>15.2</v>
      </c>
      <c r="AM328">
        <v>9.1999999999999993</v>
      </c>
      <c r="AN328">
        <v>1.2</v>
      </c>
      <c r="AO328">
        <v>5.7</v>
      </c>
      <c r="AP328">
        <v>14.7</v>
      </c>
      <c r="AQ328">
        <v>12.5</v>
      </c>
      <c r="AR328">
        <v>2.9</v>
      </c>
      <c r="AS328">
        <v>1.6</v>
      </c>
      <c r="AT328">
        <v>4.4000000000000004</v>
      </c>
      <c r="AU328">
        <v>0.13400000000000001</v>
      </c>
      <c r="AV328">
        <v>-0.9</v>
      </c>
      <c r="AW328">
        <v>0.9</v>
      </c>
      <c r="AX328">
        <v>0.1</v>
      </c>
      <c r="AY328">
        <v>0.8</v>
      </c>
      <c r="AZ328" s="8">
        <f t="shared" si="10"/>
        <v>2.25</v>
      </c>
      <c r="BA328" s="8">
        <f t="shared" si="11"/>
        <v>1.1431910272206485</v>
      </c>
    </row>
    <row r="329" spans="1:53" hidden="1" x14ac:dyDescent="0.25">
      <c r="A329" t="s">
        <v>412</v>
      </c>
      <c r="B329" s="2">
        <v>1930681</v>
      </c>
      <c r="C329" t="s">
        <v>28</v>
      </c>
      <c r="D329">
        <v>26</v>
      </c>
      <c r="E329" t="s">
        <v>107</v>
      </c>
      <c r="F329">
        <v>44</v>
      </c>
      <c r="G329">
        <v>13</v>
      </c>
      <c r="H329">
        <v>20.3</v>
      </c>
      <c r="I329">
        <v>1.7</v>
      </c>
      <c r="J329">
        <v>4</v>
      </c>
      <c r="K329">
        <v>0.41199999999999998</v>
      </c>
      <c r="L329">
        <v>1</v>
      </c>
      <c r="M329">
        <v>2.9</v>
      </c>
      <c r="N329">
        <v>0.35399999999999998</v>
      </c>
      <c r="O329">
        <v>0.6</v>
      </c>
      <c r="P329">
        <v>1.1000000000000001</v>
      </c>
      <c r="Q329">
        <v>0.56000000000000005</v>
      </c>
      <c r="R329">
        <v>0.54</v>
      </c>
      <c r="S329">
        <v>0.3</v>
      </c>
      <c r="T329">
        <v>0.5</v>
      </c>
      <c r="U329">
        <v>0.65200000000000002</v>
      </c>
      <c r="V329">
        <v>0.5</v>
      </c>
      <c r="W329">
        <v>3</v>
      </c>
      <c r="X329">
        <v>3.4</v>
      </c>
      <c r="Y329">
        <v>0.8</v>
      </c>
      <c r="Z329">
        <v>0.6</v>
      </c>
      <c r="AA329">
        <v>0.5</v>
      </c>
      <c r="AB329">
        <v>0.4</v>
      </c>
      <c r="AC329">
        <v>2</v>
      </c>
      <c r="AD329">
        <v>4.7</v>
      </c>
      <c r="AE329">
        <v>891</v>
      </c>
      <c r="AF329">
        <v>8.5</v>
      </c>
      <c r="AG329">
        <v>0.55000000000000004</v>
      </c>
      <c r="AH329">
        <v>0.71799999999999997</v>
      </c>
      <c r="AI329">
        <v>0.13</v>
      </c>
      <c r="AJ329">
        <v>2.6</v>
      </c>
      <c r="AK329">
        <v>17.2</v>
      </c>
      <c r="AL329">
        <v>9.9</v>
      </c>
      <c r="AM329">
        <v>5.4</v>
      </c>
      <c r="AN329">
        <v>1.6</v>
      </c>
      <c r="AO329">
        <v>2.2000000000000002</v>
      </c>
      <c r="AP329">
        <v>8.3000000000000007</v>
      </c>
      <c r="AQ329">
        <v>10.199999999999999</v>
      </c>
      <c r="AR329">
        <v>0.4</v>
      </c>
      <c r="AS329">
        <v>1.4</v>
      </c>
      <c r="AT329">
        <v>1.8</v>
      </c>
      <c r="AU329">
        <v>9.7000000000000003E-2</v>
      </c>
      <c r="AV329">
        <v>-2.9</v>
      </c>
      <c r="AW329">
        <v>2.1</v>
      </c>
      <c r="AX329">
        <v>-0.7</v>
      </c>
      <c r="AY329">
        <v>0.3</v>
      </c>
      <c r="AZ329">
        <f t="shared" si="10"/>
        <v>0.55000000000000004</v>
      </c>
      <c r="BA329">
        <f t="shared" si="11"/>
        <v>0.2848735756968655</v>
      </c>
    </row>
    <row r="330" spans="1:53" x14ac:dyDescent="0.25">
      <c r="A330" t="s">
        <v>413</v>
      </c>
      <c r="B330" s="2">
        <v>1930681</v>
      </c>
      <c r="C330" t="s">
        <v>62</v>
      </c>
      <c r="D330">
        <v>26</v>
      </c>
      <c r="E330" t="s">
        <v>55</v>
      </c>
      <c r="F330">
        <v>81</v>
      </c>
      <c r="G330">
        <v>36</v>
      </c>
      <c r="H330">
        <v>23.1</v>
      </c>
      <c r="I330">
        <v>3.4</v>
      </c>
      <c r="J330">
        <v>6.5</v>
      </c>
      <c r="K330">
        <v>0.51900000000000002</v>
      </c>
      <c r="L330">
        <v>1</v>
      </c>
      <c r="M330">
        <v>2.4</v>
      </c>
      <c r="N330">
        <v>0.38900000000000001</v>
      </c>
      <c r="O330">
        <v>2.4</v>
      </c>
      <c r="P330">
        <v>4</v>
      </c>
      <c r="Q330">
        <v>0.59799999999999998</v>
      </c>
      <c r="R330">
        <v>0.59299999999999997</v>
      </c>
      <c r="S330">
        <v>1.1000000000000001</v>
      </c>
      <c r="T330">
        <v>1.5</v>
      </c>
      <c r="U330">
        <v>0.78</v>
      </c>
      <c r="V330">
        <v>1</v>
      </c>
      <c r="W330">
        <v>2.5</v>
      </c>
      <c r="X330">
        <v>3.4</v>
      </c>
      <c r="Y330">
        <v>2.2999999999999998</v>
      </c>
      <c r="Z330">
        <v>0.5</v>
      </c>
      <c r="AA330">
        <v>0.3</v>
      </c>
      <c r="AB330">
        <v>1</v>
      </c>
      <c r="AC330">
        <v>1.8</v>
      </c>
      <c r="AD330">
        <v>8.8000000000000007</v>
      </c>
      <c r="AE330">
        <v>1872</v>
      </c>
      <c r="AF330">
        <v>13.4</v>
      </c>
      <c r="AG330">
        <v>0.61899999999999999</v>
      </c>
      <c r="AH330">
        <v>0.378</v>
      </c>
      <c r="AI330">
        <v>0.22500000000000001</v>
      </c>
      <c r="AJ330">
        <v>4.7</v>
      </c>
      <c r="AK330">
        <v>11.8</v>
      </c>
      <c r="AL330">
        <v>8.3000000000000007</v>
      </c>
      <c r="AM330">
        <v>14</v>
      </c>
      <c r="AN330">
        <v>1.1000000000000001</v>
      </c>
      <c r="AO330">
        <v>1</v>
      </c>
      <c r="AP330">
        <v>12.2</v>
      </c>
      <c r="AQ330">
        <v>15.3</v>
      </c>
      <c r="AR330">
        <v>2.8</v>
      </c>
      <c r="AS330">
        <v>1.5</v>
      </c>
      <c r="AT330">
        <v>4.3</v>
      </c>
      <c r="AU330">
        <v>0.111</v>
      </c>
      <c r="AV330">
        <v>-0.3</v>
      </c>
      <c r="AW330">
        <v>0.1</v>
      </c>
      <c r="AX330">
        <v>-0.2</v>
      </c>
      <c r="AY330">
        <v>0.8</v>
      </c>
      <c r="AZ330" s="8">
        <f t="shared" si="10"/>
        <v>2.0499999999999998</v>
      </c>
      <c r="BA330" s="8">
        <f t="shared" si="11"/>
        <v>1.0618015094155895</v>
      </c>
    </row>
    <row r="331" spans="1:53" hidden="1" x14ac:dyDescent="0.25">
      <c r="A331" t="s">
        <v>414</v>
      </c>
      <c r="B331" s="2">
        <v>1930681</v>
      </c>
      <c r="C331" t="s">
        <v>62</v>
      </c>
      <c r="D331">
        <v>23</v>
      </c>
      <c r="E331" t="s">
        <v>76</v>
      </c>
      <c r="F331">
        <v>65</v>
      </c>
      <c r="G331">
        <v>2</v>
      </c>
      <c r="H331">
        <v>19.3</v>
      </c>
      <c r="I331">
        <v>4.3</v>
      </c>
      <c r="J331">
        <v>9.6</v>
      </c>
      <c r="K331">
        <v>0.44800000000000001</v>
      </c>
      <c r="L331">
        <v>1</v>
      </c>
      <c r="M331">
        <v>3.6</v>
      </c>
      <c r="N331">
        <v>0.28899999999999998</v>
      </c>
      <c r="O331">
        <v>3.3</v>
      </c>
      <c r="P331">
        <v>6</v>
      </c>
      <c r="Q331">
        <v>0.54200000000000004</v>
      </c>
      <c r="R331">
        <v>0.502</v>
      </c>
      <c r="S331">
        <v>1.2</v>
      </c>
      <c r="T331">
        <v>1.5</v>
      </c>
      <c r="U331">
        <v>0.77800000000000002</v>
      </c>
      <c r="V331">
        <v>0.6</v>
      </c>
      <c r="W331">
        <v>2.1</v>
      </c>
      <c r="X331">
        <v>2.6</v>
      </c>
      <c r="Y331">
        <v>2</v>
      </c>
      <c r="Z331">
        <v>0.6</v>
      </c>
      <c r="AA331">
        <v>0.1</v>
      </c>
      <c r="AB331">
        <v>1</v>
      </c>
      <c r="AC331">
        <v>1.6</v>
      </c>
      <c r="AD331">
        <v>10.8</v>
      </c>
      <c r="AE331">
        <v>1252</v>
      </c>
      <c r="AF331">
        <v>13.7</v>
      </c>
      <c r="AG331">
        <v>0.52700000000000002</v>
      </c>
      <c r="AH331">
        <v>0.371</v>
      </c>
      <c r="AI331">
        <v>0.158</v>
      </c>
      <c r="AJ331">
        <v>3.3</v>
      </c>
      <c r="AK331">
        <v>11.7</v>
      </c>
      <c r="AL331">
        <v>7.6</v>
      </c>
      <c r="AM331">
        <v>15.9</v>
      </c>
      <c r="AN331">
        <v>1.6</v>
      </c>
      <c r="AO331">
        <v>0.3</v>
      </c>
      <c r="AP331">
        <v>8.9</v>
      </c>
      <c r="AQ331">
        <v>25</v>
      </c>
      <c r="AR331">
        <v>0</v>
      </c>
      <c r="AS331">
        <v>1.2</v>
      </c>
      <c r="AT331">
        <v>1.2</v>
      </c>
      <c r="AU331">
        <v>4.5999999999999999E-2</v>
      </c>
      <c r="AV331">
        <v>-1.5</v>
      </c>
      <c r="AW331">
        <v>-1</v>
      </c>
      <c r="AX331">
        <v>-2.5</v>
      </c>
      <c r="AY331">
        <v>-0.2</v>
      </c>
      <c r="AZ331">
        <f t="shared" si="10"/>
        <v>-0.65</v>
      </c>
      <c r="BA331">
        <f t="shared" si="11"/>
        <v>-0.33666877127811379</v>
      </c>
    </row>
    <row r="332" spans="1:53" x14ac:dyDescent="0.25">
      <c r="A332" t="s">
        <v>415</v>
      </c>
      <c r="B332" s="2">
        <v>1930681</v>
      </c>
      <c r="C332" t="s">
        <v>75</v>
      </c>
      <c r="D332">
        <v>23</v>
      </c>
      <c r="E332" t="s">
        <v>76</v>
      </c>
      <c r="F332">
        <v>68</v>
      </c>
      <c r="G332">
        <v>11</v>
      </c>
      <c r="H332">
        <v>18.399999999999999</v>
      </c>
      <c r="I332">
        <v>4.5999999999999996</v>
      </c>
      <c r="J332">
        <v>8.5</v>
      </c>
      <c r="K332">
        <v>0.53700000000000003</v>
      </c>
      <c r="L332">
        <v>1.1000000000000001</v>
      </c>
      <c r="M332">
        <v>3.2</v>
      </c>
      <c r="N332">
        <v>0.34599999999999997</v>
      </c>
      <c r="O332">
        <v>3.5</v>
      </c>
      <c r="P332">
        <v>5.3</v>
      </c>
      <c r="Q332">
        <v>0.65300000000000002</v>
      </c>
      <c r="R332">
        <v>0.60199999999999998</v>
      </c>
      <c r="S332">
        <v>1.3</v>
      </c>
      <c r="T332">
        <v>1.9</v>
      </c>
      <c r="U332">
        <v>0.67700000000000005</v>
      </c>
      <c r="V332">
        <v>1.1000000000000001</v>
      </c>
      <c r="W332">
        <v>3.8</v>
      </c>
      <c r="X332">
        <v>4.9000000000000004</v>
      </c>
      <c r="Y332">
        <v>1.1000000000000001</v>
      </c>
      <c r="Z332">
        <v>0.6</v>
      </c>
      <c r="AA332">
        <v>0.8</v>
      </c>
      <c r="AB332">
        <v>1.4</v>
      </c>
      <c r="AC332">
        <v>2.6</v>
      </c>
      <c r="AD332">
        <v>11.5</v>
      </c>
      <c r="AE332">
        <v>1251</v>
      </c>
      <c r="AF332">
        <v>18.5</v>
      </c>
      <c r="AG332">
        <v>0.61699999999999999</v>
      </c>
      <c r="AH332">
        <v>0.376</v>
      </c>
      <c r="AI332">
        <v>0.22</v>
      </c>
      <c r="AJ332">
        <v>6.6</v>
      </c>
      <c r="AK332">
        <v>22.8</v>
      </c>
      <c r="AL332">
        <v>14.9</v>
      </c>
      <c r="AM332">
        <v>9.6</v>
      </c>
      <c r="AN332">
        <v>1.6</v>
      </c>
      <c r="AO332">
        <v>3.7</v>
      </c>
      <c r="AP332">
        <v>12.7</v>
      </c>
      <c r="AQ332">
        <v>24.8</v>
      </c>
      <c r="AR332">
        <v>1.1000000000000001</v>
      </c>
      <c r="AS332">
        <v>1.9</v>
      </c>
      <c r="AT332">
        <v>3</v>
      </c>
      <c r="AU332">
        <v>0.114</v>
      </c>
      <c r="AV332">
        <v>0.3</v>
      </c>
      <c r="AW332">
        <v>0.8</v>
      </c>
      <c r="AX332">
        <v>1</v>
      </c>
      <c r="AY332">
        <v>1</v>
      </c>
      <c r="AZ332" s="8">
        <f t="shared" si="10"/>
        <v>2</v>
      </c>
      <c r="BA332" s="8">
        <f t="shared" si="11"/>
        <v>1.0359039116249655</v>
      </c>
    </row>
    <row r="333" spans="1:53" x14ac:dyDescent="0.25">
      <c r="A333" t="s">
        <v>416</v>
      </c>
      <c r="B333" s="2">
        <v>1930681</v>
      </c>
      <c r="C333" t="s">
        <v>65</v>
      </c>
      <c r="D333">
        <v>25</v>
      </c>
      <c r="E333" t="s">
        <v>118</v>
      </c>
      <c r="F333">
        <v>80</v>
      </c>
      <c r="G333">
        <v>24</v>
      </c>
      <c r="H333">
        <v>23.9</v>
      </c>
      <c r="I333">
        <v>3.5</v>
      </c>
      <c r="J333">
        <v>7.7</v>
      </c>
      <c r="K333">
        <v>0.45500000000000002</v>
      </c>
      <c r="L333">
        <v>1</v>
      </c>
      <c r="M333">
        <v>2.9</v>
      </c>
      <c r="N333">
        <v>0.33200000000000002</v>
      </c>
      <c r="O333">
        <v>2.6</v>
      </c>
      <c r="P333">
        <v>4.8</v>
      </c>
      <c r="Q333">
        <v>0.53</v>
      </c>
      <c r="R333">
        <v>0.51800000000000002</v>
      </c>
      <c r="S333">
        <v>1.5</v>
      </c>
      <c r="T333">
        <v>1.7</v>
      </c>
      <c r="U333">
        <v>0.84099999999999997</v>
      </c>
      <c r="V333">
        <v>0.8</v>
      </c>
      <c r="W333">
        <v>3.5</v>
      </c>
      <c r="X333">
        <v>4.3</v>
      </c>
      <c r="Y333">
        <v>1.6</v>
      </c>
      <c r="Z333">
        <v>1</v>
      </c>
      <c r="AA333">
        <v>0.4</v>
      </c>
      <c r="AB333">
        <v>1.2</v>
      </c>
      <c r="AC333">
        <v>2.6</v>
      </c>
      <c r="AD333">
        <v>9.4</v>
      </c>
      <c r="AE333">
        <v>1913</v>
      </c>
      <c r="AF333">
        <v>11.8</v>
      </c>
      <c r="AG333">
        <v>0.55700000000000005</v>
      </c>
      <c r="AH333">
        <v>0.376</v>
      </c>
      <c r="AI333">
        <v>0.224</v>
      </c>
      <c r="AJ333">
        <v>3.6</v>
      </c>
      <c r="AK333">
        <v>16.3</v>
      </c>
      <c r="AL333">
        <v>9.9</v>
      </c>
      <c r="AM333">
        <v>9.6</v>
      </c>
      <c r="AN333">
        <v>2.1</v>
      </c>
      <c r="AO333">
        <v>1.6</v>
      </c>
      <c r="AP333">
        <v>12.1</v>
      </c>
      <c r="AQ333">
        <v>17.2</v>
      </c>
      <c r="AR333">
        <v>0.5</v>
      </c>
      <c r="AS333">
        <v>2.2000000000000002</v>
      </c>
      <c r="AT333">
        <v>2.7</v>
      </c>
      <c r="AU333">
        <v>6.8000000000000005E-2</v>
      </c>
      <c r="AV333">
        <v>-2.7</v>
      </c>
      <c r="AW333">
        <v>0.6</v>
      </c>
      <c r="AX333">
        <v>-2.1</v>
      </c>
      <c r="AY333">
        <v>-0.1</v>
      </c>
      <c r="AZ333" s="8">
        <f t="shared" si="10"/>
        <v>0.30000000000000004</v>
      </c>
      <c r="BA333" s="8">
        <f t="shared" si="11"/>
        <v>0.15538558674374486</v>
      </c>
    </row>
    <row r="334" spans="1:53" x14ac:dyDescent="0.25">
      <c r="A334" t="s">
        <v>417</v>
      </c>
      <c r="B334" s="2">
        <v>1930681</v>
      </c>
      <c r="C334" t="s">
        <v>75</v>
      </c>
      <c r="D334">
        <v>24</v>
      </c>
      <c r="E334" t="s">
        <v>63</v>
      </c>
      <c r="F334">
        <v>78</v>
      </c>
      <c r="G334">
        <v>47</v>
      </c>
      <c r="H334">
        <v>20.6</v>
      </c>
      <c r="I334">
        <v>3.7</v>
      </c>
      <c r="J334">
        <v>5.0999999999999996</v>
      </c>
      <c r="K334">
        <v>0.73199999999999998</v>
      </c>
      <c r="L334">
        <v>0</v>
      </c>
      <c r="M334">
        <v>0</v>
      </c>
      <c r="O334">
        <v>3.7</v>
      </c>
      <c r="P334">
        <v>5.0999999999999996</v>
      </c>
      <c r="Q334">
        <v>0.73199999999999998</v>
      </c>
      <c r="R334">
        <v>0.73199999999999998</v>
      </c>
      <c r="S334">
        <v>1.6</v>
      </c>
      <c r="T334">
        <v>2.4</v>
      </c>
      <c r="U334">
        <v>0.67900000000000005</v>
      </c>
      <c r="V334">
        <v>2.1</v>
      </c>
      <c r="W334">
        <v>3.5</v>
      </c>
      <c r="X334">
        <v>5.6</v>
      </c>
      <c r="Y334">
        <v>1.1000000000000001</v>
      </c>
      <c r="Z334">
        <v>0.4</v>
      </c>
      <c r="AA334">
        <v>1.3</v>
      </c>
      <c r="AB334">
        <v>1.1000000000000001</v>
      </c>
      <c r="AC334">
        <v>2.4</v>
      </c>
      <c r="AD334">
        <v>9</v>
      </c>
      <c r="AE334">
        <v>1604</v>
      </c>
      <c r="AF334">
        <v>19.7</v>
      </c>
      <c r="AG334">
        <v>0.73899999999999999</v>
      </c>
      <c r="AH334">
        <v>0</v>
      </c>
      <c r="AI334">
        <v>0.47299999999999998</v>
      </c>
      <c r="AJ334">
        <v>11.7</v>
      </c>
      <c r="AK334">
        <v>18</v>
      </c>
      <c r="AL334">
        <v>15</v>
      </c>
      <c r="AM334">
        <v>7.5</v>
      </c>
      <c r="AN334">
        <v>1</v>
      </c>
      <c r="AO334">
        <v>5.2</v>
      </c>
      <c r="AP334">
        <v>15.1</v>
      </c>
      <c r="AQ334">
        <v>15.2</v>
      </c>
      <c r="AR334">
        <v>4.2</v>
      </c>
      <c r="AS334">
        <v>1.9</v>
      </c>
      <c r="AT334">
        <v>6.1</v>
      </c>
      <c r="AU334">
        <v>0.184</v>
      </c>
      <c r="AV334">
        <v>0.4</v>
      </c>
      <c r="AW334">
        <v>0.6</v>
      </c>
      <c r="AX334">
        <v>1</v>
      </c>
      <c r="AY334">
        <v>1.2</v>
      </c>
      <c r="AZ334" s="8">
        <f t="shared" si="10"/>
        <v>3.55</v>
      </c>
      <c r="BA334" s="8">
        <f t="shared" si="11"/>
        <v>1.8387294431343137</v>
      </c>
    </row>
    <row r="335" spans="1:53" hidden="1" x14ac:dyDescent="0.25">
      <c r="A335" t="s">
        <v>418</v>
      </c>
      <c r="B335" s="2">
        <v>1910860</v>
      </c>
      <c r="C335" t="s">
        <v>28</v>
      </c>
      <c r="D335">
        <v>25</v>
      </c>
      <c r="E335" t="s">
        <v>116</v>
      </c>
      <c r="F335">
        <v>66</v>
      </c>
      <c r="G335">
        <v>0</v>
      </c>
      <c r="H335">
        <v>10.4</v>
      </c>
      <c r="I335">
        <v>2</v>
      </c>
      <c r="J335">
        <v>3.3</v>
      </c>
      <c r="K335">
        <v>0.58899999999999997</v>
      </c>
      <c r="L335">
        <v>0.1</v>
      </c>
      <c r="M335">
        <v>0.6</v>
      </c>
      <c r="N335">
        <v>0.23699999999999999</v>
      </c>
      <c r="O335">
        <v>1.8</v>
      </c>
      <c r="P335">
        <v>2.7</v>
      </c>
      <c r="Q335">
        <v>0.66300000000000003</v>
      </c>
      <c r="R335">
        <v>0.61</v>
      </c>
      <c r="S335">
        <v>0.8</v>
      </c>
      <c r="T335">
        <v>1.1000000000000001</v>
      </c>
      <c r="U335">
        <v>0.74</v>
      </c>
      <c r="V335">
        <v>0.7</v>
      </c>
      <c r="W335">
        <v>2.2999999999999998</v>
      </c>
      <c r="X335">
        <v>3</v>
      </c>
      <c r="Y335">
        <v>0.6</v>
      </c>
      <c r="Z335">
        <v>0.3</v>
      </c>
      <c r="AA335">
        <v>0.3</v>
      </c>
      <c r="AB335">
        <v>0.5</v>
      </c>
      <c r="AC335">
        <v>1.2</v>
      </c>
      <c r="AD335">
        <v>4.9000000000000004</v>
      </c>
      <c r="AE335">
        <v>689</v>
      </c>
      <c r="AF335">
        <v>17.3</v>
      </c>
      <c r="AG335">
        <v>0.63900000000000001</v>
      </c>
      <c r="AH335">
        <v>0.17399999999999999</v>
      </c>
      <c r="AI335">
        <v>0.33300000000000002</v>
      </c>
      <c r="AJ335">
        <v>7.8</v>
      </c>
      <c r="AK335">
        <v>24.9</v>
      </c>
      <c r="AL335">
        <v>16.399999999999999</v>
      </c>
      <c r="AM335">
        <v>8.1</v>
      </c>
      <c r="AN335">
        <v>1.5</v>
      </c>
      <c r="AO335">
        <v>2.7</v>
      </c>
      <c r="AP335">
        <v>11.3</v>
      </c>
      <c r="AQ335">
        <v>17.600000000000001</v>
      </c>
      <c r="AR335">
        <v>1.2</v>
      </c>
      <c r="AS335">
        <v>0.8</v>
      </c>
      <c r="AT335">
        <v>2.1</v>
      </c>
      <c r="AU335">
        <v>0.14299999999999999</v>
      </c>
      <c r="AV335">
        <v>-0.3</v>
      </c>
      <c r="AW335">
        <v>0.2</v>
      </c>
      <c r="AX335">
        <v>-0.1</v>
      </c>
      <c r="AY335">
        <v>0.3</v>
      </c>
      <c r="AZ335">
        <f t="shared" si="10"/>
        <v>1</v>
      </c>
      <c r="BA335">
        <f t="shared" si="11"/>
        <v>0.5233245763687554</v>
      </c>
    </row>
    <row r="336" spans="1:53" hidden="1" x14ac:dyDescent="0.25">
      <c r="A336" t="s">
        <v>419</v>
      </c>
      <c r="B336" s="2">
        <v>1902133</v>
      </c>
      <c r="C336" t="s">
        <v>62</v>
      </c>
      <c r="D336">
        <v>27</v>
      </c>
      <c r="E336" t="s">
        <v>58</v>
      </c>
      <c r="F336">
        <v>43</v>
      </c>
      <c r="G336">
        <v>1</v>
      </c>
      <c r="H336">
        <v>8</v>
      </c>
      <c r="I336">
        <v>0.7</v>
      </c>
      <c r="J336">
        <v>2</v>
      </c>
      <c r="K336">
        <v>0.33300000000000002</v>
      </c>
      <c r="L336">
        <v>0.4</v>
      </c>
      <c r="M336">
        <v>1.1000000000000001</v>
      </c>
      <c r="N336">
        <v>0.37</v>
      </c>
      <c r="O336">
        <v>0.3</v>
      </c>
      <c r="P336">
        <v>0.9</v>
      </c>
      <c r="Q336">
        <v>0.28899999999999998</v>
      </c>
      <c r="R336">
        <v>0.435</v>
      </c>
      <c r="S336">
        <v>0.4</v>
      </c>
      <c r="T336">
        <v>0.6</v>
      </c>
      <c r="U336">
        <v>0.66700000000000004</v>
      </c>
      <c r="V336">
        <v>0.2</v>
      </c>
      <c r="W336">
        <v>1.1000000000000001</v>
      </c>
      <c r="X336">
        <v>1.4</v>
      </c>
      <c r="Y336">
        <v>0.5</v>
      </c>
      <c r="Z336">
        <v>0.3</v>
      </c>
      <c r="AA336">
        <v>0.1</v>
      </c>
      <c r="AB336">
        <v>0.5</v>
      </c>
      <c r="AC336">
        <v>0.9</v>
      </c>
      <c r="AD336">
        <v>2.1</v>
      </c>
      <c r="AE336">
        <v>342</v>
      </c>
      <c r="AF336">
        <v>6.2</v>
      </c>
      <c r="AG336">
        <v>0.47099999999999997</v>
      </c>
      <c r="AH336">
        <v>0.54800000000000004</v>
      </c>
      <c r="AI336">
        <v>0.28599999999999998</v>
      </c>
      <c r="AJ336">
        <v>3.4</v>
      </c>
      <c r="AK336">
        <v>16</v>
      </c>
      <c r="AL336">
        <v>9.9</v>
      </c>
      <c r="AM336">
        <v>8.1999999999999993</v>
      </c>
      <c r="AN336">
        <v>2.1</v>
      </c>
      <c r="AO336">
        <v>1</v>
      </c>
      <c r="AP336">
        <v>17.5</v>
      </c>
      <c r="AQ336">
        <v>14.5</v>
      </c>
      <c r="AR336">
        <v>-0.4</v>
      </c>
      <c r="AS336">
        <v>0.4</v>
      </c>
      <c r="AT336">
        <v>0.1</v>
      </c>
      <c r="AU336">
        <v>8.0000000000000002E-3</v>
      </c>
      <c r="AV336">
        <v>-5.4</v>
      </c>
      <c r="AW336">
        <v>0</v>
      </c>
      <c r="AX336">
        <v>-5.3</v>
      </c>
      <c r="AY336">
        <v>-0.3</v>
      </c>
      <c r="AZ336">
        <f t="shared" si="10"/>
        <v>-2.6</v>
      </c>
      <c r="BA336">
        <f t="shared" si="11"/>
        <v>-1.3668865426339798</v>
      </c>
    </row>
    <row r="337" spans="1:53" hidden="1" x14ac:dyDescent="0.25">
      <c r="A337" t="s">
        <v>420</v>
      </c>
      <c r="B337" s="2">
        <v>1902133</v>
      </c>
      <c r="C337" t="s">
        <v>28</v>
      </c>
      <c r="D337">
        <v>23</v>
      </c>
      <c r="E337" t="s">
        <v>116</v>
      </c>
      <c r="F337">
        <v>35</v>
      </c>
      <c r="G337">
        <v>3</v>
      </c>
      <c r="H337">
        <v>7.1</v>
      </c>
      <c r="I337">
        <v>0.5</v>
      </c>
      <c r="J337">
        <v>1.1000000000000001</v>
      </c>
      <c r="K337">
        <v>0.42099999999999999</v>
      </c>
      <c r="L337">
        <v>0.2</v>
      </c>
      <c r="M337">
        <v>0.6</v>
      </c>
      <c r="N337">
        <v>0.33300000000000002</v>
      </c>
      <c r="O337">
        <v>0.3</v>
      </c>
      <c r="P337">
        <v>0.5</v>
      </c>
      <c r="Q337">
        <v>0.52900000000000003</v>
      </c>
      <c r="R337">
        <v>0.51300000000000001</v>
      </c>
      <c r="S337">
        <v>0.2</v>
      </c>
      <c r="T337">
        <v>0.2</v>
      </c>
      <c r="U337">
        <v>0.875</v>
      </c>
      <c r="V337">
        <v>0.2</v>
      </c>
      <c r="W337">
        <v>0.8</v>
      </c>
      <c r="X337">
        <v>1</v>
      </c>
      <c r="Y337">
        <v>0.4</v>
      </c>
      <c r="Z337">
        <v>0.2</v>
      </c>
      <c r="AA337">
        <v>0.2</v>
      </c>
      <c r="AB337">
        <v>0.2</v>
      </c>
      <c r="AC337">
        <v>1.1000000000000001</v>
      </c>
      <c r="AD337">
        <v>1.3</v>
      </c>
      <c r="AE337">
        <v>248</v>
      </c>
      <c r="AF337">
        <v>6.2</v>
      </c>
      <c r="AG337">
        <v>0.55400000000000005</v>
      </c>
      <c r="AH337">
        <v>0.55300000000000005</v>
      </c>
      <c r="AI337">
        <v>0.21099999999999999</v>
      </c>
      <c r="AJ337">
        <v>3.2</v>
      </c>
      <c r="AK337">
        <v>12.4</v>
      </c>
      <c r="AL337">
        <v>7.8</v>
      </c>
      <c r="AM337">
        <v>6.3</v>
      </c>
      <c r="AN337">
        <v>1.4</v>
      </c>
      <c r="AO337">
        <v>2.5</v>
      </c>
      <c r="AP337">
        <v>14.4</v>
      </c>
      <c r="AQ337">
        <v>8.4</v>
      </c>
      <c r="AR337">
        <v>0.1</v>
      </c>
      <c r="AS337">
        <v>0.2</v>
      </c>
      <c r="AT337">
        <v>0.3</v>
      </c>
      <c r="AU337">
        <v>5.7000000000000002E-2</v>
      </c>
      <c r="AV337">
        <v>-4.3</v>
      </c>
      <c r="AW337">
        <v>1.1000000000000001</v>
      </c>
      <c r="AX337">
        <v>-3.2</v>
      </c>
      <c r="AY337">
        <v>-0.1</v>
      </c>
      <c r="AZ337">
        <f t="shared" si="10"/>
        <v>-1.4500000000000002</v>
      </c>
      <c r="BA337">
        <f t="shared" si="11"/>
        <v>-0.76230211031510431</v>
      </c>
    </row>
    <row r="338" spans="1:53" x14ac:dyDescent="0.25">
      <c r="A338" t="s">
        <v>421</v>
      </c>
      <c r="B338" s="2">
        <v>1878720</v>
      </c>
      <c r="C338" t="s">
        <v>75</v>
      </c>
      <c r="D338">
        <v>25</v>
      </c>
      <c r="E338" t="s">
        <v>58</v>
      </c>
      <c r="F338">
        <v>68</v>
      </c>
      <c r="G338">
        <v>2</v>
      </c>
      <c r="H338">
        <v>15.1</v>
      </c>
      <c r="I338">
        <v>2.2999999999999998</v>
      </c>
      <c r="J338">
        <v>3.8</v>
      </c>
      <c r="K338">
        <v>0.59599999999999997</v>
      </c>
      <c r="L338">
        <v>0.1</v>
      </c>
      <c r="M338">
        <v>0.5</v>
      </c>
      <c r="N338">
        <v>0.27800000000000002</v>
      </c>
      <c r="O338">
        <v>2.1</v>
      </c>
      <c r="P338">
        <v>3.3</v>
      </c>
      <c r="Q338">
        <v>0.64700000000000002</v>
      </c>
      <c r="R338">
        <v>0.61499999999999999</v>
      </c>
      <c r="S338">
        <v>0.8</v>
      </c>
      <c r="T338">
        <v>1.2</v>
      </c>
      <c r="U338">
        <v>0.61899999999999999</v>
      </c>
      <c r="V338">
        <v>1.7</v>
      </c>
      <c r="W338">
        <v>2.5</v>
      </c>
      <c r="X338">
        <v>4.2</v>
      </c>
      <c r="Y338">
        <v>0.5</v>
      </c>
      <c r="Z338">
        <v>0.4</v>
      </c>
      <c r="AA338">
        <v>0.5</v>
      </c>
      <c r="AB338">
        <v>0.7</v>
      </c>
      <c r="AC338">
        <v>2.1</v>
      </c>
      <c r="AD338">
        <v>5.5</v>
      </c>
      <c r="AE338">
        <v>1024</v>
      </c>
      <c r="AF338">
        <v>14.4</v>
      </c>
      <c r="AG338">
        <v>0.626</v>
      </c>
      <c r="AH338">
        <v>0.13800000000000001</v>
      </c>
      <c r="AI338">
        <v>0.32300000000000001</v>
      </c>
      <c r="AJ338">
        <v>12.6</v>
      </c>
      <c r="AK338">
        <v>17.2</v>
      </c>
      <c r="AL338">
        <v>15</v>
      </c>
      <c r="AM338">
        <v>4.8</v>
      </c>
      <c r="AN338">
        <v>1.2</v>
      </c>
      <c r="AO338">
        <v>2.9</v>
      </c>
      <c r="AP338">
        <v>13.4</v>
      </c>
      <c r="AQ338">
        <v>14.1</v>
      </c>
      <c r="AR338">
        <v>1.5</v>
      </c>
      <c r="AS338">
        <v>1.3</v>
      </c>
      <c r="AT338">
        <v>2.8</v>
      </c>
      <c r="AU338">
        <v>0.13200000000000001</v>
      </c>
      <c r="AV338">
        <v>-2.2999999999999998</v>
      </c>
      <c r="AW338">
        <v>0.1</v>
      </c>
      <c r="AX338">
        <v>-2.2000000000000002</v>
      </c>
      <c r="AY338">
        <v>-0.1</v>
      </c>
      <c r="AZ338" s="8">
        <f t="shared" si="10"/>
        <v>0.29999999999999982</v>
      </c>
      <c r="BA338" s="8">
        <f t="shared" si="11"/>
        <v>0.15968318855390895</v>
      </c>
    </row>
    <row r="339" spans="1:53" hidden="1" x14ac:dyDescent="0.25">
      <c r="A339" t="s">
        <v>422</v>
      </c>
      <c r="B339" s="2">
        <v>1878720</v>
      </c>
      <c r="C339" t="s">
        <v>28</v>
      </c>
      <c r="D339">
        <v>30</v>
      </c>
      <c r="E339" t="s">
        <v>68</v>
      </c>
      <c r="F339">
        <v>37</v>
      </c>
      <c r="G339">
        <v>0</v>
      </c>
      <c r="H339">
        <v>5.6</v>
      </c>
      <c r="I339">
        <v>0.5</v>
      </c>
      <c r="J339">
        <v>1.2</v>
      </c>
      <c r="K339">
        <v>0.435</v>
      </c>
      <c r="L339">
        <v>0</v>
      </c>
      <c r="M339">
        <v>0.2</v>
      </c>
      <c r="N339">
        <v>0</v>
      </c>
      <c r="O339">
        <v>0.5</v>
      </c>
      <c r="P339">
        <v>1</v>
      </c>
      <c r="Q339">
        <v>0.52600000000000002</v>
      </c>
      <c r="R339">
        <v>0.435</v>
      </c>
      <c r="S339">
        <v>0.3</v>
      </c>
      <c r="T339">
        <v>0.6</v>
      </c>
      <c r="U339">
        <v>0.5</v>
      </c>
      <c r="V339">
        <v>0.4</v>
      </c>
      <c r="W339">
        <v>0.8</v>
      </c>
      <c r="X339">
        <v>1.2</v>
      </c>
      <c r="Y339">
        <v>0.4</v>
      </c>
      <c r="Z339">
        <v>0.1</v>
      </c>
      <c r="AA339">
        <v>0.1</v>
      </c>
      <c r="AB339">
        <v>0.3</v>
      </c>
      <c r="AC339">
        <v>0.6</v>
      </c>
      <c r="AD339">
        <v>1.4</v>
      </c>
      <c r="AE339">
        <v>206</v>
      </c>
      <c r="AF339">
        <v>6.7</v>
      </c>
      <c r="AG339">
        <v>0.45800000000000002</v>
      </c>
      <c r="AH339">
        <v>0.17399999999999999</v>
      </c>
      <c r="AI339">
        <v>0.47799999999999998</v>
      </c>
      <c r="AJ339">
        <v>7.9</v>
      </c>
      <c r="AK339">
        <v>14.1</v>
      </c>
      <c r="AL339">
        <v>11.1</v>
      </c>
      <c r="AM339">
        <v>9.3000000000000007</v>
      </c>
      <c r="AN339">
        <v>0.7</v>
      </c>
      <c r="AO339">
        <v>1.2</v>
      </c>
      <c r="AP339">
        <v>17.7</v>
      </c>
      <c r="AQ339">
        <v>13.8</v>
      </c>
      <c r="AR339">
        <v>-0.1</v>
      </c>
      <c r="AS339">
        <v>0.2</v>
      </c>
      <c r="AT339">
        <v>0.1</v>
      </c>
      <c r="AU339">
        <v>2.1999999999999999E-2</v>
      </c>
      <c r="AV339">
        <v>-6.5</v>
      </c>
      <c r="AW339">
        <v>-1.1000000000000001</v>
      </c>
      <c r="AX339">
        <v>-7.6</v>
      </c>
      <c r="AY339">
        <v>-0.3</v>
      </c>
      <c r="AZ339">
        <f t="shared" si="10"/>
        <v>-3.75</v>
      </c>
      <c r="BA339">
        <f t="shared" si="11"/>
        <v>-1.9960398569238631</v>
      </c>
    </row>
    <row r="340" spans="1:53" x14ac:dyDescent="0.25">
      <c r="A340" t="s">
        <v>423</v>
      </c>
      <c r="B340" s="2">
        <v>1878720</v>
      </c>
      <c r="C340" t="s">
        <v>75</v>
      </c>
      <c r="D340">
        <v>25</v>
      </c>
      <c r="E340" t="s">
        <v>152</v>
      </c>
      <c r="F340">
        <v>57</v>
      </c>
      <c r="G340">
        <v>18</v>
      </c>
      <c r="H340">
        <v>19.5</v>
      </c>
      <c r="I340">
        <v>3.5</v>
      </c>
      <c r="J340">
        <v>6.9</v>
      </c>
      <c r="K340">
        <v>0.5</v>
      </c>
      <c r="L340">
        <v>0.9</v>
      </c>
      <c r="M340">
        <v>2.9</v>
      </c>
      <c r="N340">
        <v>0.313</v>
      </c>
      <c r="O340">
        <v>2.6</v>
      </c>
      <c r="P340">
        <v>4.0999999999999996</v>
      </c>
      <c r="Q340">
        <v>0.63100000000000001</v>
      </c>
      <c r="R340">
        <v>0.56399999999999995</v>
      </c>
      <c r="S340">
        <v>2.7</v>
      </c>
      <c r="T340">
        <v>3.2</v>
      </c>
      <c r="U340">
        <v>0.84099999999999997</v>
      </c>
      <c r="V340">
        <v>1.2</v>
      </c>
      <c r="W340">
        <v>3.3</v>
      </c>
      <c r="X340">
        <v>4.5</v>
      </c>
      <c r="Y340">
        <v>1.5</v>
      </c>
      <c r="Z340">
        <v>0.6</v>
      </c>
      <c r="AA340">
        <v>0.2</v>
      </c>
      <c r="AB340">
        <v>1.2</v>
      </c>
      <c r="AC340">
        <v>2.4</v>
      </c>
      <c r="AD340">
        <v>10.5</v>
      </c>
      <c r="AE340">
        <v>1109</v>
      </c>
      <c r="AF340">
        <v>17.399999999999999</v>
      </c>
      <c r="AG340">
        <v>0.63</v>
      </c>
      <c r="AH340">
        <v>0.41199999999999998</v>
      </c>
      <c r="AI340">
        <v>0.46</v>
      </c>
      <c r="AJ340">
        <v>7</v>
      </c>
      <c r="AK340">
        <v>19.399999999999999</v>
      </c>
      <c r="AL340">
        <v>13.2</v>
      </c>
      <c r="AM340">
        <v>11.5</v>
      </c>
      <c r="AN340">
        <v>1.6</v>
      </c>
      <c r="AO340">
        <v>1.1000000000000001</v>
      </c>
      <c r="AP340">
        <v>12.5</v>
      </c>
      <c r="AQ340">
        <v>21.1</v>
      </c>
      <c r="AR340">
        <v>2.1</v>
      </c>
      <c r="AS340">
        <v>1.3</v>
      </c>
      <c r="AT340">
        <v>3.4</v>
      </c>
      <c r="AU340">
        <v>0.14899999999999999</v>
      </c>
      <c r="AV340">
        <v>0.4</v>
      </c>
      <c r="AW340">
        <v>0.2</v>
      </c>
      <c r="AX340">
        <v>0.6</v>
      </c>
      <c r="AY340">
        <v>0.7</v>
      </c>
      <c r="AZ340" s="8">
        <f t="shared" si="10"/>
        <v>2</v>
      </c>
      <c r="BA340" s="8">
        <f t="shared" si="11"/>
        <v>1.0645545903593936</v>
      </c>
    </row>
    <row r="341" spans="1:53" x14ac:dyDescent="0.25">
      <c r="A341" t="s">
        <v>424</v>
      </c>
      <c r="B341" s="2">
        <v>1878720</v>
      </c>
      <c r="C341" t="s">
        <v>28</v>
      </c>
      <c r="D341">
        <v>27</v>
      </c>
      <c r="E341" t="s">
        <v>175</v>
      </c>
      <c r="F341">
        <v>67</v>
      </c>
      <c r="G341">
        <v>42</v>
      </c>
      <c r="H341">
        <v>21.7</v>
      </c>
      <c r="I341">
        <v>3.5</v>
      </c>
      <c r="J341">
        <v>6.9</v>
      </c>
      <c r="K341">
        <v>0.50800000000000001</v>
      </c>
      <c r="L341">
        <v>0.8</v>
      </c>
      <c r="M341">
        <v>2.1</v>
      </c>
      <c r="N341">
        <v>0.39400000000000002</v>
      </c>
      <c r="O341">
        <v>2.7</v>
      </c>
      <c r="P341">
        <v>4.8</v>
      </c>
      <c r="Q341">
        <v>0.55700000000000005</v>
      </c>
      <c r="R341">
        <v>0.56799999999999995</v>
      </c>
      <c r="S341">
        <v>1.8</v>
      </c>
      <c r="T341">
        <v>2.2000000000000002</v>
      </c>
      <c r="U341">
        <v>0.79300000000000004</v>
      </c>
      <c r="V341">
        <v>1</v>
      </c>
      <c r="W341">
        <v>2.7</v>
      </c>
      <c r="X341">
        <v>3.7</v>
      </c>
      <c r="Y341">
        <v>1.5</v>
      </c>
      <c r="Z341">
        <v>0.7</v>
      </c>
      <c r="AA341">
        <v>0.3</v>
      </c>
      <c r="AB341">
        <v>0.8</v>
      </c>
      <c r="AC341">
        <v>0.9</v>
      </c>
      <c r="AD341">
        <v>9.6999999999999993</v>
      </c>
      <c r="AE341">
        <v>1452</v>
      </c>
      <c r="AF341">
        <v>14.9</v>
      </c>
      <c r="AG341">
        <v>0.60899999999999999</v>
      </c>
      <c r="AH341">
        <v>0.30499999999999999</v>
      </c>
      <c r="AI341">
        <v>0.32300000000000001</v>
      </c>
      <c r="AJ341">
        <v>4.7</v>
      </c>
      <c r="AK341">
        <v>14.3</v>
      </c>
      <c r="AL341">
        <v>9.3000000000000007</v>
      </c>
      <c r="AM341">
        <v>9.8000000000000007</v>
      </c>
      <c r="AN341">
        <v>1.5</v>
      </c>
      <c r="AO341">
        <v>1.1000000000000001</v>
      </c>
      <c r="AP341">
        <v>9.5</v>
      </c>
      <c r="AQ341">
        <v>16.7</v>
      </c>
      <c r="AR341">
        <v>2.1</v>
      </c>
      <c r="AS341">
        <v>0.6</v>
      </c>
      <c r="AT341">
        <v>2.7</v>
      </c>
      <c r="AU341">
        <v>8.8999999999999996E-2</v>
      </c>
      <c r="AV341">
        <v>0.3</v>
      </c>
      <c r="AW341">
        <v>-0.9</v>
      </c>
      <c r="AX341">
        <v>-0.6</v>
      </c>
      <c r="AY341">
        <v>0.5</v>
      </c>
      <c r="AZ341" s="8">
        <f t="shared" si="10"/>
        <v>1.05</v>
      </c>
      <c r="BA341" s="8">
        <f t="shared" si="11"/>
        <v>0.55889115993868166</v>
      </c>
    </row>
    <row r="342" spans="1:53" hidden="1" x14ac:dyDescent="0.25">
      <c r="A342" t="s">
        <v>425</v>
      </c>
      <c r="B342" s="2">
        <v>1846738</v>
      </c>
      <c r="C342" t="s">
        <v>28</v>
      </c>
      <c r="D342">
        <v>24</v>
      </c>
      <c r="E342" t="s">
        <v>93</v>
      </c>
      <c r="F342">
        <v>65</v>
      </c>
      <c r="G342">
        <v>2</v>
      </c>
      <c r="H342">
        <v>16.7</v>
      </c>
      <c r="I342">
        <v>1.9</v>
      </c>
      <c r="J342">
        <v>4.9000000000000004</v>
      </c>
      <c r="K342">
        <v>0.38600000000000001</v>
      </c>
      <c r="L342">
        <v>0.7</v>
      </c>
      <c r="M342">
        <v>2.4</v>
      </c>
      <c r="N342">
        <v>0.31</v>
      </c>
      <c r="O342">
        <v>1.2</v>
      </c>
      <c r="P342">
        <v>2.5</v>
      </c>
      <c r="Q342">
        <v>0.45700000000000002</v>
      </c>
      <c r="R342">
        <v>0.46100000000000002</v>
      </c>
      <c r="S342">
        <v>1.6</v>
      </c>
      <c r="T342">
        <v>2.2000000000000002</v>
      </c>
      <c r="U342">
        <v>0.71699999999999997</v>
      </c>
      <c r="V342">
        <v>1</v>
      </c>
      <c r="W342">
        <v>2.4</v>
      </c>
      <c r="X342">
        <v>3.4</v>
      </c>
      <c r="Y342">
        <v>0.7</v>
      </c>
      <c r="Z342">
        <v>0.5</v>
      </c>
      <c r="AA342">
        <v>0.2</v>
      </c>
      <c r="AB342">
        <v>0.5</v>
      </c>
      <c r="AC342">
        <v>1.2</v>
      </c>
      <c r="AD342">
        <v>6.1</v>
      </c>
      <c r="AE342">
        <v>1083</v>
      </c>
      <c r="AF342">
        <v>10.6</v>
      </c>
      <c r="AG342">
        <v>0.52</v>
      </c>
      <c r="AH342">
        <v>0.48599999999999999</v>
      </c>
      <c r="AI342">
        <v>0.45500000000000002</v>
      </c>
      <c r="AJ342">
        <v>6.4</v>
      </c>
      <c r="AK342">
        <v>16</v>
      </c>
      <c r="AL342">
        <v>11.2</v>
      </c>
      <c r="AM342">
        <v>5.4</v>
      </c>
      <c r="AN342">
        <v>1.4</v>
      </c>
      <c r="AO342">
        <v>1</v>
      </c>
      <c r="AP342">
        <v>8.1999999999999993</v>
      </c>
      <c r="AQ342">
        <v>16.100000000000001</v>
      </c>
      <c r="AR342">
        <v>0.4</v>
      </c>
      <c r="AS342">
        <v>0.7</v>
      </c>
      <c r="AT342">
        <v>1.1000000000000001</v>
      </c>
      <c r="AU342">
        <v>0.05</v>
      </c>
      <c r="AV342">
        <v>-2</v>
      </c>
      <c r="AW342">
        <v>-1.2</v>
      </c>
      <c r="AX342">
        <v>-3.2</v>
      </c>
      <c r="AY342">
        <v>-0.3</v>
      </c>
      <c r="AZ342">
        <f t="shared" si="10"/>
        <v>-1.05</v>
      </c>
      <c r="BA342">
        <f t="shared" si="11"/>
        <v>-0.56857009494579092</v>
      </c>
    </row>
    <row r="343" spans="1:53" hidden="1" x14ac:dyDescent="0.25">
      <c r="A343" t="s">
        <v>426</v>
      </c>
      <c r="B343" s="2">
        <v>1836090</v>
      </c>
      <c r="C343" t="s">
        <v>75</v>
      </c>
      <c r="D343">
        <v>25</v>
      </c>
      <c r="E343" t="s">
        <v>76</v>
      </c>
      <c r="F343">
        <v>38</v>
      </c>
      <c r="G343">
        <v>0</v>
      </c>
      <c r="H343">
        <v>7.7</v>
      </c>
      <c r="I343">
        <v>1.2</v>
      </c>
      <c r="J343">
        <v>2.1</v>
      </c>
      <c r="K343">
        <v>0.56799999999999995</v>
      </c>
      <c r="L343">
        <v>0.2</v>
      </c>
      <c r="M343">
        <v>0.6</v>
      </c>
      <c r="N343">
        <v>0.36399999999999999</v>
      </c>
      <c r="O343">
        <v>1</v>
      </c>
      <c r="P343">
        <v>1.6</v>
      </c>
      <c r="Q343">
        <v>0.64400000000000002</v>
      </c>
      <c r="R343">
        <v>0.61699999999999999</v>
      </c>
      <c r="S343">
        <v>1</v>
      </c>
      <c r="T343">
        <v>1.5</v>
      </c>
      <c r="U343">
        <v>0.68400000000000005</v>
      </c>
      <c r="V343">
        <v>0.6</v>
      </c>
      <c r="W343">
        <v>0.9</v>
      </c>
      <c r="X343">
        <v>1.5</v>
      </c>
      <c r="Y343">
        <v>0.3</v>
      </c>
      <c r="Z343">
        <v>0.3</v>
      </c>
      <c r="AA343">
        <v>0.2</v>
      </c>
      <c r="AB343">
        <v>0.6</v>
      </c>
      <c r="AC343">
        <v>1.1000000000000001</v>
      </c>
      <c r="AD343">
        <v>3.7</v>
      </c>
      <c r="AE343">
        <v>291</v>
      </c>
      <c r="AF343">
        <v>14.5</v>
      </c>
      <c r="AG343">
        <v>0.65500000000000003</v>
      </c>
      <c r="AH343">
        <v>0.27200000000000002</v>
      </c>
      <c r="AI343">
        <v>0.70399999999999996</v>
      </c>
      <c r="AJ343">
        <v>8.6</v>
      </c>
      <c r="AK343">
        <v>12.8</v>
      </c>
      <c r="AL343">
        <v>10.8</v>
      </c>
      <c r="AM343">
        <v>6.1</v>
      </c>
      <c r="AN343">
        <v>1.6</v>
      </c>
      <c r="AO343">
        <v>1.8</v>
      </c>
      <c r="AP343">
        <v>16.5</v>
      </c>
      <c r="AQ343">
        <v>18.7</v>
      </c>
      <c r="AR343">
        <v>0.4</v>
      </c>
      <c r="AS343">
        <v>0.3</v>
      </c>
      <c r="AT343">
        <v>0.7</v>
      </c>
      <c r="AU343">
        <v>0.11600000000000001</v>
      </c>
      <c r="AV343">
        <v>-2.4</v>
      </c>
      <c r="AW343">
        <v>-0.8</v>
      </c>
      <c r="AX343">
        <v>-3.2</v>
      </c>
      <c r="AY343">
        <v>-0.1</v>
      </c>
      <c r="AZ343">
        <f t="shared" si="10"/>
        <v>-1.25</v>
      </c>
      <c r="BA343">
        <f t="shared" si="11"/>
        <v>-0.68079451443012051</v>
      </c>
    </row>
    <row r="344" spans="1:53" hidden="1" x14ac:dyDescent="0.25">
      <c r="A344" t="s">
        <v>427</v>
      </c>
      <c r="B344" s="2">
        <v>1836090</v>
      </c>
      <c r="C344" t="s">
        <v>65</v>
      </c>
      <c r="D344">
        <v>27</v>
      </c>
      <c r="E344" t="s">
        <v>113</v>
      </c>
      <c r="F344">
        <v>23</v>
      </c>
      <c r="G344">
        <v>0</v>
      </c>
      <c r="H344">
        <v>4.7</v>
      </c>
      <c r="I344">
        <v>0.3</v>
      </c>
      <c r="J344">
        <v>1.2</v>
      </c>
      <c r="K344">
        <v>0.25900000000000001</v>
      </c>
      <c r="L344">
        <v>0.2</v>
      </c>
      <c r="M344">
        <v>0.9</v>
      </c>
      <c r="N344">
        <v>0.25</v>
      </c>
      <c r="O344">
        <v>0.1</v>
      </c>
      <c r="P344">
        <v>0.3</v>
      </c>
      <c r="Q344">
        <v>0.28599999999999998</v>
      </c>
      <c r="R344">
        <v>0.35199999999999998</v>
      </c>
      <c r="S344">
        <v>0</v>
      </c>
      <c r="T344">
        <v>0.1</v>
      </c>
      <c r="U344">
        <v>0.5</v>
      </c>
      <c r="V344">
        <v>0.1</v>
      </c>
      <c r="W344">
        <v>0.7</v>
      </c>
      <c r="X344">
        <v>0.7</v>
      </c>
      <c r="Y344">
        <v>0.4</v>
      </c>
      <c r="Z344">
        <v>0.2</v>
      </c>
      <c r="AA344">
        <v>0.2</v>
      </c>
      <c r="AB344">
        <v>0.1</v>
      </c>
      <c r="AC344">
        <v>0.3</v>
      </c>
      <c r="AD344">
        <v>0.9</v>
      </c>
      <c r="AE344">
        <v>107</v>
      </c>
      <c r="AF344">
        <v>6.3</v>
      </c>
      <c r="AG344">
        <v>0.35899999999999999</v>
      </c>
      <c r="AH344">
        <v>0.74099999999999999</v>
      </c>
      <c r="AI344">
        <v>7.3999999999999996E-2</v>
      </c>
      <c r="AJ344">
        <v>2.1</v>
      </c>
      <c r="AK344">
        <v>15.1</v>
      </c>
      <c r="AL344">
        <v>8.6999999999999993</v>
      </c>
      <c r="AM344">
        <v>10.5</v>
      </c>
      <c r="AN344">
        <v>1.8</v>
      </c>
      <c r="AO344">
        <v>3.2</v>
      </c>
      <c r="AP344">
        <v>6.7</v>
      </c>
      <c r="AQ344">
        <v>12.2</v>
      </c>
      <c r="AR344">
        <v>-0.1</v>
      </c>
      <c r="AS344">
        <v>0.2</v>
      </c>
      <c r="AT344">
        <v>0.1</v>
      </c>
      <c r="AU344">
        <v>2.5000000000000001E-2</v>
      </c>
      <c r="AV344">
        <v>-4.2</v>
      </c>
      <c r="AW344">
        <v>1.6</v>
      </c>
      <c r="AX344">
        <v>-2.6</v>
      </c>
      <c r="AY344">
        <v>0</v>
      </c>
      <c r="AZ344">
        <f t="shared" si="10"/>
        <v>-1.25</v>
      </c>
      <c r="BA344">
        <f t="shared" si="11"/>
        <v>-0.68079451443012051</v>
      </c>
    </row>
    <row r="345" spans="1:53" x14ac:dyDescent="0.25">
      <c r="A345" t="s">
        <v>428</v>
      </c>
      <c r="B345" s="2">
        <v>1836090</v>
      </c>
      <c r="C345" t="s">
        <v>62</v>
      </c>
      <c r="D345">
        <v>23</v>
      </c>
      <c r="E345" t="s">
        <v>109</v>
      </c>
      <c r="F345">
        <v>73</v>
      </c>
      <c r="G345">
        <v>10</v>
      </c>
      <c r="H345">
        <v>19.100000000000001</v>
      </c>
      <c r="I345">
        <v>3.1</v>
      </c>
      <c r="J345">
        <v>7</v>
      </c>
      <c r="K345">
        <v>0.441</v>
      </c>
      <c r="L345">
        <v>2.2000000000000002</v>
      </c>
      <c r="M345">
        <v>5.4</v>
      </c>
      <c r="N345">
        <v>0.40899999999999997</v>
      </c>
      <c r="O345">
        <v>0.9</v>
      </c>
      <c r="P345">
        <v>1.6</v>
      </c>
      <c r="Q345">
        <v>0.55300000000000005</v>
      </c>
      <c r="R345">
        <v>0.59899999999999998</v>
      </c>
      <c r="S345">
        <v>1.1000000000000001</v>
      </c>
      <c r="T345">
        <v>1.4</v>
      </c>
      <c r="U345">
        <v>0.82</v>
      </c>
      <c r="V345">
        <v>0.4</v>
      </c>
      <c r="W345">
        <v>2</v>
      </c>
      <c r="X345">
        <v>2.4</v>
      </c>
      <c r="Y345">
        <v>1.2</v>
      </c>
      <c r="Z345">
        <v>0.7</v>
      </c>
      <c r="AA345">
        <v>0.1</v>
      </c>
      <c r="AB345">
        <v>0.5</v>
      </c>
      <c r="AC345">
        <v>1.4</v>
      </c>
      <c r="AD345">
        <v>9.5</v>
      </c>
      <c r="AE345">
        <v>1395</v>
      </c>
      <c r="AF345">
        <v>14.5</v>
      </c>
      <c r="AG345">
        <v>0.626</v>
      </c>
      <c r="AH345">
        <v>0.77600000000000002</v>
      </c>
      <c r="AI345">
        <v>0.19700000000000001</v>
      </c>
      <c r="AJ345">
        <v>2</v>
      </c>
      <c r="AK345">
        <v>11.6</v>
      </c>
      <c r="AL345">
        <v>6.7</v>
      </c>
      <c r="AM345">
        <v>8.6999999999999993</v>
      </c>
      <c r="AN345">
        <v>1.6</v>
      </c>
      <c r="AO345">
        <v>0.5</v>
      </c>
      <c r="AP345">
        <v>6.6</v>
      </c>
      <c r="AQ345">
        <v>17.7</v>
      </c>
      <c r="AR345">
        <v>2.5</v>
      </c>
      <c r="AS345">
        <v>1.3</v>
      </c>
      <c r="AT345">
        <v>3.8</v>
      </c>
      <c r="AU345">
        <v>0.13100000000000001</v>
      </c>
      <c r="AV345">
        <v>1.3</v>
      </c>
      <c r="AW345">
        <v>-0.4</v>
      </c>
      <c r="AX345">
        <v>0.9</v>
      </c>
      <c r="AY345">
        <v>1</v>
      </c>
      <c r="AZ345" s="8">
        <f t="shared" si="10"/>
        <v>2.35</v>
      </c>
      <c r="BA345" s="8">
        <f t="shared" si="11"/>
        <v>1.2798936871286266</v>
      </c>
    </row>
    <row r="346" spans="1:53" hidden="1" x14ac:dyDescent="0.25">
      <c r="A346" t="s">
        <v>429</v>
      </c>
      <c r="B346" s="2">
        <v>1836090</v>
      </c>
      <c r="C346" t="s">
        <v>52</v>
      </c>
      <c r="D346">
        <v>28</v>
      </c>
      <c r="E346" t="s">
        <v>70</v>
      </c>
      <c r="F346">
        <v>20</v>
      </c>
      <c r="G346">
        <v>4</v>
      </c>
      <c r="H346">
        <v>8.6</v>
      </c>
      <c r="I346">
        <v>0.5</v>
      </c>
      <c r="J346">
        <v>1.9</v>
      </c>
      <c r="K346">
        <v>0.24299999999999999</v>
      </c>
      <c r="L346">
        <v>0.4</v>
      </c>
      <c r="M346">
        <v>1.2</v>
      </c>
      <c r="N346">
        <v>0.34799999999999998</v>
      </c>
      <c r="O346">
        <v>0.1</v>
      </c>
      <c r="P346">
        <v>0.7</v>
      </c>
      <c r="Q346">
        <v>7.0999999999999994E-2</v>
      </c>
      <c r="R346">
        <v>0.35099999999999998</v>
      </c>
      <c r="S346">
        <v>0</v>
      </c>
      <c r="T346">
        <v>0</v>
      </c>
      <c r="V346">
        <v>0</v>
      </c>
      <c r="W346">
        <v>0.8</v>
      </c>
      <c r="X346">
        <v>0.8</v>
      </c>
      <c r="Y346">
        <v>1.2</v>
      </c>
      <c r="Z346">
        <v>0.3</v>
      </c>
      <c r="AA346">
        <v>0</v>
      </c>
      <c r="AB346">
        <v>0.4</v>
      </c>
      <c r="AC346">
        <v>0.9</v>
      </c>
      <c r="AD346">
        <v>1.3</v>
      </c>
      <c r="AE346">
        <v>172</v>
      </c>
      <c r="AF346">
        <v>2.7</v>
      </c>
      <c r="AG346">
        <v>0.35099999999999998</v>
      </c>
      <c r="AH346">
        <v>0.622</v>
      </c>
      <c r="AI346">
        <v>0</v>
      </c>
      <c r="AJ346">
        <v>0</v>
      </c>
      <c r="AK346">
        <v>10</v>
      </c>
      <c r="AL346">
        <v>5</v>
      </c>
      <c r="AM346">
        <v>16.899999999999999</v>
      </c>
      <c r="AN346">
        <v>1.4</v>
      </c>
      <c r="AO346">
        <v>0</v>
      </c>
      <c r="AP346">
        <v>15.9</v>
      </c>
      <c r="AQ346">
        <v>11.1</v>
      </c>
      <c r="AR346">
        <v>-0.2</v>
      </c>
      <c r="AS346">
        <v>0.1</v>
      </c>
      <c r="AT346">
        <v>-0.2</v>
      </c>
      <c r="AU346">
        <v>-4.2999999999999997E-2</v>
      </c>
      <c r="AV346">
        <v>-7.3</v>
      </c>
      <c r="AW346">
        <v>-1.5</v>
      </c>
      <c r="AX346">
        <v>-8.8000000000000007</v>
      </c>
      <c r="AY346">
        <v>-0.3</v>
      </c>
      <c r="AZ346">
        <f t="shared" si="10"/>
        <v>-4.5</v>
      </c>
      <c r="BA346">
        <f t="shared" si="11"/>
        <v>-2.4508602519484337</v>
      </c>
    </row>
    <row r="347" spans="1:53" hidden="1" x14ac:dyDescent="0.25">
      <c r="A347" t="s">
        <v>430</v>
      </c>
      <c r="B347" s="2">
        <v>1836090</v>
      </c>
      <c r="C347" t="s">
        <v>28</v>
      </c>
      <c r="D347">
        <v>30</v>
      </c>
      <c r="E347" t="s">
        <v>63</v>
      </c>
      <c r="F347">
        <v>59</v>
      </c>
      <c r="G347">
        <v>8</v>
      </c>
      <c r="H347">
        <v>10.6</v>
      </c>
      <c r="I347">
        <v>1.2</v>
      </c>
      <c r="J347">
        <v>2.2000000000000002</v>
      </c>
      <c r="K347">
        <v>0.53800000000000003</v>
      </c>
      <c r="L347">
        <v>0.1</v>
      </c>
      <c r="M347">
        <v>0.5</v>
      </c>
      <c r="N347">
        <v>0.13800000000000001</v>
      </c>
      <c r="O347">
        <v>1.1000000000000001</v>
      </c>
      <c r="P347">
        <v>1.7</v>
      </c>
      <c r="Q347">
        <v>0.65</v>
      </c>
      <c r="R347">
        <v>0.55300000000000005</v>
      </c>
      <c r="S347">
        <v>0.8</v>
      </c>
      <c r="T347">
        <v>1.1000000000000001</v>
      </c>
      <c r="U347">
        <v>0.73099999999999998</v>
      </c>
      <c r="V347">
        <v>0.6</v>
      </c>
      <c r="W347">
        <v>1.1000000000000001</v>
      </c>
      <c r="X347">
        <v>1.7</v>
      </c>
      <c r="Y347">
        <v>0.6</v>
      </c>
      <c r="Z347">
        <v>0.1</v>
      </c>
      <c r="AA347">
        <v>0.2</v>
      </c>
      <c r="AB347">
        <v>0.3</v>
      </c>
      <c r="AC347">
        <v>1.2</v>
      </c>
      <c r="AD347">
        <v>3.3</v>
      </c>
      <c r="AE347">
        <v>624</v>
      </c>
      <c r="AF347">
        <v>11.1</v>
      </c>
      <c r="AG347">
        <v>0.60399999999999998</v>
      </c>
      <c r="AH347">
        <v>0.22</v>
      </c>
      <c r="AI347">
        <v>0.50800000000000001</v>
      </c>
      <c r="AJ347">
        <v>6.9</v>
      </c>
      <c r="AK347">
        <v>10.6</v>
      </c>
      <c r="AL347">
        <v>8.8000000000000007</v>
      </c>
      <c r="AM347">
        <v>7.2</v>
      </c>
      <c r="AN347">
        <v>0.5</v>
      </c>
      <c r="AO347">
        <v>1.6</v>
      </c>
      <c r="AP347">
        <v>8.5</v>
      </c>
      <c r="AQ347">
        <v>12.3</v>
      </c>
      <c r="AR347">
        <v>1</v>
      </c>
      <c r="AS347">
        <v>0.4</v>
      </c>
      <c r="AT347">
        <v>1.3</v>
      </c>
      <c r="AU347">
        <v>0.10100000000000001</v>
      </c>
      <c r="AV347">
        <v>-2.4</v>
      </c>
      <c r="AW347">
        <v>-0.9</v>
      </c>
      <c r="AX347">
        <v>-3.3</v>
      </c>
      <c r="AY347">
        <v>-0.2</v>
      </c>
      <c r="AZ347">
        <f t="shared" si="10"/>
        <v>-0.99999999999999989</v>
      </c>
      <c r="BA347">
        <f t="shared" si="11"/>
        <v>-0.54463561154409634</v>
      </c>
    </row>
    <row r="348" spans="1:53" hidden="1" x14ac:dyDescent="0.25">
      <c r="A348" t="s">
        <v>431</v>
      </c>
      <c r="B348" s="2">
        <v>1815677</v>
      </c>
      <c r="C348" t="s">
        <v>65</v>
      </c>
      <c r="D348">
        <v>29</v>
      </c>
      <c r="E348" t="s">
        <v>87</v>
      </c>
      <c r="F348">
        <v>32</v>
      </c>
      <c r="G348">
        <v>1</v>
      </c>
      <c r="H348">
        <v>15</v>
      </c>
      <c r="I348">
        <v>1.9</v>
      </c>
      <c r="J348">
        <v>3.4</v>
      </c>
      <c r="K348">
        <v>0.56499999999999995</v>
      </c>
      <c r="L348">
        <v>0.4</v>
      </c>
      <c r="M348">
        <v>1.1000000000000001</v>
      </c>
      <c r="N348">
        <v>0.371</v>
      </c>
      <c r="O348">
        <v>1.5</v>
      </c>
      <c r="P348">
        <v>2.2999999999999998</v>
      </c>
      <c r="Q348">
        <v>0.65800000000000003</v>
      </c>
      <c r="R348">
        <v>0.625</v>
      </c>
      <c r="S348">
        <v>0.9</v>
      </c>
      <c r="T348">
        <v>1.4</v>
      </c>
      <c r="U348">
        <v>0.66700000000000004</v>
      </c>
      <c r="V348">
        <v>0.8</v>
      </c>
      <c r="W348">
        <v>1.9</v>
      </c>
      <c r="X348">
        <v>2.8</v>
      </c>
      <c r="Y348">
        <v>0.7</v>
      </c>
      <c r="Z348">
        <v>0.8</v>
      </c>
      <c r="AA348">
        <v>0.7</v>
      </c>
      <c r="AB348">
        <v>0.6</v>
      </c>
      <c r="AC348">
        <v>1.6</v>
      </c>
      <c r="AD348">
        <v>5.2</v>
      </c>
      <c r="AE348">
        <v>480</v>
      </c>
      <c r="AF348">
        <v>14.5</v>
      </c>
      <c r="AG348">
        <v>0.64600000000000002</v>
      </c>
      <c r="AH348">
        <v>0.32400000000000001</v>
      </c>
      <c r="AI348">
        <v>0.41699999999999998</v>
      </c>
      <c r="AJ348">
        <v>6.5</v>
      </c>
      <c r="AK348">
        <v>14.2</v>
      </c>
      <c r="AL348">
        <v>10.4</v>
      </c>
      <c r="AM348">
        <v>6.4</v>
      </c>
      <c r="AN348">
        <v>2.4</v>
      </c>
      <c r="AO348">
        <v>4.2</v>
      </c>
      <c r="AP348">
        <v>13.5</v>
      </c>
      <c r="AQ348">
        <v>13.6</v>
      </c>
      <c r="AR348">
        <v>0.6</v>
      </c>
      <c r="AS348">
        <v>0.8</v>
      </c>
      <c r="AT348">
        <v>1.4</v>
      </c>
      <c r="AU348">
        <v>0.14199999999999999</v>
      </c>
      <c r="AV348">
        <v>-1.1000000000000001</v>
      </c>
      <c r="AW348">
        <v>2.5</v>
      </c>
      <c r="AX348">
        <v>1.4</v>
      </c>
      <c r="AY348">
        <v>0.4</v>
      </c>
      <c r="AZ348">
        <f t="shared" si="10"/>
        <v>1.4</v>
      </c>
      <c r="BA348">
        <f t="shared" si="11"/>
        <v>0.77106225391410477</v>
      </c>
    </row>
    <row r="349" spans="1:53" hidden="1" x14ac:dyDescent="0.25">
      <c r="A349" t="s">
        <v>432</v>
      </c>
      <c r="B349" s="2">
        <v>1815677</v>
      </c>
      <c r="C349" t="s">
        <v>52</v>
      </c>
      <c r="D349">
        <v>26</v>
      </c>
      <c r="E349" t="s">
        <v>80</v>
      </c>
      <c r="F349">
        <v>68</v>
      </c>
      <c r="G349">
        <v>34</v>
      </c>
      <c r="H349">
        <v>25.9</v>
      </c>
      <c r="I349">
        <v>3.4</v>
      </c>
      <c r="J349">
        <v>8.3000000000000007</v>
      </c>
      <c r="K349">
        <v>0.40200000000000002</v>
      </c>
      <c r="L349">
        <v>1.7</v>
      </c>
      <c r="M349">
        <v>5.0999999999999996</v>
      </c>
      <c r="N349">
        <v>0.33400000000000002</v>
      </c>
      <c r="O349">
        <v>1.6</v>
      </c>
      <c r="P349">
        <v>3.2</v>
      </c>
      <c r="Q349">
        <v>0.51200000000000001</v>
      </c>
      <c r="R349">
        <v>0.505</v>
      </c>
      <c r="S349">
        <v>1</v>
      </c>
      <c r="T349">
        <v>1.1000000000000001</v>
      </c>
      <c r="U349">
        <v>0.872</v>
      </c>
      <c r="V349">
        <v>0.4</v>
      </c>
      <c r="W349">
        <v>1.7</v>
      </c>
      <c r="X349">
        <v>2.1</v>
      </c>
      <c r="Y349">
        <v>2.5</v>
      </c>
      <c r="Z349">
        <v>0.9</v>
      </c>
      <c r="AA349">
        <v>0.1</v>
      </c>
      <c r="AB349">
        <v>1.4</v>
      </c>
      <c r="AC349">
        <v>2.2999999999999998</v>
      </c>
      <c r="AD349">
        <v>9.4</v>
      </c>
      <c r="AE349">
        <v>1759</v>
      </c>
      <c r="AF349">
        <v>9</v>
      </c>
      <c r="AG349">
        <v>0.53300000000000003</v>
      </c>
      <c r="AH349">
        <v>0.61699999999999999</v>
      </c>
      <c r="AI349">
        <v>0.13800000000000001</v>
      </c>
      <c r="AJ349">
        <v>1.7</v>
      </c>
      <c r="AK349">
        <v>8.1</v>
      </c>
      <c r="AL349">
        <v>4.8</v>
      </c>
      <c r="AM349">
        <v>13.9</v>
      </c>
      <c r="AN349">
        <v>1.8</v>
      </c>
      <c r="AO349">
        <v>0.3</v>
      </c>
      <c r="AP349">
        <v>13.3</v>
      </c>
      <c r="AQ349">
        <v>17.5</v>
      </c>
      <c r="AR349">
        <v>-0.3</v>
      </c>
      <c r="AS349">
        <v>1.7</v>
      </c>
      <c r="AT349">
        <v>1.4</v>
      </c>
      <c r="AU349">
        <v>3.7999999999999999E-2</v>
      </c>
      <c r="AV349">
        <v>-3.1</v>
      </c>
      <c r="AW349">
        <v>-0.3</v>
      </c>
      <c r="AX349">
        <v>-3.4</v>
      </c>
      <c r="AY349">
        <v>-0.6</v>
      </c>
      <c r="AZ349">
        <f t="shared" si="10"/>
        <v>-1</v>
      </c>
      <c r="BA349">
        <f t="shared" si="11"/>
        <v>-0.55075875279578912</v>
      </c>
    </row>
    <row r="350" spans="1:53" x14ac:dyDescent="0.25">
      <c r="A350" t="s">
        <v>433</v>
      </c>
      <c r="B350" s="2">
        <v>1815677</v>
      </c>
      <c r="C350" t="s">
        <v>65</v>
      </c>
      <c r="D350">
        <v>26</v>
      </c>
      <c r="E350" t="s">
        <v>80</v>
      </c>
      <c r="F350">
        <v>80</v>
      </c>
      <c r="G350">
        <v>33</v>
      </c>
      <c r="H350">
        <v>28.4</v>
      </c>
      <c r="I350">
        <v>4.0999999999999996</v>
      </c>
      <c r="J350">
        <v>9.9</v>
      </c>
      <c r="K350">
        <v>0.41</v>
      </c>
      <c r="L350">
        <v>2.5</v>
      </c>
      <c r="M350">
        <v>7</v>
      </c>
      <c r="N350">
        <v>0.35</v>
      </c>
      <c r="O350">
        <v>1.6</v>
      </c>
      <c r="P350">
        <v>2.8</v>
      </c>
      <c r="Q350">
        <v>0.55900000000000005</v>
      </c>
      <c r="R350">
        <v>0.53500000000000003</v>
      </c>
      <c r="S350">
        <v>1</v>
      </c>
      <c r="T350">
        <v>1.1000000000000001</v>
      </c>
      <c r="U350">
        <v>0.876</v>
      </c>
      <c r="V350">
        <v>0.6</v>
      </c>
      <c r="W350">
        <v>2.6</v>
      </c>
      <c r="X350">
        <v>3.2</v>
      </c>
      <c r="Y350">
        <v>2.1</v>
      </c>
      <c r="Z350">
        <v>0.5</v>
      </c>
      <c r="AA350">
        <v>0.2</v>
      </c>
      <c r="AB350">
        <v>0.9</v>
      </c>
      <c r="AC350">
        <v>2.1</v>
      </c>
      <c r="AD350">
        <v>11.5</v>
      </c>
      <c r="AE350">
        <v>2272</v>
      </c>
      <c r="AF350">
        <v>10.8</v>
      </c>
      <c r="AG350">
        <v>0.55700000000000005</v>
      </c>
      <c r="AH350">
        <v>0.71299999999999997</v>
      </c>
      <c r="AI350">
        <v>0.113</v>
      </c>
      <c r="AJ350">
        <v>2.4</v>
      </c>
      <c r="AK350">
        <v>11.2</v>
      </c>
      <c r="AL350">
        <v>6.7</v>
      </c>
      <c r="AM350">
        <v>11.2</v>
      </c>
      <c r="AN350">
        <v>0.9</v>
      </c>
      <c r="AO350">
        <v>0.5</v>
      </c>
      <c r="AP350">
        <v>7.8</v>
      </c>
      <c r="AQ350">
        <v>17.600000000000001</v>
      </c>
      <c r="AR350">
        <v>1.5</v>
      </c>
      <c r="AS350">
        <v>1.9</v>
      </c>
      <c r="AT350">
        <v>3.4</v>
      </c>
      <c r="AU350">
        <v>7.0999999999999994E-2</v>
      </c>
      <c r="AV350">
        <v>-0.8</v>
      </c>
      <c r="AW350">
        <v>-0.9</v>
      </c>
      <c r="AX350">
        <v>-1.7</v>
      </c>
      <c r="AY350">
        <v>0.2</v>
      </c>
      <c r="AZ350" s="8">
        <f t="shared" si="10"/>
        <v>0.85</v>
      </c>
      <c r="BA350" s="8">
        <f t="shared" si="11"/>
        <v>0.46814493987642075</v>
      </c>
    </row>
    <row r="351" spans="1:53" x14ac:dyDescent="0.25">
      <c r="A351" t="s">
        <v>434</v>
      </c>
      <c r="B351" s="2">
        <v>1782621</v>
      </c>
      <c r="C351" t="s">
        <v>75</v>
      </c>
      <c r="D351">
        <v>25</v>
      </c>
      <c r="E351" t="s">
        <v>118</v>
      </c>
      <c r="F351">
        <v>65</v>
      </c>
      <c r="G351">
        <v>9</v>
      </c>
      <c r="H351">
        <v>18.7</v>
      </c>
      <c r="I351">
        <v>3</v>
      </c>
      <c r="J351">
        <v>4.8</v>
      </c>
      <c r="K351">
        <v>0.629</v>
      </c>
      <c r="L351">
        <v>0</v>
      </c>
      <c r="M351">
        <v>0</v>
      </c>
      <c r="N351">
        <v>1</v>
      </c>
      <c r="O351">
        <v>3</v>
      </c>
      <c r="P351">
        <v>4.8</v>
      </c>
      <c r="Q351">
        <v>0.628</v>
      </c>
      <c r="R351">
        <v>0.63100000000000001</v>
      </c>
      <c r="S351">
        <v>2.1</v>
      </c>
      <c r="T351">
        <v>2.8</v>
      </c>
      <c r="U351">
        <v>0.749</v>
      </c>
      <c r="V351">
        <v>2.2999999999999998</v>
      </c>
      <c r="W351">
        <v>4.0999999999999996</v>
      </c>
      <c r="X351">
        <v>6.4</v>
      </c>
      <c r="Y351">
        <v>0.6</v>
      </c>
      <c r="Z351">
        <v>0.2</v>
      </c>
      <c r="AA351">
        <v>1.1000000000000001</v>
      </c>
      <c r="AB351">
        <v>0.9</v>
      </c>
      <c r="AC351">
        <v>2.4</v>
      </c>
      <c r="AD351">
        <v>8.1999999999999993</v>
      </c>
      <c r="AE351">
        <v>1217</v>
      </c>
      <c r="AF351">
        <v>18.3</v>
      </c>
      <c r="AG351">
        <v>0.67600000000000005</v>
      </c>
      <c r="AH351">
        <v>3.0000000000000001E-3</v>
      </c>
      <c r="AI351">
        <v>0.58499999999999996</v>
      </c>
      <c r="AJ351">
        <v>12.6</v>
      </c>
      <c r="AK351">
        <v>24</v>
      </c>
      <c r="AL351">
        <v>18.2</v>
      </c>
      <c r="AM351">
        <v>4.5</v>
      </c>
      <c r="AN351">
        <v>0.4</v>
      </c>
      <c r="AO351">
        <v>5.0999999999999996</v>
      </c>
      <c r="AP351">
        <v>13</v>
      </c>
      <c r="AQ351">
        <v>15.6</v>
      </c>
      <c r="AR351">
        <v>2.7</v>
      </c>
      <c r="AS351">
        <v>1.5</v>
      </c>
      <c r="AT351">
        <v>4.2</v>
      </c>
      <c r="AU351">
        <v>0.16500000000000001</v>
      </c>
      <c r="AV351">
        <v>-1</v>
      </c>
      <c r="AW351">
        <v>-0.2</v>
      </c>
      <c r="AX351">
        <v>-1.3</v>
      </c>
      <c r="AY351">
        <v>0.2</v>
      </c>
      <c r="AZ351" s="8">
        <f t="shared" si="10"/>
        <v>1.4500000000000002</v>
      </c>
      <c r="BA351" s="8">
        <f t="shared" si="11"/>
        <v>0.81340901964018164</v>
      </c>
    </row>
    <row r="352" spans="1:53" hidden="1" x14ac:dyDescent="0.25">
      <c r="A352" t="s">
        <v>435</v>
      </c>
      <c r="B352" s="2">
        <v>1782621</v>
      </c>
      <c r="C352" t="s">
        <v>65</v>
      </c>
      <c r="D352">
        <v>25</v>
      </c>
      <c r="E352" t="s">
        <v>107</v>
      </c>
      <c r="F352">
        <v>62</v>
      </c>
      <c r="G352">
        <v>25</v>
      </c>
      <c r="H352">
        <v>18.100000000000001</v>
      </c>
      <c r="I352">
        <v>2.1</v>
      </c>
      <c r="J352">
        <v>4.5999999999999996</v>
      </c>
      <c r="K352">
        <v>0.44800000000000001</v>
      </c>
      <c r="L352">
        <v>0.5</v>
      </c>
      <c r="M352">
        <v>1.5</v>
      </c>
      <c r="N352">
        <v>0.316</v>
      </c>
      <c r="O352">
        <v>1.6</v>
      </c>
      <c r="P352">
        <v>3.1</v>
      </c>
      <c r="Q352">
        <v>0.51300000000000001</v>
      </c>
      <c r="R352">
        <v>0.5</v>
      </c>
      <c r="S352">
        <v>0.6</v>
      </c>
      <c r="T352">
        <v>0.9</v>
      </c>
      <c r="U352">
        <v>0.70199999999999996</v>
      </c>
      <c r="V352">
        <v>0.8</v>
      </c>
      <c r="W352">
        <v>2.6</v>
      </c>
      <c r="X352">
        <v>3.3</v>
      </c>
      <c r="Y352">
        <v>0.5</v>
      </c>
      <c r="Z352">
        <v>0.4</v>
      </c>
      <c r="AA352">
        <v>0.3</v>
      </c>
      <c r="AB352">
        <v>0.4</v>
      </c>
      <c r="AC352">
        <v>1.3</v>
      </c>
      <c r="AD352">
        <v>5.3</v>
      </c>
      <c r="AE352">
        <v>1120</v>
      </c>
      <c r="AF352">
        <v>9.5</v>
      </c>
      <c r="AG352">
        <v>0.52400000000000002</v>
      </c>
      <c r="AH352">
        <v>0.33</v>
      </c>
      <c r="AI352">
        <v>0.19800000000000001</v>
      </c>
      <c r="AJ352">
        <v>5</v>
      </c>
      <c r="AK352">
        <v>16.7</v>
      </c>
      <c r="AL352">
        <v>10.9</v>
      </c>
      <c r="AM352">
        <v>4</v>
      </c>
      <c r="AN352">
        <v>1.2</v>
      </c>
      <c r="AO352">
        <v>1.6</v>
      </c>
      <c r="AP352">
        <v>7.9</v>
      </c>
      <c r="AQ352">
        <v>13.6</v>
      </c>
      <c r="AR352">
        <v>0.3</v>
      </c>
      <c r="AS352">
        <v>1.6</v>
      </c>
      <c r="AT352">
        <v>1.9</v>
      </c>
      <c r="AU352">
        <v>0.08</v>
      </c>
      <c r="AV352">
        <v>-3</v>
      </c>
      <c r="AW352">
        <v>0.2</v>
      </c>
      <c r="AX352">
        <v>-2.8</v>
      </c>
      <c r="AY352">
        <v>-0.2</v>
      </c>
      <c r="AZ352">
        <f t="shared" si="10"/>
        <v>-0.44999999999999996</v>
      </c>
      <c r="BA352">
        <f t="shared" si="11"/>
        <v>-0.2524372819572977</v>
      </c>
    </row>
    <row r="353" spans="1:53" x14ac:dyDescent="0.25">
      <c r="A353" t="s">
        <v>436</v>
      </c>
      <c r="B353" s="2">
        <v>1782621</v>
      </c>
      <c r="C353" t="s">
        <v>65</v>
      </c>
      <c r="D353">
        <v>25</v>
      </c>
      <c r="E353" t="s">
        <v>100</v>
      </c>
      <c r="F353">
        <v>77</v>
      </c>
      <c r="G353">
        <v>21</v>
      </c>
      <c r="H353">
        <v>23.3</v>
      </c>
      <c r="I353">
        <v>3.2</v>
      </c>
      <c r="J353">
        <v>7.4</v>
      </c>
      <c r="K353">
        <v>0.433</v>
      </c>
      <c r="L353">
        <v>0.9</v>
      </c>
      <c r="M353">
        <v>2.8</v>
      </c>
      <c r="N353">
        <v>0.30299999999999999</v>
      </c>
      <c r="O353">
        <v>2.4</v>
      </c>
      <c r="P353">
        <v>4.5999999999999996</v>
      </c>
      <c r="Q353">
        <v>0.51300000000000001</v>
      </c>
      <c r="R353">
        <v>0.49</v>
      </c>
      <c r="S353">
        <v>1.8</v>
      </c>
      <c r="T353">
        <v>2.2999999999999998</v>
      </c>
      <c r="U353">
        <v>0.78900000000000003</v>
      </c>
      <c r="V353">
        <v>0.6</v>
      </c>
      <c r="W353">
        <v>3</v>
      </c>
      <c r="X353">
        <v>3.6</v>
      </c>
      <c r="Y353">
        <v>2.5</v>
      </c>
      <c r="Z353">
        <v>0.7</v>
      </c>
      <c r="AA353">
        <v>0.2</v>
      </c>
      <c r="AB353">
        <v>1.3</v>
      </c>
      <c r="AC353">
        <v>1.5</v>
      </c>
      <c r="AD353">
        <v>9.1</v>
      </c>
      <c r="AE353">
        <v>1792</v>
      </c>
      <c r="AF353">
        <v>11.4</v>
      </c>
      <c r="AG353">
        <v>0.53900000000000003</v>
      </c>
      <c r="AH353">
        <v>0.38200000000000001</v>
      </c>
      <c r="AI353">
        <v>0.30599999999999999</v>
      </c>
      <c r="AJ353">
        <v>3</v>
      </c>
      <c r="AK353">
        <v>14.6</v>
      </c>
      <c r="AL353">
        <v>8.8000000000000007</v>
      </c>
      <c r="AM353">
        <v>14.4</v>
      </c>
      <c r="AN353">
        <v>1.5</v>
      </c>
      <c r="AO353">
        <v>0.7</v>
      </c>
      <c r="AP353">
        <v>13</v>
      </c>
      <c r="AQ353">
        <v>17.8</v>
      </c>
      <c r="AR353">
        <v>0.5</v>
      </c>
      <c r="AS353">
        <v>2</v>
      </c>
      <c r="AT353">
        <v>2.5</v>
      </c>
      <c r="AU353">
        <v>6.8000000000000005E-2</v>
      </c>
      <c r="AV353">
        <v>-1.9</v>
      </c>
      <c r="AW353">
        <v>0</v>
      </c>
      <c r="AX353">
        <v>-1.9</v>
      </c>
      <c r="AY353">
        <v>0.1</v>
      </c>
      <c r="AZ353" s="8">
        <f t="shared" si="10"/>
        <v>0.30000000000000004</v>
      </c>
      <c r="BA353" s="8">
        <f t="shared" si="11"/>
        <v>0.16829152130486516</v>
      </c>
    </row>
    <row r="354" spans="1:53" hidden="1" x14ac:dyDescent="0.25">
      <c r="A354" t="s">
        <v>437</v>
      </c>
      <c r="B354" s="2">
        <v>1782621</v>
      </c>
      <c r="C354" t="s">
        <v>75</v>
      </c>
      <c r="D354">
        <v>23</v>
      </c>
      <c r="E354" t="s">
        <v>82</v>
      </c>
      <c r="F354">
        <v>69</v>
      </c>
      <c r="G354">
        <v>2</v>
      </c>
      <c r="H354">
        <v>10.9</v>
      </c>
      <c r="I354">
        <v>1.8</v>
      </c>
      <c r="J354">
        <v>3</v>
      </c>
      <c r="K354">
        <v>0.59299999999999997</v>
      </c>
      <c r="L354">
        <v>0</v>
      </c>
      <c r="M354">
        <v>0.1</v>
      </c>
      <c r="N354">
        <v>0.16700000000000001</v>
      </c>
      <c r="O354">
        <v>1.8</v>
      </c>
      <c r="P354">
        <v>2.9</v>
      </c>
      <c r="Q354">
        <v>0.60599999999999998</v>
      </c>
      <c r="R354">
        <v>0.59599999999999997</v>
      </c>
      <c r="S354">
        <v>0.6</v>
      </c>
      <c r="T354">
        <v>0.7</v>
      </c>
      <c r="U354">
        <v>0.745</v>
      </c>
      <c r="V354">
        <v>1.6</v>
      </c>
      <c r="W354">
        <v>2.2000000000000002</v>
      </c>
      <c r="X354">
        <v>3.8</v>
      </c>
      <c r="Y354">
        <v>0.4</v>
      </c>
      <c r="Z354">
        <v>0.7</v>
      </c>
      <c r="AA354">
        <v>0.7</v>
      </c>
      <c r="AB354">
        <v>0.7</v>
      </c>
      <c r="AC354">
        <v>1.8</v>
      </c>
      <c r="AD354">
        <v>4.2</v>
      </c>
      <c r="AE354">
        <v>755</v>
      </c>
      <c r="AF354">
        <v>19.2</v>
      </c>
      <c r="AG354">
        <v>0.62</v>
      </c>
      <c r="AH354">
        <v>2.9000000000000001E-2</v>
      </c>
      <c r="AI354">
        <v>0.24399999999999999</v>
      </c>
      <c r="AJ354">
        <v>17.8</v>
      </c>
      <c r="AK354">
        <v>23.1</v>
      </c>
      <c r="AL354">
        <v>20.5</v>
      </c>
      <c r="AM354">
        <v>5.3</v>
      </c>
      <c r="AN354">
        <v>3</v>
      </c>
      <c r="AO354">
        <v>6.3</v>
      </c>
      <c r="AP354">
        <v>16.3</v>
      </c>
      <c r="AQ354">
        <v>16.399999999999999</v>
      </c>
      <c r="AR354">
        <v>1.2</v>
      </c>
      <c r="AS354">
        <v>1.6</v>
      </c>
      <c r="AT354">
        <v>2.8</v>
      </c>
      <c r="AU354">
        <v>0.18</v>
      </c>
      <c r="AV354">
        <v>-1.6</v>
      </c>
      <c r="AW354">
        <v>1.5</v>
      </c>
      <c r="AX354">
        <v>-0.1</v>
      </c>
      <c r="AY354">
        <v>0.4</v>
      </c>
      <c r="AZ354">
        <f t="shared" si="10"/>
        <v>1.3499999999999999</v>
      </c>
      <c r="BA354">
        <f t="shared" si="11"/>
        <v>0.75731184587189304</v>
      </c>
    </row>
    <row r="355" spans="1:53" x14ac:dyDescent="0.25">
      <c r="A355" t="s">
        <v>438</v>
      </c>
      <c r="B355" s="2">
        <v>1782621</v>
      </c>
      <c r="C355" t="s">
        <v>52</v>
      </c>
      <c r="D355">
        <v>23</v>
      </c>
      <c r="E355" t="s">
        <v>175</v>
      </c>
      <c r="F355">
        <v>68</v>
      </c>
      <c r="G355">
        <v>65</v>
      </c>
      <c r="H355">
        <v>29.2</v>
      </c>
      <c r="I355">
        <v>5</v>
      </c>
      <c r="J355">
        <v>10.9</v>
      </c>
      <c r="K355">
        <v>0.45900000000000002</v>
      </c>
      <c r="L355">
        <v>0.7</v>
      </c>
      <c r="M355">
        <v>2.2999999999999998</v>
      </c>
      <c r="N355">
        <v>0.28499999999999998</v>
      </c>
      <c r="O355">
        <v>4.4000000000000004</v>
      </c>
      <c r="P355">
        <v>8.6</v>
      </c>
      <c r="Q355">
        <v>0.50600000000000001</v>
      </c>
      <c r="R355">
        <v>0.48899999999999999</v>
      </c>
      <c r="S355">
        <v>2.2000000000000002</v>
      </c>
      <c r="T355">
        <v>2.5</v>
      </c>
      <c r="U355">
        <v>0.86</v>
      </c>
      <c r="V355">
        <v>0.8</v>
      </c>
      <c r="W355">
        <v>2.8</v>
      </c>
      <c r="X355">
        <v>3.6</v>
      </c>
      <c r="Y355">
        <v>6.6</v>
      </c>
      <c r="Z355">
        <v>1.3</v>
      </c>
      <c r="AA355">
        <v>0.1</v>
      </c>
      <c r="AB355">
        <v>1.6</v>
      </c>
      <c r="AC355">
        <v>1.4</v>
      </c>
      <c r="AD355">
        <v>12.9</v>
      </c>
      <c r="AE355">
        <v>1984</v>
      </c>
      <c r="AF355">
        <v>16</v>
      </c>
      <c r="AG355">
        <v>0.53400000000000003</v>
      </c>
      <c r="AH355">
        <v>0.21299999999999999</v>
      </c>
      <c r="AI355">
        <v>0.23100000000000001</v>
      </c>
      <c r="AJ355">
        <v>3</v>
      </c>
      <c r="AK355">
        <v>10.8</v>
      </c>
      <c r="AL355">
        <v>6.7</v>
      </c>
      <c r="AM355">
        <v>31.5</v>
      </c>
      <c r="AN355">
        <v>2.1</v>
      </c>
      <c r="AO355">
        <v>0.4</v>
      </c>
      <c r="AP355">
        <v>11.8</v>
      </c>
      <c r="AQ355">
        <v>19.3</v>
      </c>
      <c r="AR355">
        <v>2.6</v>
      </c>
      <c r="AS355">
        <v>0.8</v>
      </c>
      <c r="AT355">
        <v>3.4</v>
      </c>
      <c r="AU355">
        <v>8.2000000000000003E-2</v>
      </c>
      <c r="AV355">
        <v>-0.2</v>
      </c>
      <c r="AW355">
        <v>-0.8</v>
      </c>
      <c r="AX355">
        <v>-1</v>
      </c>
      <c r="AY355">
        <v>0.5</v>
      </c>
      <c r="AZ355" s="8">
        <f t="shared" si="10"/>
        <v>1.2</v>
      </c>
      <c r="BA355" s="8">
        <f t="shared" si="11"/>
        <v>0.67316608521946053</v>
      </c>
    </row>
    <row r="356" spans="1:53" hidden="1" x14ac:dyDescent="0.25">
      <c r="A356" t="s">
        <v>439</v>
      </c>
      <c r="B356" s="2">
        <v>1752638</v>
      </c>
      <c r="C356" t="s">
        <v>28</v>
      </c>
      <c r="D356">
        <v>26</v>
      </c>
      <c r="E356" t="s">
        <v>80</v>
      </c>
      <c r="F356">
        <v>54</v>
      </c>
      <c r="G356">
        <v>11</v>
      </c>
      <c r="H356">
        <v>17.899999999999999</v>
      </c>
      <c r="I356">
        <v>1.7</v>
      </c>
      <c r="J356">
        <v>4</v>
      </c>
      <c r="K356">
        <v>0.43099999999999999</v>
      </c>
      <c r="L356">
        <v>0.7</v>
      </c>
      <c r="M356">
        <v>2</v>
      </c>
      <c r="N356">
        <v>0.33900000000000002</v>
      </c>
      <c r="O356">
        <v>1</v>
      </c>
      <c r="P356">
        <v>2</v>
      </c>
      <c r="Q356">
        <v>0.52300000000000002</v>
      </c>
      <c r="R356">
        <v>0.51600000000000001</v>
      </c>
      <c r="S356">
        <v>0.2</v>
      </c>
      <c r="T356">
        <v>0.5</v>
      </c>
      <c r="U356">
        <v>0.46400000000000002</v>
      </c>
      <c r="V356">
        <v>1.1000000000000001</v>
      </c>
      <c r="W356">
        <v>2.4</v>
      </c>
      <c r="X356">
        <v>3.5</v>
      </c>
      <c r="Y356">
        <v>0.8</v>
      </c>
      <c r="Z356">
        <v>0.7</v>
      </c>
      <c r="AA356">
        <v>0.3</v>
      </c>
      <c r="AB356">
        <v>0.8</v>
      </c>
      <c r="AC356">
        <v>1.5</v>
      </c>
      <c r="AD356">
        <v>4.4000000000000004</v>
      </c>
      <c r="AE356">
        <v>969</v>
      </c>
      <c r="AF356">
        <v>8.5</v>
      </c>
      <c r="AG356">
        <v>0.51700000000000002</v>
      </c>
      <c r="AH356">
        <v>0.505</v>
      </c>
      <c r="AI356">
        <v>0.13</v>
      </c>
      <c r="AJ356">
        <v>6.7</v>
      </c>
      <c r="AK356">
        <v>16.399999999999999</v>
      </c>
      <c r="AL356">
        <v>11.4</v>
      </c>
      <c r="AM356">
        <v>6.2</v>
      </c>
      <c r="AN356">
        <v>1.9</v>
      </c>
      <c r="AO356">
        <v>1.8</v>
      </c>
      <c r="AP356">
        <v>16.5</v>
      </c>
      <c r="AQ356">
        <v>12.5</v>
      </c>
      <c r="AR356">
        <v>-0.3</v>
      </c>
      <c r="AS356">
        <v>1.3</v>
      </c>
      <c r="AT356">
        <v>0.9</v>
      </c>
      <c r="AU356">
        <v>4.5999999999999999E-2</v>
      </c>
      <c r="AV356">
        <v>-3.7</v>
      </c>
      <c r="AW356">
        <v>0.7</v>
      </c>
      <c r="AX356">
        <v>-3.1</v>
      </c>
      <c r="AY356">
        <v>-0.3</v>
      </c>
      <c r="AZ356">
        <f t="shared" si="10"/>
        <v>-1.1000000000000001</v>
      </c>
      <c r="BA356">
        <f t="shared" si="11"/>
        <v>-0.62762532821951822</v>
      </c>
    </row>
    <row r="357" spans="1:53" hidden="1" x14ac:dyDescent="0.25">
      <c r="A357" t="s">
        <v>440</v>
      </c>
      <c r="B357" s="2">
        <v>1752638</v>
      </c>
      <c r="C357" t="s">
        <v>75</v>
      </c>
      <c r="D357">
        <v>24</v>
      </c>
      <c r="E357" t="s">
        <v>80</v>
      </c>
      <c r="F357">
        <v>9</v>
      </c>
      <c r="G357">
        <v>0</v>
      </c>
      <c r="H357">
        <v>9.1999999999999993</v>
      </c>
      <c r="I357">
        <v>1.8</v>
      </c>
      <c r="J357">
        <v>3</v>
      </c>
      <c r="K357">
        <v>0.59299999999999997</v>
      </c>
      <c r="L357">
        <v>0.3</v>
      </c>
      <c r="M357">
        <v>0.8</v>
      </c>
      <c r="N357">
        <v>0.42899999999999999</v>
      </c>
      <c r="O357">
        <v>1.4</v>
      </c>
      <c r="P357">
        <v>2.2000000000000002</v>
      </c>
      <c r="Q357">
        <v>0.65</v>
      </c>
      <c r="R357">
        <v>0.64800000000000002</v>
      </c>
      <c r="S357">
        <v>0.6</v>
      </c>
      <c r="T357">
        <v>0.7</v>
      </c>
      <c r="U357">
        <v>0.83299999999999996</v>
      </c>
      <c r="V357">
        <v>0.9</v>
      </c>
      <c r="W357">
        <v>1.7</v>
      </c>
      <c r="X357">
        <v>2.6</v>
      </c>
      <c r="Y357">
        <v>0.2</v>
      </c>
      <c r="Z357">
        <v>0.2</v>
      </c>
      <c r="AA357">
        <v>0.2</v>
      </c>
      <c r="AB357">
        <v>0.4</v>
      </c>
      <c r="AC357">
        <v>1.8</v>
      </c>
      <c r="AD357">
        <v>4.4000000000000004</v>
      </c>
      <c r="AE357">
        <v>83</v>
      </c>
      <c r="AF357">
        <v>16.7</v>
      </c>
      <c r="AG357">
        <v>0.67500000000000004</v>
      </c>
      <c r="AH357">
        <v>0.25900000000000001</v>
      </c>
      <c r="AI357">
        <v>0.222</v>
      </c>
      <c r="AJ357">
        <v>10.9</v>
      </c>
      <c r="AK357">
        <v>21.9</v>
      </c>
      <c r="AL357">
        <v>16.2</v>
      </c>
      <c r="AM357">
        <v>3.9</v>
      </c>
      <c r="AN357">
        <v>1.2</v>
      </c>
      <c r="AO357">
        <v>2.5</v>
      </c>
      <c r="AP357">
        <v>11.9</v>
      </c>
      <c r="AQ357">
        <v>18</v>
      </c>
      <c r="AR357">
        <v>0.2</v>
      </c>
      <c r="AS357">
        <v>0.1</v>
      </c>
      <c r="AT357">
        <v>0.3</v>
      </c>
      <c r="AU357">
        <v>0.159</v>
      </c>
      <c r="AV357">
        <v>-2.5</v>
      </c>
      <c r="AW357">
        <v>-1.5</v>
      </c>
      <c r="AX357">
        <v>-3.9</v>
      </c>
      <c r="AY357">
        <v>0</v>
      </c>
      <c r="AZ357">
        <f t="shared" si="10"/>
        <v>-1.8</v>
      </c>
      <c r="BA357">
        <f t="shared" si="11"/>
        <v>-1.0270232643592117</v>
      </c>
    </row>
    <row r="358" spans="1:53" hidden="1" x14ac:dyDescent="0.25">
      <c r="A358" t="s">
        <v>441</v>
      </c>
      <c r="B358" s="2">
        <v>1709300</v>
      </c>
      <c r="C358" t="s">
        <v>65</v>
      </c>
      <c r="D358">
        <v>22</v>
      </c>
      <c r="E358" t="s">
        <v>130</v>
      </c>
      <c r="F358">
        <v>14</v>
      </c>
      <c r="G358">
        <v>0</v>
      </c>
      <c r="H358">
        <v>4.9000000000000004</v>
      </c>
      <c r="I358">
        <v>0.2</v>
      </c>
      <c r="J358">
        <v>1.4</v>
      </c>
      <c r="K358">
        <v>0.15</v>
      </c>
      <c r="L358">
        <v>0</v>
      </c>
      <c r="M358">
        <v>0.3</v>
      </c>
      <c r="N358">
        <v>0</v>
      </c>
      <c r="O358">
        <v>0.2</v>
      </c>
      <c r="P358">
        <v>1.1000000000000001</v>
      </c>
      <c r="Q358">
        <v>0.188</v>
      </c>
      <c r="R358">
        <v>0.15</v>
      </c>
      <c r="S358">
        <v>0</v>
      </c>
      <c r="T358">
        <v>0</v>
      </c>
      <c r="V358">
        <v>0.3</v>
      </c>
      <c r="W358">
        <v>0.2</v>
      </c>
      <c r="X358">
        <v>0.5</v>
      </c>
      <c r="Y358">
        <v>0.5</v>
      </c>
      <c r="Z358">
        <v>0.2</v>
      </c>
      <c r="AA358">
        <v>0.1</v>
      </c>
      <c r="AB358">
        <v>0.5</v>
      </c>
      <c r="AC358">
        <v>0.7</v>
      </c>
      <c r="AD358">
        <v>0.4</v>
      </c>
      <c r="AE358">
        <v>68</v>
      </c>
      <c r="AF358">
        <v>-5</v>
      </c>
      <c r="AG358">
        <v>0.15</v>
      </c>
      <c r="AH358">
        <v>0.2</v>
      </c>
      <c r="AI358">
        <v>0</v>
      </c>
      <c r="AJ358">
        <v>6.5</v>
      </c>
      <c r="AK358">
        <v>4.7</v>
      </c>
      <c r="AL358">
        <v>5.6</v>
      </c>
      <c r="AM358">
        <v>12.3</v>
      </c>
      <c r="AN358">
        <v>2.1</v>
      </c>
      <c r="AO358">
        <v>1.2</v>
      </c>
      <c r="AP358">
        <v>25.9</v>
      </c>
      <c r="AQ358">
        <v>16.600000000000001</v>
      </c>
      <c r="AR358">
        <v>-0.4</v>
      </c>
      <c r="AS358">
        <v>0</v>
      </c>
      <c r="AT358">
        <v>-0.3</v>
      </c>
      <c r="AU358">
        <v>-0.23100000000000001</v>
      </c>
      <c r="AV358">
        <v>-12.4</v>
      </c>
      <c r="AW358">
        <v>-2.2999999999999998</v>
      </c>
      <c r="AX358">
        <v>-14.7</v>
      </c>
      <c r="AY358">
        <v>-0.2</v>
      </c>
      <c r="AZ358">
        <f t="shared" si="10"/>
        <v>-7.5</v>
      </c>
      <c r="BA358">
        <f t="shared" si="11"/>
        <v>-4.3877610717837712</v>
      </c>
    </row>
    <row r="359" spans="1:53" hidden="1" x14ac:dyDescent="0.25">
      <c r="A359" t="s">
        <v>442</v>
      </c>
      <c r="B359" s="2">
        <v>1703902</v>
      </c>
      <c r="C359" t="s">
        <v>28</v>
      </c>
      <c r="D359">
        <v>23</v>
      </c>
      <c r="E359" t="s">
        <v>93</v>
      </c>
      <c r="F359">
        <v>31</v>
      </c>
      <c r="G359">
        <v>2</v>
      </c>
      <c r="H359">
        <v>8.5</v>
      </c>
      <c r="I359">
        <v>1.3</v>
      </c>
      <c r="J359">
        <v>2.4</v>
      </c>
      <c r="K359">
        <v>0.52</v>
      </c>
      <c r="L359">
        <v>0.2</v>
      </c>
      <c r="M359">
        <v>0.6</v>
      </c>
      <c r="N359">
        <v>0.26300000000000001</v>
      </c>
      <c r="O359">
        <v>1.1000000000000001</v>
      </c>
      <c r="P359">
        <v>1.8</v>
      </c>
      <c r="Q359">
        <v>0.60699999999999998</v>
      </c>
      <c r="R359">
        <v>0.55300000000000005</v>
      </c>
      <c r="S359">
        <v>0.2</v>
      </c>
      <c r="T359">
        <v>0.4</v>
      </c>
      <c r="U359">
        <v>0.54500000000000004</v>
      </c>
      <c r="V359">
        <v>0.9</v>
      </c>
      <c r="W359">
        <v>0.6</v>
      </c>
      <c r="X359">
        <v>1.5</v>
      </c>
      <c r="Y359">
        <v>0.3</v>
      </c>
      <c r="Z359">
        <v>0.1</v>
      </c>
      <c r="AA359">
        <v>0.2</v>
      </c>
      <c r="AB359">
        <v>0.3</v>
      </c>
      <c r="AC359">
        <v>0.8</v>
      </c>
      <c r="AD359">
        <v>2.9</v>
      </c>
      <c r="AE359">
        <v>264</v>
      </c>
      <c r="AF359">
        <v>11</v>
      </c>
      <c r="AG359">
        <v>0.55700000000000005</v>
      </c>
      <c r="AH359">
        <v>0.253</v>
      </c>
      <c r="AI359">
        <v>0.14699999999999999</v>
      </c>
      <c r="AJ359">
        <v>11.4</v>
      </c>
      <c r="AK359">
        <v>8.4</v>
      </c>
      <c r="AL359">
        <v>9.9</v>
      </c>
      <c r="AM359">
        <v>5.0999999999999996</v>
      </c>
      <c r="AN359">
        <v>0.5</v>
      </c>
      <c r="AO359">
        <v>2</v>
      </c>
      <c r="AP359">
        <v>10.1</v>
      </c>
      <c r="AQ359">
        <v>14.2</v>
      </c>
      <c r="AR359">
        <v>0.2</v>
      </c>
      <c r="AS359">
        <v>0.1</v>
      </c>
      <c r="AT359">
        <v>0.3</v>
      </c>
      <c r="AU359">
        <v>5.3999999999999999E-2</v>
      </c>
      <c r="AV359">
        <v>-2.2999999999999998</v>
      </c>
      <c r="AW359">
        <v>-1.8</v>
      </c>
      <c r="AX359">
        <v>-4.0999999999999996</v>
      </c>
      <c r="AY359">
        <v>-0.1</v>
      </c>
      <c r="AZ359">
        <f t="shared" si="10"/>
        <v>-1.9</v>
      </c>
      <c r="BA359">
        <f t="shared" si="11"/>
        <v>-1.1150876048035627</v>
      </c>
    </row>
    <row r="360" spans="1:53" hidden="1" x14ac:dyDescent="0.25">
      <c r="A360" t="s">
        <v>443</v>
      </c>
      <c r="B360" s="2">
        <v>1674655</v>
      </c>
      <c r="C360" t="s">
        <v>52</v>
      </c>
      <c r="D360">
        <v>22</v>
      </c>
      <c r="E360" t="s">
        <v>109</v>
      </c>
      <c r="F360">
        <v>6</v>
      </c>
      <c r="G360">
        <v>1</v>
      </c>
      <c r="H360">
        <v>12.8</v>
      </c>
      <c r="I360">
        <v>2.5</v>
      </c>
      <c r="J360">
        <v>5.3</v>
      </c>
      <c r="K360">
        <v>0.46899999999999997</v>
      </c>
      <c r="L360">
        <v>1.2</v>
      </c>
      <c r="M360">
        <v>2.2999999999999998</v>
      </c>
      <c r="N360">
        <v>0.5</v>
      </c>
      <c r="O360">
        <v>1.3</v>
      </c>
      <c r="P360">
        <v>3</v>
      </c>
      <c r="Q360">
        <v>0.44400000000000001</v>
      </c>
      <c r="R360">
        <v>0.57799999999999996</v>
      </c>
      <c r="S360">
        <v>0</v>
      </c>
      <c r="T360">
        <v>0</v>
      </c>
      <c r="V360">
        <v>0.2</v>
      </c>
      <c r="W360">
        <v>0.5</v>
      </c>
      <c r="X360">
        <v>0.7</v>
      </c>
      <c r="Y360">
        <v>1.3</v>
      </c>
      <c r="Z360">
        <v>0.8</v>
      </c>
      <c r="AA360">
        <v>0</v>
      </c>
      <c r="AB360">
        <v>0.8</v>
      </c>
      <c r="AC360">
        <v>0.8</v>
      </c>
      <c r="AD360">
        <v>6.2</v>
      </c>
      <c r="AE360">
        <v>77</v>
      </c>
      <c r="AF360">
        <v>13</v>
      </c>
      <c r="AG360">
        <v>0.57799999999999996</v>
      </c>
      <c r="AH360">
        <v>0.438</v>
      </c>
      <c r="AI360">
        <v>0</v>
      </c>
      <c r="AJ360">
        <v>1.4</v>
      </c>
      <c r="AK360">
        <v>4.3</v>
      </c>
      <c r="AL360">
        <v>2.8</v>
      </c>
      <c r="AM360">
        <v>15</v>
      </c>
      <c r="AN360">
        <v>3.1</v>
      </c>
      <c r="AO360">
        <v>0</v>
      </c>
      <c r="AP360">
        <v>13.5</v>
      </c>
      <c r="AQ360">
        <v>20.100000000000001</v>
      </c>
      <c r="AR360">
        <v>0</v>
      </c>
      <c r="AS360">
        <v>0.1</v>
      </c>
      <c r="AT360">
        <v>0.1</v>
      </c>
      <c r="AU360">
        <v>6.0999999999999999E-2</v>
      </c>
      <c r="AV360">
        <v>-2.2000000000000002</v>
      </c>
      <c r="AW360">
        <v>-0.4</v>
      </c>
      <c r="AX360">
        <v>-2.6</v>
      </c>
      <c r="AY360">
        <v>0</v>
      </c>
      <c r="AZ360">
        <f t="shared" si="10"/>
        <v>-1.25</v>
      </c>
      <c r="BA360">
        <f t="shared" si="11"/>
        <v>-0.74642239744902683</v>
      </c>
    </row>
    <row r="361" spans="1:53" hidden="1" x14ac:dyDescent="0.25">
      <c r="A361" t="s">
        <v>444</v>
      </c>
      <c r="B361" s="2">
        <v>1639842</v>
      </c>
      <c r="C361" t="s">
        <v>75</v>
      </c>
      <c r="D361">
        <v>24</v>
      </c>
      <c r="E361" t="s">
        <v>123</v>
      </c>
      <c r="F361">
        <v>52</v>
      </c>
      <c r="G361">
        <v>16</v>
      </c>
      <c r="H361">
        <v>15.6</v>
      </c>
      <c r="I361">
        <v>1.6</v>
      </c>
      <c r="J361">
        <v>2.1</v>
      </c>
      <c r="K361">
        <v>0.77600000000000002</v>
      </c>
      <c r="L361">
        <v>0</v>
      </c>
      <c r="M361">
        <v>0</v>
      </c>
      <c r="N361">
        <v>0</v>
      </c>
      <c r="O361">
        <v>1.6</v>
      </c>
      <c r="P361">
        <v>2</v>
      </c>
      <c r="Q361">
        <v>0.78300000000000003</v>
      </c>
      <c r="R361">
        <v>0.77600000000000002</v>
      </c>
      <c r="S361">
        <v>0.2</v>
      </c>
      <c r="T361">
        <v>0.3</v>
      </c>
      <c r="U361">
        <v>0.75</v>
      </c>
      <c r="V361">
        <v>1.9</v>
      </c>
      <c r="W361">
        <v>2.8</v>
      </c>
      <c r="X361">
        <v>4.7</v>
      </c>
      <c r="Y361">
        <v>0.5</v>
      </c>
      <c r="Z361">
        <v>0.3</v>
      </c>
      <c r="AA361">
        <v>0.5</v>
      </c>
      <c r="AB361">
        <v>0.5</v>
      </c>
      <c r="AC361">
        <v>1.8</v>
      </c>
      <c r="AD361">
        <v>3.4</v>
      </c>
      <c r="AE361">
        <v>812</v>
      </c>
      <c r="AF361">
        <v>13.8</v>
      </c>
      <c r="AG361">
        <v>0.78</v>
      </c>
      <c r="AH361">
        <v>8.9999999999999993E-3</v>
      </c>
      <c r="AI361">
        <v>0.15</v>
      </c>
      <c r="AJ361">
        <v>13.3</v>
      </c>
      <c r="AK361">
        <v>19.399999999999999</v>
      </c>
      <c r="AL361">
        <v>16.399999999999999</v>
      </c>
      <c r="AM361">
        <v>4</v>
      </c>
      <c r="AN361">
        <v>0.9</v>
      </c>
      <c r="AO361">
        <v>3.2</v>
      </c>
      <c r="AP361">
        <v>19.100000000000001</v>
      </c>
      <c r="AQ361">
        <v>7.4</v>
      </c>
      <c r="AR361">
        <v>1.6</v>
      </c>
      <c r="AS361">
        <v>0.9</v>
      </c>
      <c r="AT361">
        <v>2.6</v>
      </c>
      <c r="AU361">
        <v>0.153</v>
      </c>
      <c r="AV361">
        <v>-1</v>
      </c>
      <c r="AW361">
        <v>0.5</v>
      </c>
      <c r="AX361">
        <v>-0.5</v>
      </c>
      <c r="AY361">
        <v>0.3</v>
      </c>
      <c r="AZ361">
        <f t="shared" si="10"/>
        <v>1.05</v>
      </c>
      <c r="BA361">
        <f t="shared" si="11"/>
        <v>0.6403055904166377</v>
      </c>
    </row>
    <row r="362" spans="1:53" x14ac:dyDescent="0.25">
      <c r="A362" t="s">
        <v>445</v>
      </c>
      <c r="B362" s="2">
        <v>1637966</v>
      </c>
      <c r="C362" t="s">
        <v>65</v>
      </c>
      <c r="D362">
        <v>25</v>
      </c>
      <c r="E362" t="s">
        <v>113</v>
      </c>
      <c r="F362">
        <v>80</v>
      </c>
      <c r="G362">
        <v>8</v>
      </c>
      <c r="H362">
        <v>16.100000000000001</v>
      </c>
      <c r="I362">
        <v>2.2999999999999998</v>
      </c>
      <c r="J362">
        <v>5</v>
      </c>
      <c r="K362">
        <v>0.45500000000000002</v>
      </c>
      <c r="L362">
        <v>1.8</v>
      </c>
      <c r="M362">
        <v>4.2</v>
      </c>
      <c r="N362">
        <v>0.41799999999999998</v>
      </c>
      <c r="O362">
        <v>0.5</v>
      </c>
      <c r="P362">
        <v>0.8</v>
      </c>
      <c r="Q362">
        <v>0.65600000000000003</v>
      </c>
      <c r="R362">
        <v>0.63100000000000001</v>
      </c>
      <c r="S362">
        <v>0.2</v>
      </c>
      <c r="T362">
        <v>0.2</v>
      </c>
      <c r="U362">
        <v>0.70599999999999996</v>
      </c>
      <c r="V362">
        <v>0.4</v>
      </c>
      <c r="W362">
        <v>2.1</v>
      </c>
      <c r="X362">
        <v>2.6</v>
      </c>
      <c r="Y362">
        <v>0.9</v>
      </c>
      <c r="Z362">
        <v>0.4</v>
      </c>
      <c r="AA362">
        <v>0.3</v>
      </c>
      <c r="AB362">
        <v>0.4</v>
      </c>
      <c r="AC362">
        <v>1.2</v>
      </c>
      <c r="AD362">
        <v>6.4</v>
      </c>
      <c r="AE362">
        <v>1290</v>
      </c>
      <c r="AF362">
        <v>12.7</v>
      </c>
      <c r="AG362">
        <v>0.63400000000000001</v>
      </c>
      <c r="AH362">
        <v>0.84599999999999997</v>
      </c>
      <c r="AI362">
        <v>4.2999999999999997E-2</v>
      </c>
      <c r="AJ362">
        <v>3</v>
      </c>
      <c r="AK362">
        <v>14.1</v>
      </c>
      <c r="AL362">
        <v>8.6</v>
      </c>
      <c r="AM362">
        <v>7.6</v>
      </c>
      <c r="AN362">
        <v>1.1000000000000001</v>
      </c>
      <c r="AO362">
        <v>1.4</v>
      </c>
      <c r="AP362">
        <v>6.9</v>
      </c>
      <c r="AQ362">
        <v>14.7</v>
      </c>
      <c r="AR362">
        <v>1.8</v>
      </c>
      <c r="AS362">
        <v>1.6</v>
      </c>
      <c r="AT362">
        <v>3.4</v>
      </c>
      <c r="AU362">
        <v>0.128</v>
      </c>
      <c r="AV362">
        <v>0.6</v>
      </c>
      <c r="AW362">
        <v>0.4</v>
      </c>
      <c r="AX362">
        <v>1</v>
      </c>
      <c r="AY362">
        <v>1</v>
      </c>
      <c r="AZ362" s="8">
        <f t="shared" si="10"/>
        <v>2.2000000000000002</v>
      </c>
      <c r="BA362" s="8">
        <f t="shared" si="11"/>
        <v>1.3431292224624931</v>
      </c>
    </row>
    <row r="363" spans="1:53" hidden="1" x14ac:dyDescent="0.25">
      <c r="A363" t="s">
        <v>446</v>
      </c>
      <c r="B363" s="2">
        <v>1637966</v>
      </c>
      <c r="C363" t="s">
        <v>65</v>
      </c>
      <c r="D363">
        <v>22</v>
      </c>
      <c r="E363" t="s">
        <v>116</v>
      </c>
      <c r="F363">
        <v>36</v>
      </c>
      <c r="G363">
        <v>4</v>
      </c>
      <c r="H363">
        <v>10.7</v>
      </c>
      <c r="I363">
        <v>1</v>
      </c>
      <c r="J363">
        <v>2.6</v>
      </c>
      <c r="K363">
        <v>0.38700000000000001</v>
      </c>
      <c r="L363">
        <v>0.5</v>
      </c>
      <c r="M363">
        <v>1.5</v>
      </c>
      <c r="N363">
        <v>0.309</v>
      </c>
      <c r="O363">
        <v>0.5</v>
      </c>
      <c r="P363">
        <v>1.1000000000000001</v>
      </c>
      <c r="Q363">
        <v>0.5</v>
      </c>
      <c r="R363">
        <v>0.47799999999999998</v>
      </c>
      <c r="S363">
        <v>0.3</v>
      </c>
      <c r="T363">
        <v>0.4</v>
      </c>
      <c r="U363">
        <v>0.73299999999999998</v>
      </c>
      <c r="V363">
        <v>0.6</v>
      </c>
      <c r="W363">
        <v>1.1000000000000001</v>
      </c>
      <c r="X363">
        <v>1.7</v>
      </c>
      <c r="Y363">
        <v>0.6</v>
      </c>
      <c r="Z363">
        <v>0.4</v>
      </c>
      <c r="AA363">
        <v>0.2</v>
      </c>
      <c r="AB363">
        <v>0.4</v>
      </c>
      <c r="AC363">
        <v>1.1000000000000001</v>
      </c>
      <c r="AD363">
        <v>2.8</v>
      </c>
      <c r="AE363">
        <v>385</v>
      </c>
      <c r="AF363">
        <v>8.4</v>
      </c>
      <c r="AG363">
        <v>0.502</v>
      </c>
      <c r="AH363">
        <v>0.59099999999999997</v>
      </c>
      <c r="AI363">
        <v>0.161</v>
      </c>
      <c r="AJ363">
        <v>6.9</v>
      </c>
      <c r="AK363">
        <v>11.1</v>
      </c>
      <c r="AL363">
        <v>9</v>
      </c>
      <c r="AM363">
        <v>7.5</v>
      </c>
      <c r="AN363">
        <v>1.7</v>
      </c>
      <c r="AO363">
        <v>1.4</v>
      </c>
      <c r="AP363">
        <v>11.5</v>
      </c>
      <c r="AQ363">
        <v>12.7</v>
      </c>
      <c r="AR363">
        <v>0.1</v>
      </c>
      <c r="AS363">
        <v>0.3</v>
      </c>
      <c r="AT363">
        <v>0.4</v>
      </c>
      <c r="AU363">
        <v>4.8000000000000001E-2</v>
      </c>
      <c r="AV363">
        <v>-3.2</v>
      </c>
      <c r="AW363">
        <v>-0.7</v>
      </c>
      <c r="AX363">
        <v>-3.9</v>
      </c>
      <c r="AY363">
        <v>-0.2</v>
      </c>
      <c r="AZ363">
        <f t="shared" si="10"/>
        <v>-1.75</v>
      </c>
      <c r="BA363">
        <f t="shared" si="11"/>
        <v>-1.0683982451406195</v>
      </c>
    </row>
    <row r="364" spans="1:53" hidden="1" x14ac:dyDescent="0.25">
      <c r="A364" t="s">
        <v>447</v>
      </c>
      <c r="B364" s="2">
        <v>1575000</v>
      </c>
      <c r="C364" t="s">
        <v>28</v>
      </c>
      <c r="D364">
        <v>21</v>
      </c>
      <c r="E364" t="s">
        <v>63</v>
      </c>
      <c r="F364">
        <v>6</v>
      </c>
      <c r="G364">
        <v>1</v>
      </c>
      <c r="H364">
        <v>10.199999999999999</v>
      </c>
      <c r="I364">
        <v>0.5</v>
      </c>
      <c r="J364">
        <v>3.2</v>
      </c>
      <c r="K364">
        <v>0.158</v>
      </c>
      <c r="L364">
        <v>0.2</v>
      </c>
      <c r="M364">
        <v>1.7</v>
      </c>
      <c r="N364">
        <v>0.1</v>
      </c>
      <c r="O364">
        <v>0.3</v>
      </c>
      <c r="P364">
        <v>1.5</v>
      </c>
      <c r="Q364">
        <v>0.222</v>
      </c>
      <c r="R364">
        <v>0.184</v>
      </c>
      <c r="S364">
        <v>0.3</v>
      </c>
      <c r="T364">
        <v>0.3</v>
      </c>
      <c r="U364">
        <v>1</v>
      </c>
      <c r="V364">
        <v>0.3</v>
      </c>
      <c r="W364">
        <v>1.7</v>
      </c>
      <c r="X364">
        <v>2</v>
      </c>
      <c r="Y364">
        <v>0.7</v>
      </c>
      <c r="Z364">
        <v>0.2</v>
      </c>
      <c r="AA364">
        <v>0</v>
      </c>
      <c r="AB364">
        <v>0.3</v>
      </c>
      <c r="AC364">
        <v>0.7</v>
      </c>
      <c r="AD364">
        <v>1.5</v>
      </c>
      <c r="AE364">
        <v>61</v>
      </c>
      <c r="AF364">
        <v>-1</v>
      </c>
      <c r="AG364">
        <v>0.22600000000000001</v>
      </c>
      <c r="AH364">
        <v>0.52600000000000002</v>
      </c>
      <c r="AI364">
        <v>0.105</v>
      </c>
      <c r="AJ364">
        <v>3.8</v>
      </c>
      <c r="AK364">
        <v>17.600000000000001</v>
      </c>
      <c r="AL364">
        <v>10.9</v>
      </c>
      <c r="AM364">
        <v>7.9</v>
      </c>
      <c r="AN364">
        <v>0.8</v>
      </c>
      <c r="AO364">
        <v>0</v>
      </c>
      <c r="AP364">
        <v>9.1</v>
      </c>
      <c r="AQ364">
        <v>15.6</v>
      </c>
      <c r="AR364">
        <v>-0.2</v>
      </c>
      <c r="AS364">
        <v>0</v>
      </c>
      <c r="AT364">
        <v>-0.2</v>
      </c>
      <c r="AU364">
        <v>-0.14699999999999999</v>
      </c>
      <c r="AV364">
        <v>-10.3</v>
      </c>
      <c r="AW364">
        <v>-3.9</v>
      </c>
      <c r="AX364">
        <v>-14.2</v>
      </c>
      <c r="AY364">
        <v>-0.2</v>
      </c>
      <c r="AZ364">
        <f t="shared" si="10"/>
        <v>-7.1999999999999993</v>
      </c>
      <c r="BA364">
        <f t="shared" si="11"/>
        <v>-4.5714285714285712</v>
      </c>
    </row>
    <row r="365" spans="1:53" hidden="1" x14ac:dyDescent="0.25">
      <c r="A365" t="s">
        <v>448</v>
      </c>
      <c r="B365" s="2">
        <v>1563518</v>
      </c>
      <c r="C365" t="s">
        <v>52</v>
      </c>
      <c r="D365">
        <v>22</v>
      </c>
      <c r="E365" t="s">
        <v>85</v>
      </c>
      <c r="F365">
        <v>29</v>
      </c>
      <c r="G365">
        <v>0</v>
      </c>
      <c r="H365">
        <v>5.7</v>
      </c>
      <c r="I365">
        <v>0.5</v>
      </c>
      <c r="J365">
        <v>1.3</v>
      </c>
      <c r="K365">
        <v>0.40500000000000003</v>
      </c>
      <c r="L365">
        <v>0.2</v>
      </c>
      <c r="M365">
        <v>0.7</v>
      </c>
      <c r="N365">
        <v>0.23799999999999999</v>
      </c>
      <c r="O365">
        <v>0.3</v>
      </c>
      <c r="P365">
        <v>0.6</v>
      </c>
      <c r="Q365">
        <v>0.625</v>
      </c>
      <c r="R365">
        <v>0.47299999999999998</v>
      </c>
      <c r="S365">
        <v>0</v>
      </c>
      <c r="T365">
        <v>0.1</v>
      </c>
      <c r="U365">
        <v>0.5</v>
      </c>
      <c r="V365">
        <v>0.2</v>
      </c>
      <c r="W365">
        <v>0.7</v>
      </c>
      <c r="X365">
        <v>0.9</v>
      </c>
      <c r="Y365">
        <v>0.6</v>
      </c>
      <c r="Z365">
        <v>0.2</v>
      </c>
      <c r="AA365">
        <v>0</v>
      </c>
      <c r="AB365">
        <v>0.2</v>
      </c>
      <c r="AC365">
        <v>0.6</v>
      </c>
      <c r="AD365">
        <v>1.2</v>
      </c>
      <c r="AE365">
        <v>165</v>
      </c>
      <c r="AF365">
        <v>7.7</v>
      </c>
      <c r="AG365">
        <v>0.47499999999999998</v>
      </c>
      <c r="AH365">
        <v>0.56799999999999995</v>
      </c>
      <c r="AI365">
        <v>5.3999999999999999E-2</v>
      </c>
      <c r="AJ365">
        <v>3.9</v>
      </c>
      <c r="AK365">
        <v>13.4</v>
      </c>
      <c r="AL365">
        <v>8.6</v>
      </c>
      <c r="AM365">
        <v>12.4</v>
      </c>
      <c r="AN365">
        <v>1.4</v>
      </c>
      <c r="AO365">
        <v>0.5</v>
      </c>
      <c r="AP365">
        <v>11.7</v>
      </c>
      <c r="AQ365">
        <v>10.9</v>
      </c>
      <c r="AR365">
        <v>0</v>
      </c>
      <c r="AS365">
        <v>0.1</v>
      </c>
      <c r="AT365">
        <v>0.1</v>
      </c>
      <c r="AU365">
        <v>4.2000000000000003E-2</v>
      </c>
      <c r="AV365">
        <v>-4.2</v>
      </c>
      <c r="AW365">
        <v>0.6</v>
      </c>
      <c r="AX365">
        <v>-3.6</v>
      </c>
      <c r="AY365">
        <v>-0.1</v>
      </c>
      <c r="AZ365">
        <f t="shared" si="10"/>
        <v>-1.75</v>
      </c>
      <c r="BA365">
        <f t="shared" si="11"/>
        <v>-1.1192707727061664</v>
      </c>
    </row>
    <row r="366" spans="1:53" hidden="1" x14ac:dyDescent="0.25">
      <c r="A366" t="s">
        <v>449</v>
      </c>
      <c r="B366" s="2">
        <v>1563518</v>
      </c>
      <c r="C366" t="s">
        <v>28</v>
      </c>
      <c r="D366">
        <v>20</v>
      </c>
      <c r="E366" t="s">
        <v>118</v>
      </c>
      <c r="F366">
        <v>69</v>
      </c>
      <c r="G366">
        <v>8</v>
      </c>
      <c r="H366">
        <v>14</v>
      </c>
      <c r="I366">
        <v>1.4</v>
      </c>
      <c r="J366">
        <v>3.4</v>
      </c>
      <c r="K366">
        <v>0.39900000000000002</v>
      </c>
      <c r="L366">
        <v>0.6</v>
      </c>
      <c r="M366">
        <v>1.8</v>
      </c>
      <c r="N366">
        <v>0.317</v>
      </c>
      <c r="O366">
        <v>0.8</v>
      </c>
      <c r="P366">
        <v>1.7</v>
      </c>
      <c r="Q366">
        <v>0.48699999999999999</v>
      </c>
      <c r="R366">
        <v>0.48099999999999998</v>
      </c>
      <c r="S366">
        <v>0.5</v>
      </c>
      <c r="T366">
        <v>0.7</v>
      </c>
      <c r="U366">
        <v>0.70199999999999996</v>
      </c>
      <c r="V366">
        <v>0.5</v>
      </c>
      <c r="W366">
        <v>1.7</v>
      </c>
      <c r="X366">
        <v>2.2000000000000002</v>
      </c>
      <c r="Y366">
        <v>0.5</v>
      </c>
      <c r="Z366">
        <v>0.3</v>
      </c>
      <c r="AA366">
        <v>0.3</v>
      </c>
      <c r="AB366">
        <v>0.6</v>
      </c>
      <c r="AC366">
        <v>1</v>
      </c>
      <c r="AD366">
        <v>3.8</v>
      </c>
      <c r="AE366">
        <v>969</v>
      </c>
      <c r="AF366">
        <v>7</v>
      </c>
      <c r="AG366">
        <v>0.50600000000000001</v>
      </c>
      <c r="AH366">
        <v>0.51700000000000002</v>
      </c>
      <c r="AI366">
        <v>0.19700000000000001</v>
      </c>
      <c r="AJ366">
        <v>3.9</v>
      </c>
      <c r="AK366">
        <v>13</v>
      </c>
      <c r="AL366">
        <v>8.4</v>
      </c>
      <c r="AM366">
        <v>4.9000000000000004</v>
      </c>
      <c r="AN366">
        <v>1.1000000000000001</v>
      </c>
      <c r="AO366">
        <v>2.1</v>
      </c>
      <c r="AP366">
        <v>14.5</v>
      </c>
      <c r="AQ366">
        <v>13.1</v>
      </c>
      <c r="AR366">
        <v>-0.6</v>
      </c>
      <c r="AS366">
        <v>0.8</v>
      </c>
      <c r="AT366">
        <v>0.2</v>
      </c>
      <c r="AU366">
        <v>8.9999999999999993E-3</v>
      </c>
      <c r="AV366">
        <v>-4.3</v>
      </c>
      <c r="AW366">
        <v>-0.4</v>
      </c>
      <c r="AX366">
        <v>-4.7</v>
      </c>
      <c r="AY366">
        <v>-0.7</v>
      </c>
      <c r="AZ366">
        <f t="shared" si="10"/>
        <v>-2.25</v>
      </c>
      <c r="BA366">
        <f t="shared" si="11"/>
        <v>-1.4390624220507855</v>
      </c>
    </row>
    <row r="367" spans="1:53" hidden="1" x14ac:dyDescent="0.25">
      <c r="A367" t="s">
        <v>450</v>
      </c>
      <c r="B367" s="2">
        <v>1563518</v>
      </c>
      <c r="C367" t="s">
        <v>75</v>
      </c>
      <c r="D367">
        <v>23</v>
      </c>
      <c r="E367" t="s">
        <v>87</v>
      </c>
      <c r="F367">
        <v>7</v>
      </c>
      <c r="G367">
        <v>0</v>
      </c>
      <c r="H367">
        <v>2.9</v>
      </c>
      <c r="I367">
        <v>0.3</v>
      </c>
      <c r="J367">
        <v>1</v>
      </c>
      <c r="K367">
        <v>0.28599999999999998</v>
      </c>
      <c r="L367">
        <v>0.1</v>
      </c>
      <c r="M367">
        <v>0.6</v>
      </c>
      <c r="N367">
        <v>0.25</v>
      </c>
      <c r="O367">
        <v>0.1</v>
      </c>
      <c r="P367">
        <v>0.4</v>
      </c>
      <c r="Q367">
        <v>0.33300000000000002</v>
      </c>
      <c r="R367">
        <v>0.35699999999999998</v>
      </c>
      <c r="S367">
        <v>0.1</v>
      </c>
      <c r="T367">
        <v>0.3</v>
      </c>
      <c r="U367">
        <v>0.5</v>
      </c>
      <c r="V367">
        <v>0.1</v>
      </c>
      <c r="W367">
        <v>0.1</v>
      </c>
      <c r="X367">
        <v>0.3</v>
      </c>
      <c r="Y367">
        <v>0</v>
      </c>
      <c r="Z367">
        <v>0</v>
      </c>
      <c r="AA367">
        <v>0</v>
      </c>
      <c r="AB367">
        <v>0</v>
      </c>
      <c r="AC367">
        <v>0.7</v>
      </c>
      <c r="AD367">
        <v>0.9</v>
      </c>
      <c r="AE367">
        <v>20</v>
      </c>
      <c r="AF367">
        <v>-0.1</v>
      </c>
      <c r="AG367">
        <v>0.38100000000000001</v>
      </c>
      <c r="AH367">
        <v>0.57099999999999995</v>
      </c>
      <c r="AI367">
        <v>0.28599999999999998</v>
      </c>
      <c r="AJ367">
        <v>5.8</v>
      </c>
      <c r="AK367">
        <v>5.6</v>
      </c>
      <c r="AL367">
        <v>5.7</v>
      </c>
      <c r="AM367">
        <v>0</v>
      </c>
      <c r="AN367">
        <v>0</v>
      </c>
      <c r="AO367">
        <v>0</v>
      </c>
      <c r="AP367">
        <v>0</v>
      </c>
      <c r="AQ367">
        <v>17.399999999999999</v>
      </c>
      <c r="AR367">
        <v>0</v>
      </c>
      <c r="AS367">
        <v>0</v>
      </c>
      <c r="AT367">
        <v>0</v>
      </c>
      <c r="AU367">
        <v>-5.1999999999999998E-2</v>
      </c>
      <c r="AV367">
        <v>-10.5</v>
      </c>
      <c r="AW367">
        <v>-3.8</v>
      </c>
      <c r="AX367">
        <v>-14.4</v>
      </c>
      <c r="AY367">
        <v>-0.1</v>
      </c>
      <c r="AZ367">
        <f t="shared" si="10"/>
        <v>-7.2</v>
      </c>
      <c r="BA367">
        <f t="shared" si="11"/>
        <v>-4.6049997505625138</v>
      </c>
    </row>
    <row r="368" spans="1:53" x14ac:dyDescent="0.25">
      <c r="A368" t="s">
        <v>451</v>
      </c>
      <c r="B368" s="2">
        <v>1563518</v>
      </c>
      <c r="C368" t="s">
        <v>62</v>
      </c>
      <c r="D368">
        <v>23</v>
      </c>
      <c r="E368" t="s">
        <v>87</v>
      </c>
      <c r="F368">
        <v>80</v>
      </c>
      <c r="G368">
        <v>51</v>
      </c>
      <c r="H368">
        <v>26.2</v>
      </c>
      <c r="I368">
        <v>3.5</v>
      </c>
      <c r="J368">
        <v>7.1</v>
      </c>
      <c r="K368">
        <v>0.49299999999999999</v>
      </c>
      <c r="L368">
        <v>0.7</v>
      </c>
      <c r="M368">
        <v>2.4</v>
      </c>
      <c r="N368">
        <v>0.312</v>
      </c>
      <c r="O368">
        <v>2.8</v>
      </c>
      <c r="P368">
        <v>4.8</v>
      </c>
      <c r="Q368">
        <v>0.58299999999999996</v>
      </c>
      <c r="R368">
        <v>0.54500000000000004</v>
      </c>
      <c r="S368">
        <v>0.8</v>
      </c>
      <c r="T368">
        <v>1</v>
      </c>
      <c r="U368">
        <v>0.80500000000000005</v>
      </c>
      <c r="V368">
        <v>0.6</v>
      </c>
      <c r="W368">
        <v>2.2000000000000002</v>
      </c>
      <c r="X368">
        <v>2.8</v>
      </c>
      <c r="Y368">
        <v>2.6</v>
      </c>
      <c r="Z368">
        <v>0.8</v>
      </c>
      <c r="AA368">
        <v>0.3</v>
      </c>
      <c r="AB368">
        <v>1.2</v>
      </c>
      <c r="AC368">
        <v>2.2999999999999998</v>
      </c>
      <c r="AD368">
        <v>8.6</v>
      </c>
      <c r="AE368">
        <v>2098</v>
      </c>
      <c r="AF368">
        <v>10.199999999999999</v>
      </c>
      <c r="AG368">
        <v>0.56699999999999995</v>
      </c>
      <c r="AH368">
        <v>0.33200000000000002</v>
      </c>
      <c r="AI368">
        <v>0.14399999999999999</v>
      </c>
      <c r="AJ368">
        <v>2.5</v>
      </c>
      <c r="AK368">
        <v>9.3000000000000007</v>
      </c>
      <c r="AL368">
        <v>5.9</v>
      </c>
      <c r="AM368">
        <v>13.2</v>
      </c>
      <c r="AN368">
        <v>1.4</v>
      </c>
      <c r="AO368">
        <v>1.2</v>
      </c>
      <c r="AP368">
        <v>14</v>
      </c>
      <c r="AQ368">
        <v>14.9</v>
      </c>
      <c r="AR368">
        <v>0.7</v>
      </c>
      <c r="AS368">
        <v>2.2000000000000002</v>
      </c>
      <c r="AT368">
        <v>2.9</v>
      </c>
      <c r="AU368">
        <v>6.7000000000000004E-2</v>
      </c>
      <c r="AV368">
        <v>-3</v>
      </c>
      <c r="AW368">
        <v>0.6</v>
      </c>
      <c r="AX368">
        <v>-2.5</v>
      </c>
      <c r="AY368">
        <v>-0.2</v>
      </c>
      <c r="AZ368" s="8">
        <f t="shared" si="10"/>
        <v>0.19999999999999996</v>
      </c>
      <c r="BA368" s="8">
        <f t="shared" si="11"/>
        <v>0.12791665973784755</v>
      </c>
    </row>
    <row r="369" spans="1:53" hidden="1" x14ac:dyDescent="0.25">
      <c r="A369" t="s">
        <v>452</v>
      </c>
      <c r="B369" s="2">
        <v>1563518</v>
      </c>
      <c r="C369" t="s">
        <v>28</v>
      </c>
      <c r="D369">
        <v>24</v>
      </c>
      <c r="E369" t="s">
        <v>201</v>
      </c>
      <c r="F369">
        <v>52</v>
      </c>
      <c r="G369">
        <v>22</v>
      </c>
      <c r="H369">
        <v>23.1</v>
      </c>
      <c r="I369">
        <v>2.2999999999999998</v>
      </c>
      <c r="J369">
        <v>5.5</v>
      </c>
      <c r="K369">
        <v>0.41699999999999998</v>
      </c>
      <c r="L369">
        <v>1.4</v>
      </c>
      <c r="M369">
        <v>3.9</v>
      </c>
      <c r="N369">
        <v>0.36499999999999999</v>
      </c>
      <c r="O369">
        <v>0.9</v>
      </c>
      <c r="P369">
        <v>1.6</v>
      </c>
      <c r="Q369">
        <v>0.54100000000000004</v>
      </c>
      <c r="R369">
        <v>0.54500000000000004</v>
      </c>
      <c r="S369">
        <v>0.6</v>
      </c>
      <c r="T369">
        <v>0.8</v>
      </c>
      <c r="U369">
        <v>0.82099999999999995</v>
      </c>
      <c r="V369">
        <v>0.5</v>
      </c>
      <c r="W369">
        <v>2.2000000000000002</v>
      </c>
      <c r="X369">
        <v>2.8</v>
      </c>
      <c r="Y369">
        <v>0.8</v>
      </c>
      <c r="Z369">
        <v>0.5</v>
      </c>
      <c r="AA369">
        <v>0.5</v>
      </c>
      <c r="AB369">
        <v>0.6</v>
      </c>
      <c r="AC369">
        <v>2</v>
      </c>
      <c r="AD369">
        <v>6.7</v>
      </c>
      <c r="AE369">
        <v>1199</v>
      </c>
      <c r="AF369">
        <v>8.4</v>
      </c>
      <c r="AG369">
        <v>0.56699999999999995</v>
      </c>
      <c r="AH369">
        <v>0.70499999999999996</v>
      </c>
      <c r="AI369">
        <v>0.13500000000000001</v>
      </c>
      <c r="AJ369">
        <v>2.5</v>
      </c>
      <c r="AK369">
        <v>11</v>
      </c>
      <c r="AL369">
        <v>6.6</v>
      </c>
      <c r="AM369">
        <v>4.8</v>
      </c>
      <c r="AN369">
        <v>1.1000000000000001</v>
      </c>
      <c r="AO369">
        <v>2.1</v>
      </c>
      <c r="AP369">
        <v>9</v>
      </c>
      <c r="AQ369">
        <v>11.9</v>
      </c>
      <c r="AR369">
        <v>0.5</v>
      </c>
      <c r="AS369">
        <v>0.5</v>
      </c>
      <c r="AT369">
        <v>1</v>
      </c>
      <c r="AU369">
        <v>4.1000000000000002E-2</v>
      </c>
      <c r="AV369">
        <v>-2.1</v>
      </c>
      <c r="AW369">
        <v>-0.3</v>
      </c>
      <c r="AX369">
        <v>-2.4</v>
      </c>
      <c r="AY369">
        <v>-0.1</v>
      </c>
      <c r="AZ369">
        <f t="shared" si="10"/>
        <v>-0.7</v>
      </c>
      <c r="BA369">
        <f t="shared" si="11"/>
        <v>-0.44770830908246662</v>
      </c>
    </row>
    <row r="370" spans="1:53" hidden="1" x14ac:dyDescent="0.25">
      <c r="A370" t="s">
        <v>453</v>
      </c>
      <c r="B370" s="2">
        <v>1563518</v>
      </c>
      <c r="C370" t="s">
        <v>52</v>
      </c>
      <c r="D370">
        <v>20</v>
      </c>
      <c r="E370" t="s">
        <v>213</v>
      </c>
      <c r="F370">
        <v>57</v>
      </c>
      <c r="G370">
        <v>7</v>
      </c>
      <c r="H370">
        <v>16</v>
      </c>
      <c r="I370">
        <v>1.4</v>
      </c>
      <c r="J370">
        <v>4.2</v>
      </c>
      <c r="K370">
        <v>0.34200000000000003</v>
      </c>
      <c r="L370">
        <v>0.7</v>
      </c>
      <c r="M370">
        <v>2.5</v>
      </c>
      <c r="N370">
        <v>0.28599999999999998</v>
      </c>
      <c r="O370">
        <v>0.7</v>
      </c>
      <c r="P370">
        <v>1.7</v>
      </c>
      <c r="Q370">
        <v>0.42299999999999999</v>
      </c>
      <c r="R370">
        <v>0.42599999999999999</v>
      </c>
      <c r="S370">
        <v>0.4</v>
      </c>
      <c r="T370">
        <v>0.6</v>
      </c>
      <c r="U370">
        <v>0.66700000000000004</v>
      </c>
      <c r="V370">
        <v>0.3</v>
      </c>
      <c r="W370">
        <v>1.4</v>
      </c>
      <c r="X370">
        <v>1.7</v>
      </c>
      <c r="Y370">
        <v>2.2999999999999998</v>
      </c>
      <c r="Z370">
        <v>0.5</v>
      </c>
      <c r="AA370">
        <v>0.1</v>
      </c>
      <c r="AB370">
        <v>1.5</v>
      </c>
      <c r="AC370">
        <v>1</v>
      </c>
      <c r="AD370">
        <v>4</v>
      </c>
      <c r="AE370">
        <v>914</v>
      </c>
      <c r="AF370">
        <v>5.3</v>
      </c>
      <c r="AG370">
        <v>0.44700000000000001</v>
      </c>
      <c r="AH370">
        <v>0.59099999999999997</v>
      </c>
      <c r="AI370">
        <v>0.152</v>
      </c>
      <c r="AJ370">
        <v>2.1</v>
      </c>
      <c r="AK370">
        <v>9.6999999999999993</v>
      </c>
      <c r="AL370">
        <v>5.9</v>
      </c>
      <c r="AM370">
        <v>19.2</v>
      </c>
      <c r="AN370">
        <v>1.6</v>
      </c>
      <c r="AO370">
        <v>0.7</v>
      </c>
      <c r="AP370">
        <v>25.4</v>
      </c>
      <c r="AQ370">
        <v>15.4</v>
      </c>
      <c r="AR370">
        <v>-1.5</v>
      </c>
      <c r="AS370">
        <v>0.3</v>
      </c>
      <c r="AT370">
        <v>-1.2</v>
      </c>
      <c r="AU370">
        <v>-6.2E-2</v>
      </c>
      <c r="AV370">
        <v>-5</v>
      </c>
      <c r="AW370">
        <v>-1.5</v>
      </c>
      <c r="AX370">
        <v>-6.5</v>
      </c>
      <c r="AY370">
        <v>-1</v>
      </c>
      <c r="AZ370">
        <f t="shared" si="10"/>
        <v>-3.85</v>
      </c>
      <c r="BA370">
        <f t="shared" si="11"/>
        <v>-2.4623956999535661</v>
      </c>
    </row>
    <row r="371" spans="1:53" hidden="1" x14ac:dyDescent="0.25">
      <c r="A371" t="s">
        <v>454</v>
      </c>
      <c r="B371" s="2">
        <v>1563518</v>
      </c>
      <c r="C371" t="s">
        <v>52</v>
      </c>
      <c r="D371">
        <v>23</v>
      </c>
      <c r="E371" t="s">
        <v>55</v>
      </c>
      <c r="F371">
        <v>14</v>
      </c>
      <c r="G371">
        <v>0</v>
      </c>
      <c r="H371">
        <v>8.9</v>
      </c>
      <c r="I371">
        <v>1.3</v>
      </c>
      <c r="J371">
        <v>2.9</v>
      </c>
      <c r="K371">
        <v>0.439</v>
      </c>
      <c r="L371">
        <v>0.4</v>
      </c>
      <c r="M371">
        <v>1.3</v>
      </c>
      <c r="N371">
        <v>0.27800000000000002</v>
      </c>
      <c r="O371">
        <v>0.9</v>
      </c>
      <c r="P371">
        <v>1.6</v>
      </c>
      <c r="Q371">
        <v>0.56499999999999995</v>
      </c>
      <c r="R371">
        <v>0.5</v>
      </c>
      <c r="S371">
        <v>0</v>
      </c>
      <c r="T371">
        <v>0.1</v>
      </c>
      <c r="U371">
        <v>0</v>
      </c>
      <c r="V371">
        <v>0.1</v>
      </c>
      <c r="W371">
        <v>1.4</v>
      </c>
      <c r="X371">
        <v>1.6</v>
      </c>
      <c r="Y371">
        <v>1.9</v>
      </c>
      <c r="Z371">
        <v>0.1</v>
      </c>
      <c r="AA371">
        <v>0</v>
      </c>
      <c r="AB371">
        <v>0.7</v>
      </c>
      <c r="AC371">
        <v>0.5</v>
      </c>
      <c r="AD371">
        <v>2.9</v>
      </c>
      <c r="AE371">
        <v>124</v>
      </c>
      <c r="AF371">
        <v>10.3</v>
      </c>
      <c r="AG371">
        <v>0.48899999999999999</v>
      </c>
      <c r="AH371">
        <v>0.439</v>
      </c>
      <c r="AI371">
        <v>4.9000000000000002E-2</v>
      </c>
      <c r="AJ371">
        <v>1.8</v>
      </c>
      <c r="AK371">
        <v>17.899999999999999</v>
      </c>
      <c r="AL371">
        <v>9.9</v>
      </c>
      <c r="AM371">
        <v>30.9</v>
      </c>
      <c r="AN371">
        <v>0.8</v>
      </c>
      <c r="AO371">
        <v>0</v>
      </c>
      <c r="AP371">
        <v>19.3</v>
      </c>
      <c r="AQ371">
        <v>18.3</v>
      </c>
      <c r="AR371">
        <v>0</v>
      </c>
      <c r="AS371">
        <v>0.1</v>
      </c>
      <c r="AT371">
        <v>0.1</v>
      </c>
      <c r="AU371">
        <v>2.1000000000000001E-2</v>
      </c>
      <c r="AV371">
        <v>-2.1</v>
      </c>
      <c r="AW371">
        <v>-0.5</v>
      </c>
      <c r="AX371">
        <v>-2.6</v>
      </c>
      <c r="AY371">
        <v>0</v>
      </c>
      <c r="AZ371">
        <f t="shared" si="10"/>
        <v>-1.25</v>
      </c>
      <c r="BA371">
        <f t="shared" si="11"/>
        <v>-0.79947912336154747</v>
      </c>
    </row>
    <row r="372" spans="1:53" x14ac:dyDescent="0.25">
      <c r="A372" t="s">
        <v>455</v>
      </c>
      <c r="B372" s="2">
        <v>1563518</v>
      </c>
      <c r="C372" t="s">
        <v>62</v>
      </c>
      <c r="D372">
        <v>24</v>
      </c>
      <c r="E372" t="s">
        <v>58</v>
      </c>
      <c r="F372">
        <v>64</v>
      </c>
      <c r="G372">
        <v>22</v>
      </c>
      <c r="H372">
        <v>28.8</v>
      </c>
      <c r="I372">
        <v>4</v>
      </c>
      <c r="J372">
        <v>7.7</v>
      </c>
      <c r="K372">
        <v>0.52900000000000003</v>
      </c>
      <c r="L372">
        <v>1.3</v>
      </c>
      <c r="M372">
        <v>3.4</v>
      </c>
      <c r="N372">
        <v>0.39800000000000002</v>
      </c>
      <c r="O372">
        <v>2.7</v>
      </c>
      <c r="P372">
        <v>4.3</v>
      </c>
      <c r="Q372">
        <v>0.63100000000000001</v>
      </c>
      <c r="R372">
        <v>0.61599999999999999</v>
      </c>
      <c r="S372">
        <v>3.6</v>
      </c>
      <c r="T372">
        <v>4.0999999999999996</v>
      </c>
      <c r="U372">
        <v>0.86399999999999999</v>
      </c>
      <c r="V372">
        <v>0.5</v>
      </c>
      <c r="W372">
        <v>2.5</v>
      </c>
      <c r="X372">
        <v>3</v>
      </c>
      <c r="Y372">
        <v>3.4</v>
      </c>
      <c r="Z372">
        <v>0.5</v>
      </c>
      <c r="AA372">
        <v>0.3</v>
      </c>
      <c r="AB372">
        <v>1.5</v>
      </c>
      <c r="AC372">
        <v>1.7</v>
      </c>
      <c r="AD372">
        <v>13</v>
      </c>
      <c r="AE372">
        <v>1843</v>
      </c>
      <c r="AF372">
        <v>14.9</v>
      </c>
      <c r="AG372">
        <v>0.68700000000000006</v>
      </c>
      <c r="AH372">
        <v>0.441</v>
      </c>
      <c r="AI372">
        <v>0.54100000000000004</v>
      </c>
      <c r="AJ372">
        <v>2</v>
      </c>
      <c r="AK372">
        <v>9</v>
      </c>
      <c r="AL372">
        <v>5.6</v>
      </c>
      <c r="AM372">
        <v>15.7</v>
      </c>
      <c r="AN372">
        <v>0.8</v>
      </c>
      <c r="AO372">
        <v>0.9</v>
      </c>
      <c r="AP372">
        <v>14</v>
      </c>
      <c r="AQ372">
        <v>16.2</v>
      </c>
      <c r="AR372">
        <v>4.0999999999999996</v>
      </c>
      <c r="AS372">
        <v>1.4</v>
      </c>
      <c r="AT372">
        <v>5.4</v>
      </c>
      <c r="AU372">
        <v>0.14199999999999999</v>
      </c>
      <c r="AV372">
        <v>0.6</v>
      </c>
      <c r="AW372">
        <v>0.1</v>
      </c>
      <c r="AX372">
        <v>0.7</v>
      </c>
      <c r="AY372">
        <v>1.2</v>
      </c>
      <c r="AZ372" s="8">
        <f t="shared" si="10"/>
        <v>3.0500000000000003</v>
      </c>
      <c r="BA372" s="8">
        <f t="shared" si="11"/>
        <v>1.9507290610021761</v>
      </c>
    </row>
    <row r="373" spans="1:53" x14ac:dyDescent="0.25">
      <c r="A373" t="s">
        <v>456</v>
      </c>
      <c r="B373" s="2">
        <v>1563518</v>
      </c>
      <c r="C373" t="s">
        <v>52</v>
      </c>
      <c r="D373">
        <v>24</v>
      </c>
      <c r="E373" t="s">
        <v>100</v>
      </c>
      <c r="F373">
        <v>61</v>
      </c>
      <c r="G373">
        <v>10</v>
      </c>
      <c r="H373">
        <v>21.5</v>
      </c>
      <c r="I373">
        <v>3.3</v>
      </c>
      <c r="J373">
        <v>8</v>
      </c>
      <c r="K373">
        <v>0.41099999999999998</v>
      </c>
      <c r="L373">
        <v>1.4</v>
      </c>
      <c r="M373">
        <v>4</v>
      </c>
      <c r="N373">
        <v>0.33600000000000002</v>
      </c>
      <c r="O373">
        <v>1.9</v>
      </c>
      <c r="P373">
        <v>4</v>
      </c>
      <c r="Q373">
        <v>0.48799999999999999</v>
      </c>
      <c r="R373">
        <v>0.496</v>
      </c>
      <c r="S373">
        <v>1.1000000000000001</v>
      </c>
      <c r="T373">
        <v>1.3</v>
      </c>
      <c r="U373">
        <v>0.81299999999999994</v>
      </c>
      <c r="V373">
        <v>0.5</v>
      </c>
      <c r="W373">
        <v>1.9</v>
      </c>
      <c r="X373">
        <v>2.2999999999999998</v>
      </c>
      <c r="Y373">
        <v>3</v>
      </c>
      <c r="Z373">
        <v>1.1000000000000001</v>
      </c>
      <c r="AA373">
        <v>0.2</v>
      </c>
      <c r="AB373">
        <v>1.3</v>
      </c>
      <c r="AC373">
        <v>2</v>
      </c>
      <c r="AD373">
        <v>9</v>
      </c>
      <c r="AE373">
        <v>1310</v>
      </c>
      <c r="AF373">
        <v>11.8</v>
      </c>
      <c r="AG373">
        <v>0.52500000000000002</v>
      </c>
      <c r="AH373">
        <v>0.505</v>
      </c>
      <c r="AI373">
        <v>0.16400000000000001</v>
      </c>
      <c r="AJ373">
        <v>2.4</v>
      </c>
      <c r="AK373">
        <v>9.8000000000000007</v>
      </c>
      <c r="AL373">
        <v>6.1</v>
      </c>
      <c r="AM373">
        <v>19.899999999999999</v>
      </c>
      <c r="AN373">
        <v>2.5</v>
      </c>
      <c r="AO373">
        <v>0.7</v>
      </c>
      <c r="AP373">
        <v>13.4</v>
      </c>
      <c r="AQ373">
        <v>19.8</v>
      </c>
      <c r="AR373">
        <v>0.1</v>
      </c>
      <c r="AS373">
        <v>1.7</v>
      </c>
      <c r="AT373">
        <v>1.8</v>
      </c>
      <c r="AU373">
        <v>6.6000000000000003E-2</v>
      </c>
      <c r="AV373">
        <v>-2</v>
      </c>
      <c r="AW373">
        <v>0.7</v>
      </c>
      <c r="AX373">
        <v>-1.2</v>
      </c>
      <c r="AY373">
        <v>0.3</v>
      </c>
      <c r="AZ373" s="8">
        <f t="shared" si="10"/>
        <v>0.30000000000000004</v>
      </c>
      <c r="BA373" s="8">
        <f t="shared" si="11"/>
        <v>0.19187498960677143</v>
      </c>
    </row>
    <row r="374" spans="1:53" hidden="1" x14ac:dyDescent="0.25">
      <c r="A374" t="s">
        <v>457</v>
      </c>
      <c r="B374" s="2">
        <v>1563518</v>
      </c>
      <c r="C374" t="s">
        <v>52</v>
      </c>
      <c r="D374">
        <v>22</v>
      </c>
      <c r="E374" t="s">
        <v>123</v>
      </c>
      <c r="F374">
        <v>64</v>
      </c>
      <c r="G374">
        <v>2</v>
      </c>
      <c r="H374">
        <v>11.9</v>
      </c>
      <c r="I374">
        <v>1.2</v>
      </c>
      <c r="J374">
        <v>3.4</v>
      </c>
      <c r="K374">
        <v>0.35799999999999998</v>
      </c>
      <c r="L374">
        <v>0.6</v>
      </c>
      <c r="M374">
        <v>2.1</v>
      </c>
      <c r="N374">
        <v>0.29899999999999999</v>
      </c>
      <c r="O374">
        <v>0.6</v>
      </c>
      <c r="P374">
        <v>1.3</v>
      </c>
      <c r="Q374">
        <v>0.45700000000000002</v>
      </c>
      <c r="R374">
        <v>0.45100000000000001</v>
      </c>
      <c r="S374">
        <v>0.4</v>
      </c>
      <c r="T374">
        <v>0.7</v>
      </c>
      <c r="U374">
        <v>0.66700000000000004</v>
      </c>
      <c r="V374">
        <v>0.2</v>
      </c>
      <c r="W374">
        <v>0.6</v>
      </c>
      <c r="X374">
        <v>0.8</v>
      </c>
      <c r="Y374">
        <v>1.1000000000000001</v>
      </c>
      <c r="Z374">
        <v>0.6</v>
      </c>
      <c r="AA374">
        <v>0.1</v>
      </c>
      <c r="AB374">
        <v>0.4</v>
      </c>
      <c r="AC374">
        <v>0.9</v>
      </c>
      <c r="AD374">
        <v>3.5</v>
      </c>
      <c r="AE374">
        <v>760</v>
      </c>
      <c r="AF374">
        <v>8.4</v>
      </c>
      <c r="AG374">
        <v>0.47499999999999998</v>
      </c>
      <c r="AH374">
        <v>0.623</v>
      </c>
      <c r="AI374">
        <v>0.19500000000000001</v>
      </c>
      <c r="AJ374">
        <v>1.9</v>
      </c>
      <c r="AK374">
        <v>5.4</v>
      </c>
      <c r="AL374">
        <v>3.6</v>
      </c>
      <c r="AM374">
        <v>12.4</v>
      </c>
      <c r="AN374">
        <v>2.4</v>
      </c>
      <c r="AO374">
        <v>1</v>
      </c>
      <c r="AP374">
        <v>9.6999999999999993</v>
      </c>
      <c r="AQ374">
        <v>14.6</v>
      </c>
      <c r="AR374">
        <v>0</v>
      </c>
      <c r="AS374">
        <v>0.7</v>
      </c>
      <c r="AT374">
        <v>0.7</v>
      </c>
      <c r="AU374">
        <v>4.7E-2</v>
      </c>
      <c r="AV374">
        <v>-3.6</v>
      </c>
      <c r="AW374">
        <v>1.4</v>
      </c>
      <c r="AX374">
        <v>-2.2999999999999998</v>
      </c>
      <c r="AY374">
        <v>-0.1</v>
      </c>
      <c r="AZ374">
        <f t="shared" si="10"/>
        <v>-0.79999999999999993</v>
      </c>
      <c r="BA374">
        <f t="shared" si="11"/>
        <v>-0.51166663895139031</v>
      </c>
    </row>
    <row r="375" spans="1:53" x14ac:dyDescent="0.25">
      <c r="A375" t="s">
        <v>458</v>
      </c>
      <c r="B375" s="2">
        <v>1563518</v>
      </c>
      <c r="C375" t="s">
        <v>62</v>
      </c>
      <c r="D375">
        <v>24</v>
      </c>
      <c r="E375" t="s">
        <v>109</v>
      </c>
      <c r="F375">
        <v>70</v>
      </c>
      <c r="G375">
        <v>14</v>
      </c>
      <c r="H375">
        <v>18.5</v>
      </c>
      <c r="I375">
        <v>2.7</v>
      </c>
      <c r="J375">
        <v>5.2</v>
      </c>
      <c r="K375">
        <v>0.51200000000000001</v>
      </c>
      <c r="L375">
        <v>0.7</v>
      </c>
      <c r="M375">
        <v>1.7</v>
      </c>
      <c r="N375">
        <v>0.39300000000000002</v>
      </c>
      <c r="O375">
        <v>2</v>
      </c>
      <c r="P375">
        <v>3.4</v>
      </c>
      <c r="Q375">
        <v>0.57299999999999995</v>
      </c>
      <c r="R375">
        <v>0.57899999999999996</v>
      </c>
      <c r="S375">
        <v>0.8</v>
      </c>
      <c r="T375">
        <v>1</v>
      </c>
      <c r="U375">
        <v>0.83099999999999996</v>
      </c>
      <c r="V375">
        <v>1</v>
      </c>
      <c r="W375">
        <v>2</v>
      </c>
      <c r="X375">
        <v>3</v>
      </c>
      <c r="Y375">
        <v>1.1000000000000001</v>
      </c>
      <c r="Z375">
        <v>0.6</v>
      </c>
      <c r="AA375">
        <v>0.2</v>
      </c>
      <c r="AB375">
        <v>0.8</v>
      </c>
      <c r="AC375">
        <v>1.6</v>
      </c>
      <c r="AD375">
        <v>6.8</v>
      </c>
      <c r="AE375">
        <v>1297</v>
      </c>
      <c r="AF375">
        <v>12.2</v>
      </c>
      <c r="AG375">
        <v>0.60699999999999998</v>
      </c>
      <c r="AH375">
        <v>0.33600000000000002</v>
      </c>
      <c r="AI375">
        <v>0.19600000000000001</v>
      </c>
      <c r="AJ375">
        <v>5.5</v>
      </c>
      <c r="AK375">
        <v>12</v>
      </c>
      <c r="AL375">
        <v>8.6999999999999993</v>
      </c>
      <c r="AM375">
        <v>8.3000000000000007</v>
      </c>
      <c r="AN375">
        <v>1.4</v>
      </c>
      <c r="AO375">
        <v>1.1000000000000001</v>
      </c>
      <c r="AP375">
        <v>12.2</v>
      </c>
      <c r="AQ375">
        <v>14.5</v>
      </c>
      <c r="AR375">
        <v>1.4</v>
      </c>
      <c r="AS375">
        <v>1.2</v>
      </c>
      <c r="AT375">
        <v>2.6</v>
      </c>
      <c r="AU375">
        <v>9.7000000000000003E-2</v>
      </c>
      <c r="AV375">
        <v>-1.5</v>
      </c>
      <c r="AW375">
        <v>-0.5</v>
      </c>
      <c r="AX375">
        <v>-2.1</v>
      </c>
      <c r="AY375">
        <v>0</v>
      </c>
      <c r="AZ375" s="8">
        <f t="shared" si="10"/>
        <v>0.25</v>
      </c>
      <c r="BA375" s="8">
        <f t="shared" si="11"/>
        <v>0.15989582467230951</v>
      </c>
    </row>
    <row r="376" spans="1:53" hidden="1" x14ac:dyDescent="0.25">
      <c r="A376" t="s">
        <v>459</v>
      </c>
      <c r="B376" s="2">
        <v>1563518</v>
      </c>
      <c r="C376" t="s">
        <v>75</v>
      </c>
      <c r="D376">
        <v>27</v>
      </c>
      <c r="E376" t="s">
        <v>60</v>
      </c>
      <c r="F376">
        <v>69</v>
      </c>
      <c r="G376">
        <v>4</v>
      </c>
      <c r="H376">
        <v>14.2</v>
      </c>
      <c r="I376">
        <v>2.6</v>
      </c>
      <c r="J376">
        <v>4.9000000000000004</v>
      </c>
      <c r="K376">
        <v>0.52800000000000002</v>
      </c>
      <c r="L376">
        <v>0.3</v>
      </c>
      <c r="M376">
        <v>1.2</v>
      </c>
      <c r="N376">
        <v>0.25</v>
      </c>
      <c r="O376">
        <v>2.2999999999999998</v>
      </c>
      <c r="P376">
        <v>3.7</v>
      </c>
      <c r="Q376">
        <v>0.621</v>
      </c>
      <c r="R376">
        <v>0.55900000000000005</v>
      </c>
      <c r="S376">
        <v>1.1000000000000001</v>
      </c>
      <c r="T376">
        <v>1.5</v>
      </c>
      <c r="U376">
        <v>0.752</v>
      </c>
      <c r="V376">
        <v>1.7</v>
      </c>
      <c r="W376">
        <v>2.2999999999999998</v>
      </c>
      <c r="X376">
        <v>4.0999999999999996</v>
      </c>
      <c r="Y376">
        <v>1</v>
      </c>
      <c r="Z376">
        <v>0.2</v>
      </c>
      <c r="AA376">
        <v>0.4</v>
      </c>
      <c r="AB376">
        <v>0.9</v>
      </c>
      <c r="AC376">
        <v>1.8</v>
      </c>
      <c r="AD376">
        <v>6.6</v>
      </c>
      <c r="AE376">
        <v>979</v>
      </c>
      <c r="AF376">
        <v>16.399999999999999</v>
      </c>
      <c r="AG376">
        <v>0.59499999999999997</v>
      </c>
      <c r="AH376">
        <v>0.249</v>
      </c>
      <c r="AI376">
        <v>0.312</v>
      </c>
      <c r="AJ376">
        <v>13.2</v>
      </c>
      <c r="AK376">
        <v>18.600000000000001</v>
      </c>
      <c r="AL376">
        <v>15.8</v>
      </c>
      <c r="AM376">
        <v>10.1</v>
      </c>
      <c r="AN376">
        <v>0.8</v>
      </c>
      <c r="AO376">
        <v>2.7</v>
      </c>
      <c r="AP376">
        <v>13.3</v>
      </c>
      <c r="AQ376">
        <v>19.3</v>
      </c>
      <c r="AR376">
        <v>1.5</v>
      </c>
      <c r="AS376">
        <v>1.2</v>
      </c>
      <c r="AT376">
        <v>2.7</v>
      </c>
      <c r="AU376">
        <v>0.13200000000000001</v>
      </c>
      <c r="AV376">
        <v>-0.7</v>
      </c>
      <c r="AW376">
        <v>-0.4</v>
      </c>
      <c r="AX376">
        <v>-1.1000000000000001</v>
      </c>
      <c r="AY376">
        <v>0.2</v>
      </c>
      <c r="AZ376">
        <f t="shared" si="10"/>
        <v>0.8</v>
      </c>
      <c r="BA376">
        <f t="shared" si="11"/>
        <v>0.51166663895139042</v>
      </c>
    </row>
    <row r="377" spans="1:53" x14ac:dyDescent="0.25">
      <c r="A377" t="s">
        <v>460</v>
      </c>
      <c r="B377" s="2">
        <v>1563518</v>
      </c>
      <c r="C377" t="s">
        <v>28</v>
      </c>
      <c r="D377">
        <v>22</v>
      </c>
      <c r="E377" t="s">
        <v>70</v>
      </c>
      <c r="F377">
        <v>62</v>
      </c>
      <c r="G377">
        <v>12</v>
      </c>
      <c r="H377">
        <v>19.100000000000001</v>
      </c>
      <c r="I377">
        <v>2.9</v>
      </c>
      <c r="J377">
        <v>5.2</v>
      </c>
      <c r="K377">
        <v>0.56000000000000005</v>
      </c>
      <c r="L377">
        <v>0.4</v>
      </c>
      <c r="M377">
        <v>1</v>
      </c>
      <c r="N377">
        <v>0.39100000000000001</v>
      </c>
      <c r="O377">
        <v>2.5</v>
      </c>
      <c r="P377">
        <v>4.2</v>
      </c>
      <c r="Q377">
        <v>0.60199999999999998</v>
      </c>
      <c r="R377">
        <v>0.59899999999999998</v>
      </c>
      <c r="S377">
        <v>1.2</v>
      </c>
      <c r="T377">
        <v>1.6</v>
      </c>
      <c r="U377">
        <v>0.72</v>
      </c>
      <c r="V377">
        <v>0.7</v>
      </c>
      <c r="W377">
        <v>3.2</v>
      </c>
      <c r="X377">
        <v>3.8</v>
      </c>
      <c r="Y377">
        <v>2.1</v>
      </c>
      <c r="Z377">
        <v>0.5</v>
      </c>
      <c r="AA377">
        <v>0.2</v>
      </c>
      <c r="AB377">
        <v>1.1000000000000001</v>
      </c>
      <c r="AC377">
        <v>1.9</v>
      </c>
      <c r="AD377">
        <v>7.4</v>
      </c>
      <c r="AE377">
        <v>1182</v>
      </c>
      <c r="AF377">
        <v>13.6</v>
      </c>
      <c r="AG377">
        <v>0.625</v>
      </c>
      <c r="AH377">
        <v>0.19800000000000001</v>
      </c>
      <c r="AI377">
        <v>0.31</v>
      </c>
      <c r="AJ377">
        <v>4.0999999999999996</v>
      </c>
      <c r="AK377">
        <v>19.2</v>
      </c>
      <c r="AL377">
        <v>11.6</v>
      </c>
      <c r="AM377">
        <v>16</v>
      </c>
      <c r="AN377">
        <v>1.3</v>
      </c>
      <c r="AO377">
        <v>0.9</v>
      </c>
      <c r="AP377">
        <v>16.2</v>
      </c>
      <c r="AQ377">
        <v>16.100000000000001</v>
      </c>
      <c r="AR377">
        <v>1.3</v>
      </c>
      <c r="AS377">
        <v>0.7</v>
      </c>
      <c r="AT377">
        <v>2.1</v>
      </c>
      <c r="AU377">
        <v>8.4000000000000005E-2</v>
      </c>
      <c r="AV377">
        <v>-1.4</v>
      </c>
      <c r="AW377">
        <v>-0.4</v>
      </c>
      <c r="AX377">
        <v>-1.8</v>
      </c>
      <c r="AY377">
        <v>0.1</v>
      </c>
      <c r="AZ377" s="8">
        <f t="shared" si="10"/>
        <v>0.15000000000000002</v>
      </c>
      <c r="BA377" s="8">
        <f t="shared" si="11"/>
        <v>9.5937494803385717E-2</v>
      </c>
    </row>
    <row r="378" spans="1:53" hidden="1" x14ac:dyDescent="0.25">
      <c r="A378" t="s">
        <v>461</v>
      </c>
      <c r="B378" s="2">
        <v>1563518</v>
      </c>
      <c r="C378" t="s">
        <v>52</v>
      </c>
      <c r="D378">
        <v>23</v>
      </c>
      <c r="E378" t="s">
        <v>91</v>
      </c>
      <c r="F378">
        <v>31</v>
      </c>
      <c r="G378">
        <v>2</v>
      </c>
      <c r="H378">
        <v>9</v>
      </c>
      <c r="I378">
        <v>1.8</v>
      </c>
      <c r="J378">
        <v>4.2</v>
      </c>
      <c r="K378">
        <v>0.42299999999999999</v>
      </c>
      <c r="L378">
        <v>0.5</v>
      </c>
      <c r="M378">
        <v>1.6</v>
      </c>
      <c r="N378">
        <v>0.29399999999999998</v>
      </c>
      <c r="O378">
        <v>1.3</v>
      </c>
      <c r="P378">
        <v>2.5</v>
      </c>
      <c r="Q378">
        <v>0.50600000000000001</v>
      </c>
      <c r="R378">
        <v>0.48099999999999998</v>
      </c>
      <c r="S378">
        <v>0.5</v>
      </c>
      <c r="T378">
        <v>0.8</v>
      </c>
      <c r="U378">
        <v>0.70799999999999996</v>
      </c>
      <c r="V378">
        <v>0.4</v>
      </c>
      <c r="W378">
        <v>1.1000000000000001</v>
      </c>
      <c r="X378">
        <v>1.5</v>
      </c>
      <c r="Y378">
        <v>1.2</v>
      </c>
      <c r="Z378">
        <v>0.4</v>
      </c>
      <c r="AA378">
        <v>0.4</v>
      </c>
      <c r="AB378">
        <v>0.6</v>
      </c>
      <c r="AC378">
        <v>1.1000000000000001</v>
      </c>
      <c r="AD378">
        <v>4.5999999999999996</v>
      </c>
      <c r="AE378">
        <v>279</v>
      </c>
      <c r="AF378">
        <v>14.9</v>
      </c>
      <c r="AG378">
        <v>0.505</v>
      </c>
      <c r="AH378">
        <v>0.39200000000000002</v>
      </c>
      <c r="AI378">
        <v>0.185</v>
      </c>
      <c r="AJ378">
        <v>4.2</v>
      </c>
      <c r="AK378">
        <v>14.9</v>
      </c>
      <c r="AL378">
        <v>9.1</v>
      </c>
      <c r="AM378">
        <v>19.3</v>
      </c>
      <c r="AN378">
        <v>2.2999999999999998</v>
      </c>
      <c r="AO378">
        <v>4.5</v>
      </c>
      <c r="AP378">
        <v>11.4</v>
      </c>
      <c r="AQ378">
        <v>24.2</v>
      </c>
      <c r="AR378">
        <v>0</v>
      </c>
      <c r="AS378">
        <v>0.4</v>
      </c>
      <c r="AT378">
        <v>0.4</v>
      </c>
      <c r="AU378">
        <v>6.4000000000000001E-2</v>
      </c>
      <c r="AV378">
        <v>-1.1000000000000001</v>
      </c>
      <c r="AW378">
        <v>0.6</v>
      </c>
      <c r="AX378">
        <v>-0.5</v>
      </c>
      <c r="AY378">
        <v>0.1</v>
      </c>
      <c r="AZ378">
        <f t="shared" si="10"/>
        <v>-4.9999999999999989E-2</v>
      </c>
      <c r="BA378">
        <f t="shared" si="11"/>
        <v>-3.1979164934461887E-2</v>
      </c>
    </row>
    <row r="379" spans="1:53" hidden="1" x14ac:dyDescent="0.25">
      <c r="A379" t="s">
        <v>462</v>
      </c>
      <c r="B379" s="2">
        <v>1500000</v>
      </c>
      <c r="C379" t="s">
        <v>75</v>
      </c>
      <c r="D379">
        <v>22</v>
      </c>
      <c r="E379" t="s">
        <v>91</v>
      </c>
      <c r="F379">
        <v>58</v>
      </c>
      <c r="G379">
        <v>19</v>
      </c>
      <c r="H379">
        <v>13.8</v>
      </c>
      <c r="I379">
        <v>1.2</v>
      </c>
      <c r="J379">
        <v>2.6</v>
      </c>
      <c r="K379">
        <v>0.48</v>
      </c>
      <c r="L379">
        <v>0</v>
      </c>
      <c r="M379">
        <v>0.2</v>
      </c>
      <c r="N379">
        <v>8.3000000000000004E-2</v>
      </c>
      <c r="O379">
        <v>1.2</v>
      </c>
      <c r="P379">
        <v>2.4</v>
      </c>
      <c r="Q379">
        <v>0.51400000000000001</v>
      </c>
      <c r="R379">
        <v>0.48299999999999998</v>
      </c>
      <c r="S379">
        <v>0.6</v>
      </c>
      <c r="T379">
        <v>1</v>
      </c>
      <c r="U379">
        <v>0.627</v>
      </c>
      <c r="V379">
        <v>1.4</v>
      </c>
      <c r="W379">
        <v>1.5</v>
      </c>
      <c r="X379">
        <v>2.9</v>
      </c>
      <c r="Y379">
        <v>0.5</v>
      </c>
      <c r="Z379">
        <v>0.4</v>
      </c>
      <c r="AA379">
        <v>1</v>
      </c>
      <c r="AB379">
        <v>0.3</v>
      </c>
      <c r="AC379">
        <v>2.2000000000000002</v>
      </c>
      <c r="AD379">
        <v>3.1</v>
      </c>
      <c r="AE379">
        <v>802</v>
      </c>
      <c r="AF379">
        <v>11.4</v>
      </c>
      <c r="AG379">
        <v>0.51700000000000002</v>
      </c>
      <c r="AH379">
        <v>0.08</v>
      </c>
      <c r="AI379">
        <v>0.39300000000000002</v>
      </c>
      <c r="AJ379">
        <v>11.1</v>
      </c>
      <c r="AK379">
        <v>13.3</v>
      </c>
      <c r="AL379">
        <v>12.1</v>
      </c>
      <c r="AM379">
        <v>5</v>
      </c>
      <c r="AN379">
        <v>1.3</v>
      </c>
      <c r="AO379">
        <v>6.9</v>
      </c>
      <c r="AP379">
        <v>10.199999999999999</v>
      </c>
      <c r="AQ379">
        <v>10.4</v>
      </c>
      <c r="AR379">
        <v>0.7</v>
      </c>
      <c r="AS379">
        <v>1</v>
      </c>
      <c r="AT379">
        <v>1.7</v>
      </c>
      <c r="AU379">
        <v>0.104</v>
      </c>
      <c r="AV379">
        <v>-4.3</v>
      </c>
      <c r="AW379">
        <v>0.8</v>
      </c>
      <c r="AX379">
        <v>-3.5</v>
      </c>
      <c r="AY379">
        <v>-0.3</v>
      </c>
      <c r="AZ379">
        <f t="shared" si="10"/>
        <v>-0.9</v>
      </c>
      <c r="BA379">
        <f t="shared" si="11"/>
        <v>-0.6</v>
      </c>
    </row>
    <row r="380" spans="1:53" hidden="1" x14ac:dyDescent="0.25">
      <c r="A380" t="s">
        <v>463</v>
      </c>
      <c r="B380" s="2">
        <v>1461055</v>
      </c>
      <c r="C380" t="s">
        <v>62</v>
      </c>
      <c r="D380">
        <v>20</v>
      </c>
      <c r="E380" t="s">
        <v>118</v>
      </c>
      <c r="F380">
        <v>46</v>
      </c>
      <c r="G380">
        <v>7</v>
      </c>
      <c r="H380">
        <v>17.100000000000001</v>
      </c>
      <c r="I380">
        <v>1.7</v>
      </c>
      <c r="J380">
        <v>4.4000000000000004</v>
      </c>
      <c r="K380">
        <v>0.39600000000000002</v>
      </c>
      <c r="L380">
        <v>0.6</v>
      </c>
      <c r="M380">
        <v>1.7</v>
      </c>
      <c r="N380">
        <v>0.32500000000000001</v>
      </c>
      <c r="O380">
        <v>1.2</v>
      </c>
      <c r="P380">
        <v>2.7</v>
      </c>
      <c r="Q380">
        <v>0.443</v>
      </c>
      <c r="R380">
        <v>0.46</v>
      </c>
      <c r="S380">
        <v>1.3</v>
      </c>
      <c r="T380">
        <v>1.7</v>
      </c>
      <c r="U380">
        <v>0.75</v>
      </c>
      <c r="V380">
        <v>0.4</v>
      </c>
      <c r="W380">
        <v>1.6</v>
      </c>
      <c r="X380">
        <v>2</v>
      </c>
      <c r="Y380">
        <v>1.2</v>
      </c>
      <c r="Z380">
        <v>0.3</v>
      </c>
      <c r="AA380">
        <v>0.1</v>
      </c>
      <c r="AB380">
        <v>0.9</v>
      </c>
      <c r="AC380">
        <v>1</v>
      </c>
      <c r="AD380">
        <v>5.3</v>
      </c>
      <c r="AE380">
        <v>787</v>
      </c>
      <c r="AF380">
        <v>7.2</v>
      </c>
      <c r="AG380">
        <v>0.51900000000000002</v>
      </c>
      <c r="AH380">
        <v>0.39600000000000002</v>
      </c>
      <c r="AI380">
        <v>0.39600000000000002</v>
      </c>
      <c r="AJ380">
        <v>2.7</v>
      </c>
      <c r="AK380">
        <v>10.1</v>
      </c>
      <c r="AL380">
        <v>6.3</v>
      </c>
      <c r="AM380">
        <v>9.1</v>
      </c>
      <c r="AN380">
        <v>0.9</v>
      </c>
      <c r="AO380">
        <v>0.7</v>
      </c>
      <c r="AP380">
        <v>15.3</v>
      </c>
      <c r="AQ380">
        <v>15</v>
      </c>
      <c r="AR380">
        <v>-0.4</v>
      </c>
      <c r="AS380">
        <v>0.4</v>
      </c>
      <c r="AT380">
        <v>0.1</v>
      </c>
      <c r="AU380">
        <v>5.0000000000000001E-3</v>
      </c>
      <c r="AV380">
        <v>-4.5999999999999996</v>
      </c>
      <c r="AW380">
        <v>-1.4</v>
      </c>
      <c r="AX380">
        <v>-6</v>
      </c>
      <c r="AY380">
        <v>-0.8</v>
      </c>
      <c r="AZ380">
        <f t="shared" si="10"/>
        <v>-2.95</v>
      </c>
      <c r="BA380">
        <f t="shared" si="11"/>
        <v>-2.0190889460013484</v>
      </c>
    </row>
    <row r="381" spans="1:53" x14ac:dyDescent="0.25">
      <c r="A381" t="s">
        <v>464</v>
      </c>
      <c r="B381" s="2">
        <v>1280206</v>
      </c>
      <c r="C381" t="s">
        <v>52</v>
      </c>
      <c r="D381">
        <v>24</v>
      </c>
      <c r="E381" t="s">
        <v>63</v>
      </c>
      <c r="F381">
        <v>62</v>
      </c>
      <c r="G381">
        <v>7</v>
      </c>
      <c r="H381">
        <v>17.8</v>
      </c>
      <c r="I381">
        <v>2.5</v>
      </c>
      <c r="J381">
        <v>5.7</v>
      </c>
      <c r="K381">
        <v>0.44800000000000001</v>
      </c>
      <c r="L381">
        <v>0.6</v>
      </c>
      <c r="M381">
        <v>1.9</v>
      </c>
      <c r="N381">
        <v>0.32200000000000001</v>
      </c>
      <c r="O381">
        <v>1.9</v>
      </c>
      <c r="P381">
        <v>3.8</v>
      </c>
      <c r="Q381">
        <v>0.51100000000000001</v>
      </c>
      <c r="R381">
        <v>0.501</v>
      </c>
      <c r="S381">
        <v>0.9</v>
      </c>
      <c r="T381">
        <v>1.1000000000000001</v>
      </c>
      <c r="U381">
        <v>0.76800000000000002</v>
      </c>
      <c r="V381">
        <v>0.9</v>
      </c>
      <c r="W381">
        <v>2.4</v>
      </c>
      <c r="X381">
        <v>3.3</v>
      </c>
      <c r="Y381">
        <v>2.7</v>
      </c>
      <c r="Z381">
        <v>0.9</v>
      </c>
      <c r="AA381">
        <v>0.4</v>
      </c>
      <c r="AB381">
        <v>0.9</v>
      </c>
      <c r="AC381">
        <v>1.5</v>
      </c>
      <c r="AD381">
        <v>6.6</v>
      </c>
      <c r="AE381">
        <v>1106</v>
      </c>
      <c r="AF381">
        <v>14.8</v>
      </c>
      <c r="AG381">
        <v>0.53100000000000003</v>
      </c>
      <c r="AH381">
        <v>0.33400000000000002</v>
      </c>
      <c r="AI381">
        <v>0.19500000000000001</v>
      </c>
      <c r="AJ381">
        <v>6</v>
      </c>
      <c r="AK381">
        <v>14.3</v>
      </c>
      <c r="AL381">
        <v>10.3</v>
      </c>
      <c r="AM381">
        <v>20.8</v>
      </c>
      <c r="AN381">
        <v>2.6</v>
      </c>
      <c r="AO381">
        <v>2</v>
      </c>
      <c r="AP381">
        <v>12.9</v>
      </c>
      <c r="AQ381">
        <v>17.3</v>
      </c>
      <c r="AR381">
        <v>0.9</v>
      </c>
      <c r="AS381">
        <v>1.3</v>
      </c>
      <c r="AT381">
        <v>2.2000000000000002</v>
      </c>
      <c r="AU381">
        <v>9.7000000000000003E-2</v>
      </c>
      <c r="AV381">
        <v>-0.7</v>
      </c>
      <c r="AW381">
        <v>1.4</v>
      </c>
      <c r="AX381">
        <v>0.7</v>
      </c>
      <c r="AY381">
        <v>0.8</v>
      </c>
      <c r="AZ381" s="8">
        <f t="shared" si="10"/>
        <v>1.4500000000000002</v>
      </c>
      <c r="BA381" s="8">
        <f t="shared" si="11"/>
        <v>1.1326302173243996</v>
      </c>
    </row>
    <row r="382" spans="1:53" hidden="1" x14ac:dyDescent="0.25">
      <c r="A382" t="s">
        <v>465</v>
      </c>
      <c r="B382" s="2">
        <v>1200000</v>
      </c>
      <c r="C382" t="s">
        <v>52</v>
      </c>
      <c r="D382">
        <v>20</v>
      </c>
      <c r="E382" t="s">
        <v>150</v>
      </c>
      <c r="F382">
        <v>36</v>
      </c>
      <c r="G382">
        <v>0</v>
      </c>
      <c r="H382">
        <v>7.8</v>
      </c>
      <c r="I382">
        <v>1</v>
      </c>
      <c r="J382">
        <v>2.2999999999999998</v>
      </c>
      <c r="K382">
        <v>0.42199999999999999</v>
      </c>
      <c r="L382">
        <v>0.1</v>
      </c>
      <c r="M382">
        <v>0.4</v>
      </c>
      <c r="N382">
        <v>0.13300000000000001</v>
      </c>
      <c r="O382">
        <v>0.9</v>
      </c>
      <c r="P382">
        <v>1.9</v>
      </c>
      <c r="Q382">
        <v>0.48499999999999999</v>
      </c>
      <c r="R382">
        <v>0.434</v>
      </c>
      <c r="S382">
        <v>0.2</v>
      </c>
      <c r="T382">
        <v>0.4</v>
      </c>
      <c r="U382">
        <v>0.46200000000000002</v>
      </c>
      <c r="V382">
        <v>0.3</v>
      </c>
      <c r="W382">
        <v>0.8</v>
      </c>
      <c r="X382">
        <v>1.1000000000000001</v>
      </c>
      <c r="Y382">
        <v>1.6</v>
      </c>
      <c r="Z382">
        <v>0.3</v>
      </c>
      <c r="AA382">
        <v>0.1</v>
      </c>
      <c r="AB382">
        <v>0.5</v>
      </c>
      <c r="AC382">
        <v>0.4</v>
      </c>
      <c r="AD382">
        <v>2.2000000000000002</v>
      </c>
      <c r="AE382">
        <v>281</v>
      </c>
      <c r="AF382">
        <v>10.6</v>
      </c>
      <c r="AG382">
        <v>0.44</v>
      </c>
      <c r="AH382">
        <v>0.18099999999999999</v>
      </c>
      <c r="AI382">
        <v>0.157</v>
      </c>
      <c r="AJ382">
        <v>3.4</v>
      </c>
      <c r="AK382">
        <v>10.9</v>
      </c>
      <c r="AL382">
        <v>7.2</v>
      </c>
      <c r="AM382">
        <v>26.4</v>
      </c>
      <c r="AN382">
        <v>2</v>
      </c>
      <c r="AO382">
        <v>1.6</v>
      </c>
      <c r="AP382">
        <v>16.899999999999999</v>
      </c>
      <c r="AQ382">
        <v>15.8</v>
      </c>
      <c r="AR382">
        <v>-0.1</v>
      </c>
      <c r="AS382">
        <v>0.4</v>
      </c>
      <c r="AT382">
        <v>0.3</v>
      </c>
      <c r="AU382">
        <v>4.3999999999999997E-2</v>
      </c>
      <c r="AV382">
        <v>-3.3</v>
      </c>
      <c r="AW382">
        <v>0.6</v>
      </c>
      <c r="AX382">
        <v>-2.7</v>
      </c>
      <c r="AY382">
        <v>0</v>
      </c>
      <c r="AZ382">
        <f t="shared" si="10"/>
        <v>-1.2000000000000002</v>
      </c>
      <c r="BA382">
        <f t="shared" si="11"/>
        <v>-1.0000000000000002</v>
      </c>
    </row>
    <row r="383" spans="1:53" hidden="1" x14ac:dyDescent="0.25">
      <c r="A383" t="s">
        <v>466</v>
      </c>
      <c r="B383" s="2">
        <v>1160955</v>
      </c>
      <c r="C383" t="s">
        <v>75</v>
      </c>
      <c r="D383">
        <v>27</v>
      </c>
      <c r="E383" t="s">
        <v>113</v>
      </c>
      <c r="F383">
        <v>23</v>
      </c>
      <c r="G383">
        <v>1</v>
      </c>
      <c r="H383">
        <v>7.4</v>
      </c>
      <c r="I383">
        <v>0.5</v>
      </c>
      <c r="J383">
        <v>1</v>
      </c>
      <c r="K383">
        <v>0.45800000000000002</v>
      </c>
      <c r="L383">
        <v>0</v>
      </c>
      <c r="M383">
        <v>0.2</v>
      </c>
      <c r="N383">
        <v>0.25</v>
      </c>
      <c r="O383">
        <v>0.4</v>
      </c>
      <c r="P383">
        <v>0.9</v>
      </c>
      <c r="Q383">
        <v>0.5</v>
      </c>
      <c r="R383">
        <v>0.47899999999999998</v>
      </c>
      <c r="S383">
        <v>0.1</v>
      </c>
      <c r="T383">
        <v>0.1</v>
      </c>
      <c r="U383">
        <v>1</v>
      </c>
      <c r="V383">
        <v>0.8</v>
      </c>
      <c r="W383">
        <v>1.3</v>
      </c>
      <c r="X383">
        <v>2.1</v>
      </c>
      <c r="Y383">
        <v>0.3</v>
      </c>
      <c r="Z383">
        <v>0.1</v>
      </c>
      <c r="AA383">
        <v>0.3</v>
      </c>
      <c r="AB383">
        <v>0.5</v>
      </c>
      <c r="AC383">
        <v>1.5</v>
      </c>
      <c r="AD383">
        <v>1.1000000000000001</v>
      </c>
      <c r="AE383">
        <v>171</v>
      </c>
      <c r="AF383">
        <v>5.9</v>
      </c>
      <c r="AG383">
        <v>0.502</v>
      </c>
      <c r="AH383">
        <v>0.16700000000000001</v>
      </c>
      <c r="AI383">
        <v>8.3000000000000004E-2</v>
      </c>
      <c r="AJ383">
        <v>11.7</v>
      </c>
      <c r="AK383">
        <v>18.8</v>
      </c>
      <c r="AL383">
        <v>15.3</v>
      </c>
      <c r="AM383">
        <v>5.0999999999999996</v>
      </c>
      <c r="AN383">
        <v>0.6</v>
      </c>
      <c r="AO383">
        <v>4</v>
      </c>
      <c r="AP383">
        <v>30.7</v>
      </c>
      <c r="AQ383">
        <v>9.1999999999999993</v>
      </c>
      <c r="AR383">
        <v>0</v>
      </c>
      <c r="AS383">
        <v>0.3</v>
      </c>
      <c r="AT383">
        <v>0.2</v>
      </c>
      <c r="AU383">
        <v>0.06</v>
      </c>
      <c r="AV383">
        <v>-7</v>
      </c>
      <c r="AW383">
        <v>0.7</v>
      </c>
      <c r="AX383">
        <v>-6.3</v>
      </c>
      <c r="AY383">
        <v>-0.2</v>
      </c>
      <c r="AZ383">
        <f t="shared" si="10"/>
        <v>-3.05</v>
      </c>
      <c r="BA383">
        <f t="shared" si="11"/>
        <v>-2.6271474777230814</v>
      </c>
    </row>
    <row r="384" spans="1:53" hidden="1" x14ac:dyDescent="0.25">
      <c r="A384" t="s">
        <v>467</v>
      </c>
      <c r="B384" s="2">
        <v>1116112</v>
      </c>
      <c r="C384" t="s">
        <v>75</v>
      </c>
      <c r="D384">
        <v>23</v>
      </c>
      <c r="E384" t="s">
        <v>68</v>
      </c>
      <c r="F384">
        <v>43</v>
      </c>
      <c r="G384">
        <v>7</v>
      </c>
      <c r="H384">
        <v>15.3</v>
      </c>
      <c r="I384">
        <v>2.2999999999999998</v>
      </c>
      <c r="J384">
        <v>5.3</v>
      </c>
      <c r="K384">
        <v>0.42199999999999999</v>
      </c>
      <c r="L384">
        <v>0.7</v>
      </c>
      <c r="M384">
        <v>2.2999999999999998</v>
      </c>
      <c r="N384">
        <v>0.30299999999999999</v>
      </c>
      <c r="O384">
        <v>1.6</v>
      </c>
      <c r="P384">
        <v>3</v>
      </c>
      <c r="Q384">
        <v>0.51100000000000001</v>
      </c>
      <c r="R384">
        <v>0.48699999999999999</v>
      </c>
      <c r="S384">
        <v>0.9</v>
      </c>
      <c r="T384">
        <v>1.3</v>
      </c>
      <c r="U384">
        <v>0.68400000000000005</v>
      </c>
      <c r="V384">
        <v>1.6</v>
      </c>
      <c r="W384">
        <v>2.7</v>
      </c>
      <c r="X384">
        <v>4.3</v>
      </c>
      <c r="Y384">
        <v>1.4</v>
      </c>
      <c r="Z384">
        <v>0.3</v>
      </c>
      <c r="AA384">
        <v>0.3</v>
      </c>
      <c r="AB384">
        <v>0.8</v>
      </c>
      <c r="AC384">
        <v>1.2</v>
      </c>
      <c r="AD384">
        <v>6.1</v>
      </c>
      <c r="AE384">
        <v>660</v>
      </c>
      <c r="AF384">
        <v>13.4</v>
      </c>
      <c r="AG384">
        <v>0.51600000000000001</v>
      </c>
      <c r="AH384">
        <v>0.43</v>
      </c>
      <c r="AI384">
        <v>0.248</v>
      </c>
      <c r="AJ384">
        <v>11.2</v>
      </c>
      <c r="AK384">
        <v>19</v>
      </c>
      <c r="AL384">
        <v>15.1</v>
      </c>
      <c r="AM384">
        <v>12.8</v>
      </c>
      <c r="AN384">
        <v>1</v>
      </c>
      <c r="AO384">
        <v>1.5</v>
      </c>
      <c r="AP384">
        <v>12.1</v>
      </c>
      <c r="AQ384">
        <v>18.2</v>
      </c>
      <c r="AR384">
        <v>0.4</v>
      </c>
      <c r="AS384">
        <v>0.5</v>
      </c>
      <c r="AT384">
        <v>0.9</v>
      </c>
      <c r="AU384">
        <v>6.3E-2</v>
      </c>
      <c r="AV384">
        <v>-1.1000000000000001</v>
      </c>
      <c r="AW384">
        <v>-1.3</v>
      </c>
      <c r="AX384">
        <v>-2.4</v>
      </c>
      <c r="AY384">
        <v>-0.1</v>
      </c>
      <c r="AZ384">
        <f t="shared" si="10"/>
        <v>-0.75</v>
      </c>
      <c r="BA384">
        <f t="shared" si="11"/>
        <v>-0.67197557234399419</v>
      </c>
    </row>
    <row r="385" spans="1:53" hidden="1" x14ac:dyDescent="0.25">
      <c r="A385" t="s">
        <v>468</v>
      </c>
      <c r="B385" s="2">
        <v>1105522</v>
      </c>
      <c r="C385" t="s">
        <v>62</v>
      </c>
      <c r="D385">
        <v>26</v>
      </c>
      <c r="E385" t="s">
        <v>107</v>
      </c>
      <c r="F385">
        <v>5</v>
      </c>
      <c r="G385">
        <v>0</v>
      </c>
      <c r="H385">
        <v>11.8</v>
      </c>
      <c r="I385">
        <v>1.8</v>
      </c>
      <c r="J385">
        <v>4.4000000000000004</v>
      </c>
      <c r="K385">
        <v>0.40899999999999997</v>
      </c>
      <c r="L385">
        <v>1</v>
      </c>
      <c r="M385">
        <v>3.6</v>
      </c>
      <c r="N385">
        <v>0.27800000000000002</v>
      </c>
      <c r="O385">
        <v>0.8</v>
      </c>
      <c r="P385">
        <v>0.8</v>
      </c>
      <c r="Q385">
        <v>1</v>
      </c>
      <c r="R385">
        <v>0.52300000000000002</v>
      </c>
      <c r="S385">
        <v>0.4</v>
      </c>
      <c r="T385">
        <v>0.4</v>
      </c>
      <c r="U385">
        <v>1</v>
      </c>
      <c r="V385">
        <v>0</v>
      </c>
      <c r="W385">
        <v>1.8</v>
      </c>
      <c r="X385">
        <v>1.8</v>
      </c>
      <c r="Y385">
        <v>1</v>
      </c>
      <c r="Z385">
        <v>0.8</v>
      </c>
      <c r="AA385">
        <v>0</v>
      </c>
      <c r="AB385">
        <v>0</v>
      </c>
      <c r="AC385">
        <v>0.6</v>
      </c>
      <c r="AD385">
        <v>5</v>
      </c>
      <c r="AE385">
        <v>59</v>
      </c>
      <c r="AF385">
        <v>15.5</v>
      </c>
      <c r="AG385">
        <v>0.54600000000000004</v>
      </c>
      <c r="AH385">
        <v>0.81799999999999995</v>
      </c>
      <c r="AI385">
        <v>9.0999999999999998E-2</v>
      </c>
      <c r="AJ385">
        <v>0</v>
      </c>
      <c r="AK385">
        <v>18</v>
      </c>
      <c r="AL385">
        <v>9</v>
      </c>
      <c r="AM385">
        <v>12</v>
      </c>
      <c r="AN385">
        <v>3.4</v>
      </c>
      <c r="AO385">
        <v>0</v>
      </c>
      <c r="AP385">
        <v>0</v>
      </c>
      <c r="AQ385">
        <v>17.3</v>
      </c>
      <c r="AR385">
        <v>0.1</v>
      </c>
      <c r="AS385">
        <v>0.1</v>
      </c>
      <c r="AT385">
        <v>0.2</v>
      </c>
      <c r="AU385">
        <v>0.16</v>
      </c>
      <c r="AV385">
        <v>-1.2</v>
      </c>
      <c r="AW385">
        <v>2.5</v>
      </c>
      <c r="AX385">
        <v>1.2</v>
      </c>
      <c r="AY385">
        <v>0</v>
      </c>
      <c r="AZ385">
        <f t="shared" si="10"/>
        <v>0.7</v>
      </c>
      <c r="BA385">
        <f t="shared" si="11"/>
        <v>0.63318504742556003</v>
      </c>
    </row>
    <row r="386" spans="1:53" hidden="1" x14ac:dyDescent="0.25">
      <c r="A386" t="s">
        <v>469</v>
      </c>
      <c r="B386" s="2">
        <v>1017781</v>
      </c>
      <c r="C386" t="s">
        <v>62</v>
      </c>
      <c r="D386">
        <v>23</v>
      </c>
      <c r="E386" t="s">
        <v>85</v>
      </c>
      <c r="F386">
        <v>16</v>
      </c>
      <c r="G386">
        <v>0</v>
      </c>
      <c r="H386">
        <v>4.0999999999999996</v>
      </c>
      <c r="I386">
        <v>0.6</v>
      </c>
      <c r="J386">
        <v>1.4</v>
      </c>
      <c r="K386">
        <v>0.39100000000000001</v>
      </c>
      <c r="L386">
        <v>0.1</v>
      </c>
      <c r="M386">
        <v>0.4</v>
      </c>
      <c r="N386">
        <v>0.14299999999999999</v>
      </c>
      <c r="O386">
        <v>0.5</v>
      </c>
      <c r="P386">
        <v>1</v>
      </c>
      <c r="Q386">
        <v>0.5</v>
      </c>
      <c r="R386">
        <v>0.41299999999999998</v>
      </c>
      <c r="S386">
        <v>0.1</v>
      </c>
      <c r="T386">
        <v>0.1</v>
      </c>
      <c r="U386">
        <v>1</v>
      </c>
      <c r="V386">
        <v>0.3</v>
      </c>
      <c r="W386">
        <v>0.4</v>
      </c>
      <c r="X386">
        <v>0.8</v>
      </c>
      <c r="Y386">
        <v>0.1</v>
      </c>
      <c r="Z386">
        <v>0.1</v>
      </c>
      <c r="AA386">
        <v>0</v>
      </c>
      <c r="AB386">
        <v>0.1</v>
      </c>
      <c r="AC386">
        <v>0.1</v>
      </c>
      <c r="AD386">
        <v>1.3</v>
      </c>
      <c r="AE386">
        <v>66</v>
      </c>
      <c r="AF386">
        <v>7.7</v>
      </c>
      <c r="AG386">
        <v>0.44</v>
      </c>
      <c r="AH386">
        <v>0.30399999999999999</v>
      </c>
      <c r="AI386">
        <v>8.6999999999999994E-2</v>
      </c>
      <c r="AJ386">
        <v>8.1999999999999993</v>
      </c>
      <c r="AK386">
        <v>11.7</v>
      </c>
      <c r="AL386">
        <v>10</v>
      </c>
      <c r="AM386">
        <v>3.9</v>
      </c>
      <c r="AN386">
        <v>0.7</v>
      </c>
      <c r="AO386">
        <v>0</v>
      </c>
      <c r="AP386">
        <v>7.7</v>
      </c>
      <c r="AQ386">
        <v>16.5</v>
      </c>
      <c r="AR386">
        <v>0</v>
      </c>
      <c r="AS386">
        <v>0</v>
      </c>
      <c r="AT386">
        <v>0</v>
      </c>
      <c r="AU386">
        <v>-0.01</v>
      </c>
      <c r="AV386">
        <v>-4.2</v>
      </c>
      <c r="AW386">
        <v>-3.1</v>
      </c>
      <c r="AX386">
        <v>-7.4</v>
      </c>
      <c r="AY386">
        <v>-0.1</v>
      </c>
      <c r="AZ386">
        <f t="shared" si="10"/>
        <v>-3.7</v>
      </c>
      <c r="BA386">
        <f t="shared" si="11"/>
        <v>-3.6353596697128361</v>
      </c>
    </row>
    <row r="387" spans="1:53" hidden="1" x14ac:dyDescent="0.25">
      <c r="A387" t="s">
        <v>470</v>
      </c>
      <c r="B387" s="2">
        <v>1017781</v>
      </c>
      <c r="C387" t="s">
        <v>62</v>
      </c>
      <c r="D387">
        <v>20</v>
      </c>
      <c r="E387" t="s">
        <v>73</v>
      </c>
      <c r="F387">
        <v>48</v>
      </c>
      <c r="G387">
        <v>5</v>
      </c>
      <c r="H387">
        <v>14.8</v>
      </c>
      <c r="I387">
        <v>3</v>
      </c>
      <c r="J387">
        <v>6.9</v>
      </c>
      <c r="K387">
        <v>0.438</v>
      </c>
      <c r="L387">
        <v>1.3</v>
      </c>
      <c r="M387">
        <v>3.3</v>
      </c>
      <c r="N387">
        <v>0.40400000000000003</v>
      </c>
      <c r="O387">
        <v>1.7</v>
      </c>
      <c r="P387">
        <v>3.7</v>
      </c>
      <c r="Q387">
        <v>0.46899999999999997</v>
      </c>
      <c r="R387">
        <v>0.53300000000000003</v>
      </c>
      <c r="S387">
        <v>1.4</v>
      </c>
      <c r="T387">
        <v>1.6</v>
      </c>
      <c r="U387">
        <v>0.82299999999999995</v>
      </c>
      <c r="V387">
        <v>0.2</v>
      </c>
      <c r="W387">
        <v>1.6</v>
      </c>
      <c r="X387">
        <v>1.9</v>
      </c>
      <c r="Y387">
        <v>1.4</v>
      </c>
      <c r="Z387">
        <v>0.4</v>
      </c>
      <c r="AA387">
        <v>0.1</v>
      </c>
      <c r="AB387">
        <v>1</v>
      </c>
      <c r="AC387">
        <v>1.3</v>
      </c>
      <c r="AD387">
        <v>8.8000000000000007</v>
      </c>
      <c r="AE387">
        <v>708</v>
      </c>
      <c r="AF387">
        <v>14.6</v>
      </c>
      <c r="AG387">
        <v>0.57099999999999995</v>
      </c>
      <c r="AH387">
        <v>0.46800000000000003</v>
      </c>
      <c r="AI387">
        <v>0.23699999999999999</v>
      </c>
      <c r="AJ387">
        <v>1.8</v>
      </c>
      <c r="AK387">
        <v>13</v>
      </c>
      <c r="AL387">
        <v>7.3</v>
      </c>
      <c r="AM387">
        <v>14.9</v>
      </c>
      <c r="AN387">
        <v>1.2</v>
      </c>
      <c r="AO387">
        <v>0.9</v>
      </c>
      <c r="AP387">
        <v>11.1</v>
      </c>
      <c r="AQ387">
        <v>26.4</v>
      </c>
      <c r="AR387">
        <v>0.2</v>
      </c>
      <c r="AS387">
        <v>0.5</v>
      </c>
      <c r="AT387">
        <v>0.7</v>
      </c>
      <c r="AU387">
        <v>4.8000000000000001E-2</v>
      </c>
      <c r="AV387">
        <v>-0.4</v>
      </c>
      <c r="AW387">
        <v>-1.9</v>
      </c>
      <c r="AX387">
        <v>-2.2999999999999998</v>
      </c>
      <c r="AY387">
        <v>0</v>
      </c>
      <c r="AZ387">
        <f t="shared" ref="AZ387:AZ450" si="12">0.5*AX387 + 0.5*AT387</f>
        <v>-0.79999999999999993</v>
      </c>
      <c r="BA387">
        <f t="shared" ref="BA387:BA450" si="13">IF(B387&gt;0, AZ387*1000000/B387, 0)</f>
        <v>-0.78602371237034285</v>
      </c>
    </row>
    <row r="388" spans="1:53" hidden="1" x14ac:dyDescent="0.25">
      <c r="A388" t="s">
        <v>471</v>
      </c>
      <c r="B388" s="2">
        <v>1017781</v>
      </c>
      <c r="C388" t="s">
        <v>52</v>
      </c>
      <c r="D388">
        <v>20</v>
      </c>
      <c r="E388" t="s">
        <v>53</v>
      </c>
      <c r="F388">
        <v>12</v>
      </c>
      <c r="G388">
        <v>0</v>
      </c>
      <c r="H388">
        <v>5.2</v>
      </c>
      <c r="I388">
        <v>0.6</v>
      </c>
      <c r="J388">
        <v>1.7</v>
      </c>
      <c r="K388">
        <v>0.35</v>
      </c>
      <c r="L388">
        <v>0.3</v>
      </c>
      <c r="M388">
        <v>0.8</v>
      </c>
      <c r="N388">
        <v>0.33300000000000002</v>
      </c>
      <c r="O388">
        <v>0.3</v>
      </c>
      <c r="P388">
        <v>0.9</v>
      </c>
      <c r="Q388">
        <v>0.36399999999999999</v>
      </c>
      <c r="R388">
        <v>0.42499999999999999</v>
      </c>
      <c r="S388">
        <v>0.5</v>
      </c>
      <c r="T388">
        <v>0.5</v>
      </c>
      <c r="U388">
        <v>1</v>
      </c>
      <c r="V388">
        <v>0.3</v>
      </c>
      <c r="W388">
        <v>0.8</v>
      </c>
      <c r="X388">
        <v>1</v>
      </c>
      <c r="Y388">
        <v>0.5</v>
      </c>
      <c r="Z388">
        <v>0.1</v>
      </c>
      <c r="AA388">
        <v>0.1</v>
      </c>
      <c r="AB388">
        <v>1.3</v>
      </c>
      <c r="AC388">
        <v>0.8</v>
      </c>
      <c r="AD388">
        <v>1.9</v>
      </c>
      <c r="AE388">
        <v>62</v>
      </c>
      <c r="AF388">
        <v>-1.4</v>
      </c>
      <c r="AG388">
        <v>0.50800000000000001</v>
      </c>
      <c r="AH388">
        <v>0.45</v>
      </c>
      <c r="AI388">
        <v>0.3</v>
      </c>
      <c r="AJ388">
        <v>5.4</v>
      </c>
      <c r="AK388">
        <v>15.7</v>
      </c>
      <c r="AL388">
        <v>10.6</v>
      </c>
      <c r="AM388">
        <v>12.4</v>
      </c>
      <c r="AN388">
        <v>0.8</v>
      </c>
      <c r="AO388">
        <v>1.4</v>
      </c>
      <c r="AP388">
        <v>41.4</v>
      </c>
      <c r="AQ388">
        <v>26.1</v>
      </c>
      <c r="AR388">
        <v>-0.3</v>
      </c>
      <c r="AS388">
        <v>0.1</v>
      </c>
      <c r="AT388">
        <v>-0.3</v>
      </c>
      <c r="AU388">
        <v>-0.218</v>
      </c>
      <c r="AV388">
        <v>-11.3</v>
      </c>
      <c r="AW388">
        <v>-3.7</v>
      </c>
      <c r="AX388">
        <v>-15</v>
      </c>
      <c r="AY388">
        <v>-0.2</v>
      </c>
      <c r="AZ388">
        <f t="shared" si="12"/>
        <v>-7.65</v>
      </c>
      <c r="BA388">
        <f t="shared" si="13"/>
        <v>-7.5163517495414043</v>
      </c>
    </row>
    <row r="389" spans="1:53" hidden="1" x14ac:dyDescent="0.25">
      <c r="A389" t="s">
        <v>472</v>
      </c>
      <c r="B389" s="2">
        <v>1017781</v>
      </c>
      <c r="C389" t="s">
        <v>62</v>
      </c>
      <c r="D389">
        <v>19</v>
      </c>
      <c r="E389" t="s">
        <v>58</v>
      </c>
      <c r="F389">
        <v>41</v>
      </c>
      <c r="G389">
        <v>3</v>
      </c>
      <c r="H389">
        <v>12.5</v>
      </c>
      <c r="I389">
        <v>1.1000000000000001</v>
      </c>
      <c r="J389">
        <v>2.6</v>
      </c>
      <c r="K389">
        <v>0.41499999999999998</v>
      </c>
      <c r="L389">
        <v>0.6</v>
      </c>
      <c r="M389">
        <v>1.5</v>
      </c>
      <c r="N389">
        <v>0.41899999999999998</v>
      </c>
      <c r="O389">
        <v>0.4</v>
      </c>
      <c r="P389">
        <v>1.1000000000000001</v>
      </c>
      <c r="Q389">
        <v>0.40899999999999997</v>
      </c>
      <c r="R389">
        <v>0.53800000000000003</v>
      </c>
      <c r="S389">
        <v>0.3</v>
      </c>
      <c r="T389">
        <v>0.4</v>
      </c>
      <c r="U389">
        <v>0.875</v>
      </c>
      <c r="V389">
        <v>0.2</v>
      </c>
      <c r="W389">
        <v>1.7</v>
      </c>
      <c r="X389">
        <v>1.8</v>
      </c>
      <c r="Y389">
        <v>0.5</v>
      </c>
      <c r="Z389">
        <v>0.2</v>
      </c>
      <c r="AA389">
        <v>0.2</v>
      </c>
      <c r="AB389">
        <v>0.3</v>
      </c>
      <c r="AC389">
        <v>0.8</v>
      </c>
      <c r="AD389">
        <v>3.1</v>
      </c>
      <c r="AE389">
        <v>512</v>
      </c>
      <c r="AF389">
        <v>7.4</v>
      </c>
      <c r="AG389">
        <v>0.56599999999999995</v>
      </c>
      <c r="AH389">
        <v>0.58499999999999996</v>
      </c>
      <c r="AI389">
        <v>0.151</v>
      </c>
      <c r="AJ389">
        <v>1.5</v>
      </c>
      <c r="AK389">
        <v>13.8</v>
      </c>
      <c r="AL389">
        <v>7.8</v>
      </c>
      <c r="AM389">
        <v>5.0999999999999996</v>
      </c>
      <c r="AN389">
        <v>0.8</v>
      </c>
      <c r="AO389">
        <v>1.2</v>
      </c>
      <c r="AP389">
        <v>10.3</v>
      </c>
      <c r="AQ389">
        <v>10.4</v>
      </c>
      <c r="AR389">
        <v>0.1</v>
      </c>
      <c r="AS389">
        <v>0.5</v>
      </c>
      <c r="AT389">
        <v>0.6</v>
      </c>
      <c r="AU389">
        <v>5.8000000000000003E-2</v>
      </c>
      <c r="AV389">
        <v>-3.2</v>
      </c>
      <c r="AW389">
        <v>0</v>
      </c>
      <c r="AX389">
        <v>-3.1</v>
      </c>
      <c r="AY389">
        <v>-0.1</v>
      </c>
      <c r="AZ389">
        <f t="shared" si="12"/>
        <v>-1.25</v>
      </c>
      <c r="BA389">
        <f t="shared" si="13"/>
        <v>-1.2281620505786608</v>
      </c>
    </row>
    <row r="390" spans="1:53" hidden="1" x14ac:dyDescent="0.25">
      <c r="A390" t="s">
        <v>473</v>
      </c>
      <c r="B390" s="2">
        <v>1017781</v>
      </c>
      <c r="C390" t="s">
        <v>65</v>
      </c>
      <c r="D390">
        <v>20</v>
      </c>
      <c r="E390" t="s">
        <v>76</v>
      </c>
      <c r="F390">
        <v>15</v>
      </c>
      <c r="G390">
        <v>0</v>
      </c>
      <c r="H390">
        <v>6.4</v>
      </c>
      <c r="I390">
        <v>1.2</v>
      </c>
      <c r="J390">
        <v>2.4</v>
      </c>
      <c r="K390">
        <v>0.5</v>
      </c>
      <c r="L390">
        <v>0.1</v>
      </c>
      <c r="M390">
        <v>0.4</v>
      </c>
      <c r="N390">
        <v>0.33300000000000002</v>
      </c>
      <c r="O390">
        <v>1.1000000000000001</v>
      </c>
      <c r="P390">
        <v>2</v>
      </c>
      <c r="Q390">
        <v>0.53300000000000003</v>
      </c>
      <c r="R390">
        <v>0.52800000000000002</v>
      </c>
      <c r="S390">
        <v>0.5</v>
      </c>
      <c r="T390">
        <v>0.5</v>
      </c>
      <c r="U390">
        <v>1</v>
      </c>
      <c r="V390">
        <v>0.3</v>
      </c>
      <c r="W390">
        <v>1.3</v>
      </c>
      <c r="X390">
        <v>1.7</v>
      </c>
      <c r="Y390">
        <v>0.3</v>
      </c>
      <c r="Z390">
        <v>0.3</v>
      </c>
      <c r="AA390">
        <v>0.4</v>
      </c>
      <c r="AB390">
        <v>0.2</v>
      </c>
      <c r="AC390">
        <v>0.7</v>
      </c>
      <c r="AD390">
        <v>3.1</v>
      </c>
      <c r="AE390">
        <v>96</v>
      </c>
      <c r="AF390">
        <v>17.899999999999999</v>
      </c>
      <c r="AG390">
        <v>0.58199999999999996</v>
      </c>
      <c r="AH390">
        <v>0.16700000000000001</v>
      </c>
      <c r="AI390">
        <v>0.222</v>
      </c>
      <c r="AJ390">
        <v>5.9</v>
      </c>
      <c r="AK390">
        <v>22.9</v>
      </c>
      <c r="AL390">
        <v>14.6</v>
      </c>
      <c r="AM390">
        <v>7.5</v>
      </c>
      <c r="AN390">
        <v>2</v>
      </c>
      <c r="AO390">
        <v>5.4</v>
      </c>
      <c r="AP390">
        <v>7.1</v>
      </c>
      <c r="AQ390">
        <v>18.899999999999999</v>
      </c>
      <c r="AR390">
        <v>0.1</v>
      </c>
      <c r="AS390">
        <v>0.2</v>
      </c>
      <c r="AT390">
        <v>0.3</v>
      </c>
      <c r="AU390">
        <v>0.14599999999999999</v>
      </c>
      <c r="AV390">
        <v>-1.9</v>
      </c>
      <c r="AW390">
        <v>0.4</v>
      </c>
      <c r="AX390">
        <v>-1.6</v>
      </c>
      <c r="AY390">
        <v>0</v>
      </c>
      <c r="AZ390">
        <f t="shared" si="12"/>
        <v>-0.65</v>
      </c>
      <c r="BA390">
        <f t="shared" si="13"/>
        <v>-0.63864426630090365</v>
      </c>
    </row>
    <row r="391" spans="1:53" hidden="1" x14ac:dyDescent="0.25">
      <c r="A391" t="s">
        <v>474</v>
      </c>
      <c r="B391" s="2">
        <v>1017781</v>
      </c>
      <c r="C391" t="s">
        <v>65</v>
      </c>
      <c r="D391">
        <v>20</v>
      </c>
      <c r="E391" t="s">
        <v>70</v>
      </c>
      <c r="F391">
        <v>56</v>
      </c>
      <c r="G391">
        <v>0</v>
      </c>
      <c r="H391">
        <v>11.1</v>
      </c>
      <c r="I391">
        <v>1.5</v>
      </c>
      <c r="J391">
        <v>3.5</v>
      </c>
      <c r="K391">
        <v>0.41899999999999998</v>
      </c>
      <c r="L391">
        <v>0.3</v>
      </c>
      <c r="M391">
        <v>1</v>
      </c>
      <c r="N391">
        <v>0.28599999999999998</v>
      </c>
      <c r="O391">
        <v>1.2</v>
      </c>
      <c r="P391">
        <v>2.5</v>
      </c>
      <c r="Q391">
        <v>0.47199999999999998</v>
      </c>
      <c r="R391">
        <v>0.46</v>
      </c>
      <c r="S391">
        <v>0.6</v>
      </c>
      <c r="T391">
        <v>0.8</v>
      </c>
      <c r="U391">
        <v>0.75600000000000001</v>
      </c>
      <c r="V391">
        <v>0.9</v>
      </c>
      <c r="W391">
        <v>1.5</v>
      </c>
      <c r="X391">
        <v>2.2999999999999998</v>
      </c>
      <c r="Y391">
        <v>0.6</v>
      </c>
      <c r="Z391">
        <v>0.2</v>
      </c>
      <c r="AA391">
        <v>0.2</v>
      </c>
      <c r="AB391">
        <v>0.5</v>
      </c>
      <c r="AC391">
        <v>1.2</v>
      </c>
      <c r="AD391">
        <v>3.9</v>
      </c>
      <c r="AE391">
        <v>619</v>
      </c>
      <c r="AF391">
        <v>9.6</v>
      </c>
      <c r="AG391">
        <v>0.496</v>
      </c>
      <c r="AH391">
        <v>0.28299999999999997</v>
      </c>
      <c r="AI391">
        <v>0.22700000000000001</v>
      </c>
      <c r="AJ391">
        <v>8.8000000000000007</v>
      </c>
      <c r="AK391">
        <v>15.5</v>
      </c>
      <c r="AL391">
        <v>12.2</v>
      </c>
      <c r="AM391">
        <v>7.8</v>
      </c>
      <c r="AN391">
        <v>0.8</v>
      </c>
      <c r="AO391">
        <v>1.9</v>
      </c>
      <c r="AP391">
        <v>11.8</v>
      </c>
      <c r="AQ391">
        <v>17.3</v>
      </c>
      <c r="AR391">
        <v>-0.1</v>
      </c>
      <c r="AS391">
        <v>0.3</v>
      </c>
      <c r="AT391">
        <v>0.2</v>
      </c>
      <c r="AU391">
        <v>1.4999999999999999E-2</v>
      </c>
      <c r="AV391">
        <v>-3.9</v>
      </c>
      <c r="AW391">
        <v>-2.1</v>
      </c>
      <c r="AX391">
        <v>-6.1</v>
      </c>
      <c r="AY391">
        <v>-0.6</v>
      </c>
      <c r="AZ391">
        <f t="shared" si="12"/>
        <v>-2.9499999999999997</v>
      </c>
      <c r="BA391">
        <f t="shared" si="13"/>
        <v>-2.8984624393656393</v>
      </c>
    </row>
    <row r="392" spans="1:53" hidden="1" x14ac:dyDescent="0.25">
      <c r="A392" t="s">
        <v>475</v>
      </c>
      <c r="B392" s="2">
        <v>1013119</v>
      </c>
      <c r="C392" t="s">
        <v>65</v>
      </c>
      <c r="D392">
        <v>25</v>
      </c>
      <c r="E392" t="s">
        <v>109</v>
      </c>
      <c r="F392">
        <v>40</v>
      </c>
      <c r="G392">
        <v>6</v>
      </c>
      <c r="H392">
        <v>16.100000000000001</v>
      </c>
      <c r="I392">
        <v>2.5</v>
      </c>
      <c r="J392">
        <v>5.7</v>
      </c>
      <c r="K392">
        <v>0.443</v>
      </c>
      <c r="L392">
        <v>0.6</v>
      </c>
      <c r="M392">
        <v>2.2000000000000002</v>
      </c>
      <c r="N392">
        <v>0.28100000000000003</v>
      </c>
      <c r="O392">
        <v>1.9</v>
      </c>
      <c r="P392">
        <v>3.5</v>
      </c>
      <c r="Q392">
        <v>0.54700000000000004</v>
      </c>
      <c r="R392">
        <v>0.498</v>
      </c>
      <c r="S392">
        <v>1.3</v>
      </c>
      <c r="T392">
        <v>1.9</v>
      </c>
      <c r="U392">
        <v>0.68</v>
      </c>
      <c r="V392">
        <v>1.1000000000000001</v>
      </c>
      <c r="W392">
        <v>1.7</v>
      </c>
      <c r="X392">
        <v>2.8</v>
      </c>
      <c r="Y392">
        <v>0.7</v>
      </c>
      <c r="Z392">
        <v>0.7</v>
      </c>
      <c r="AA392">
        <v>0.1</v>
      </c>
      <c r="AB392">
        <v>0.9</v>
      </c>
      <c r="AC392">
        <v>2.2999999999999998</v>
      </c>
      <c r="AD392">
        <v>7</v>
      </c>
      <c r="AE392">
        <v>645</v>
      </c>
      <c r="AF392">
        <v>10.9</v>
      </c>
      <c r="AG392">
        <v>0.53300000000000003</v>
      </c>
      <c r="AH392">
        <v>0.39</v>
      </c>
      <c r="AI392">
        <v>0.32900000000000001</v>
      </c>
      <c r="AJ392">
        <v>7.1</v>
      </c>
      <c r="AK392">
        <v>11.8</v>
      </c>
      <c r="AL392">
        <v>9.4</v>
      </c>
      <c r="AM392">
        <v>6.3</v>
      </c>
      <c r="AN392">
        <v>2.1</v>
      </c>
      <c r="AO392">
        <v>0.4</v>
      </c>
      <c r="AP392">
        <v>11.5</v>
      </c>
      <c r="AQ392">
        <v>19.3</v>
      </c>
      <c r="AR392">
        <v>0.1</v>
      </c>
      <c r="AS392">
        <v>0.5</v>
      </c>
      <c r="AT392">
        <v>0.6</v>
      </c>
      <c r="AU392">
        <v>4.2000000000000003E-2</v>
      </c>
      <c r="AV392">
        <v>-3.5</v>
      </c>
      <c r="AW392">
        <v>-0.9</v>
      </c>
      <c r="AX392">
        <v>-4.4000000000000004</v>
      </c>
      <c r="AY392">
        <v>-0.4</v>
      </c>
      <c r="AZ392">
        <f t="shared" si="12"/>
        <v>-1.9000000000000001</v>
      </c>
      <c r="BA392">
        <f t="shared" si="13"/>
        <v>-1.8753966710722041</v>
      </c>
    </row>
    <row r="393" spans="1:53" hidden="1" x14ac:dyDescent="0.25">
      <c r="A393" t="s">
        <v>476</v>
      </c>
      <c r="B393" s="2">
        <v>1000001</v>
      </c>
      <c r="C393" t="s">
        <v>52</v>
      </c>
      <c r="D393">
        <v>28</v>
      </c>
      <c r="E393" t="s">
        <v>130</v>
      </c>
      <c r="F393">
        <v>22</v>
      </c>
      <c r="G393">
        <v>3</v>
      </c>
      <c r="H393">
        <v>25.8</v>
      </c>
      <c r="I393">
        <v>5.3</v>
      </c>
      <c r="J393">
        <v>9.8000000000000007</v>
      </c>
      <c r="K393">
        <v>0.53700000000000003</v>
      </c>
      <c r="L393">
        <v>0.8</v>
      </c>
      <c r="M393">
        <v>1.6</v>
      </c>
      <c r="N393">
        <v>0.47199999999999998</v>
      </c>
      <c r="O393">
        <v>4.5</v>
      </c>
      <c r="P393">
        <v>8.1999999999999993</v>
      </c>
      <c r="Q393">
        <v>0.55000000000000004</v>
      </c>
      <c r="R393">
        <v>0.57599999999999996</v>
      </c>
      <c r="S393">
        <v>1.9</v>
      </c>
      <c r="T393">
        <v>2.4</v>
      </c>
      <c r="U393">
        <v>0.77400000000000002</v>
      </c>
      <c r="V393">
        <v>0.4</v>
      </c>
      <c r="W393">
        <v>4.0999999999999996</v>
      </c>
      <c r="X393">
        <v>4.5</v>
      </c>
      <c r="Y393">
        <v>5.6</v>
      </c>
      <c r="Z393">
        <v>1.1000000000000001</v>
      </c>
      <c r="AA393">
        <v>0.5</v>
      </c>
      <c r="AB393">
        <v>1.6</v>
      </c>
      <c r="AC393">
        <v>2.6</v>
      </c>
      <c r="AD393">
        <v>13.2</v>
      </c>
      <c r="AE393">
        <v>568</v>
      </c>
      <c r="AF393">
        <v>19.100000000000001</v>
      </c>
      <c r="AG393">
        <v>0.60599999999999998</v>
      </c>
      <c r="AH393">
        <v>0.16700000000000001</v>
      </c>
      <c r="AI393">
        <v>0.245</v>
      </c>
      <c r="AJ393">
        <v>1.7</v>
      </c>
      <c r="AK393">
        <v>17.100000000000001</v>
      </c>
      <c r="AL393">
        <v>9.5</v>
      </c>
      <c r="AM393">
        <v>32.299999999999997</v>
      </c>
      <c r="AN393">
        <v>2.1</v>
      </c>
      <c r="AO393">
        <v>1.5</v>
      </c>
      <c r="AP393">
        <v>12.8</v>
      </c>
      <c r="AQ393">
        <v>20.2</v>
      </c>
      <c r="AR393">
        <v>1.3</v>
      </c>
      <c r="AS393">
        <v>0.6</v>
      </c>
      <c r="AT393">
        <v>1.9</v>
      </c>
      <c r="AU393">
        <v>0.16200000000000001</v>
      </c>
      <c r="AV393">
        <v>0.7</v>
      </c>
      <c r="AW393">
        <v>1.7</v>
      </c>
      <c r="AX393">
        <v>2.4</v>
      </c>
      <c r="AY393">
        <v>0.6</v>
      </c>
      <c r="AZ393">
        <f t="shared" si="12"/>
        <v>2.15</v>
      </c>
      <c r="BA393">
        <f t="shared" si="13"/>
        <v>2.1499978500021499</v>
      </c>
    </row>
    <row r="394" spans="1:53" hidden="1" x14ac:dyDescent="0.25">
      <c r="A394" t="s">
        <v>477</v>
      </c>
      <c r="B394" s="2">
        <v>877940</v>
      </c>
      <c r="C394" t="s">
        <v>28</v>
      </c>
      <c r="D394">
        <v>25</v>
      </c>
      <c r="E394" t="s">
        <v>152</v>
      </c>
      <c r="F394">
        <v>37</v>
      </c>
      <c r="G394">
        <v>0</v>
      </c>
      <c r="H394">
        <v>12.2</v>
      </c>
      <c r="I394">
        <v>1.5</v>
      </c>
      <c r="J394">
        <v>3.3</v>
      </c>
      <c r="K394">
        <v>0.45100000000000001</v>
      </c>
      <c r="L394">
        <v>0.6</v>
      </c>
      <c r="M394">
        <v>2</v>
      </c>
      <c r="N394">
        <v>0.32400000000000001</v>
      </c>
      <c r="O394">
        <v>0.8</v>
      </c>
      <c r="P394">
        <v>1.3</v>
      </c>
      <c r="Q394">
        <v>0.64600000000000002</v>
      </c>
      <c r="R394">
        <v>0.54900000000000004</v>
      </c>
      <c r="S394">
        <v>0.6</v>
      </c>
      <c r="T394">
        <v>0.6</v>
      </c>
      <c r="U394">
        <v>0.91300000000000003</v>
      </c>
      <c r="V394">
        <v>0.6</v>
      </c>
      <c r="W394">
        <v>1.1000000000000001</v>
      </c>
      <c r="X394">
        <v>1.7</v>
      </c>
      <c r="Y394">
        <v>0.8</v>
      </c>
      <c r="Z394">
        <v>0.2</v>
      </c>
      <c r="AA394">
        <v>0.1</v>
      </c>
      <c r="AB394">
        <v>0.4</v>
      </c>
      <c r="AC394">
        <v>1.6</v>
      </c>
      <c r="AD394">
        <v>4.2</v>
      </c>
      <c r="AE394">
        <v>451</v>
      </c>
      <c r="AF394">
        <v>10.1</v>
      </c>
      <c r="AG394">
        <v>0.58699999999999997</v>
      </c>
      <c r="AH394">
        <v>0.60699999999999998</v>
      </c>
      <c r="AI394">
        <v>0.189</v>
      </c>
      <c r="AJ394">
        <v>5.8</v>
      </c>
      <c r="AK394">
        <v>9.8000000000000007</v>
      </c>
      <c r="AL394">
        <v>7.8</v>
      </c>
      <c r="AM394">
        <v>9.6</v>
      </c>
      <c r="AN394">
        <v>0.9</v>
      </c>
      <c r="AO394">
        <v>1.1000000000000001</v>
      </c>
      <c r="AP394">
        <v>10.8</v>
      </c>
      <c r="AQ394">
        <v>14.1</v>
      </c>
      <c r="AR394">
        <v>0.5</v>
      </c>
      <c r="AS394">
        <v>0.3</v>
      </c>
      <c r="AT394">
        <v>0.8</v>
      </c>
      <c r="AU394">
        <v>8.8999999999999996E-2</v>
      </c>
      <c r="AV394">
        <v>-2.2000000000000002</v>
      </c>
      <c r="AW394">
        <v>-0.7</v>
      </c>
      <c r="AX394">
        <v>-2.9</v>
      </c>
      <c r="AY394">
        <v>-0.1</v>
      </c>
      <c r="AZ394">
        <f t="shared" si="12"/>
        <v>-1.0499999999999998</v>
      </c>
      <c r="BA394">
        <f t="shared" si="13"/>
        <v>-1.1959815021527664</v>
      </c>
    </row>
    <row r="395" spans="1:53" hidden="1" x14ac:dyDescent="0.25">
      <c r="A395" t="s">
        <v>478</v>
      </c>
      <c r="B395" s="2">
        <v>853241</v>
      </c>
      <c r="C395" t="s">
        <v>65</v>
      </c>
      <c r="D395">
        <v>21</v>
      </c>
      <c r="E395" t="s">
        <v>91</v>
      </c>
      <c r="F395">
        <v>5</v>
      </c>
      <c r="G395">
        <v>0</v>
      </c>
      <c r="H395">
        <v>6.8</v>
      </c>
      <c r="I395">
        <v>1</v>
      </c>
      <c r="J395">
        <v>3</v>
      </c>
      <c r="K395">
        <v>0.33300000000000002</v>
      </c>
      <c r="L395">
        <v>0.2</v>
      </c>
      <c r="M395">
        <v>1</v>
      </c>
      <c r="N395">
        <v>0.2</v>
      </c>
      <c r="O395">
        <v>0.8</v>
      </c>
      <c r="P395">
        <v>2</v>
      </c>
      <c r="Q395">
        <v>0.4</v>
      </c>
      <c r="R395">
        <v>0.36699999999999999</v>
      </c>
      <c r="S395">
        <v>0</v>
      </c>
      <c r="T395">
        <v>0</v>
      </c>
      <c r="V395">
        <v>0.6</v>
      </c>
      <c r="W395">
        <v>1</v>
      </c>
      <c r="X395">
        <v>1.6</v>
      </c>
      <c r="Y395">
        <v>0.8</v>
      </c>
      <c r="Z395">
        <v>0.2</v>
      </c>
      <c r="AA395">
        <v>0</v>
      </c>
      <c r="AB395">
        <v>0</v>
      </c>
      <c r="AC395">
        <v>0.4</v>
      </c>
      <c r="AD395">
        <v>2.2000000000000002</v>
      </c>
      <c r="AE395">
        <v>34</v>
      </c>
      <c r="AF395">
        <v>10.3</v>
      </c>
      <c r="AG395">
        <v>0.36699999999999999</v>
      </c>
      <c r="AH395">
        <v>0.33300000000000002</v>
      </c>
      <c r="AI395">
        <v>0</v>
      </c>
      <c r="AJ395">
        <v>9.6</v>
      </c>
      <c r="AK395">
        <v>17.100000000000001</v>
      </c>
      <c r="AL395">
        <v>13.1</v>
      </c>
      <c r="AM395">
        <v>16.3</v>
      </c>
      <c r="AN395">
        <v>1.4</v>
      </c>
      <c r="AO395">
        <v>0</v>
      </c>
      <c r="AP395">
        <v>0</v>
      </c>
      <c r="AQ395">
        <v>19.2</v>
      </c>
      <c r="AR395">
        <v>0</v>
      </c>
      <c r="AS395">
        <v>0</v>
      </c>
      <c r="AT395">
        <v>0</v>
      </c>
      <c r="AU395">
        <v>8.9999999999999993E-3</v>
      </c>
      <c r="AV395">
        <v>-5.0999999999999996</v>
      </c>
      <c r="AW395">
        <v>-2.8</v>
      </c>
      <c r="AX395">
        <v>-7.9</v>
      </c>
      <c r="AY395">
        <v>-0.1</v>
      </c>
      <c r="AZ395">
        <f t="shared" si="12"/>
        <v>-3.95</v>
      </c>
      <c r="BA395">
        <f t="shared" si="13"/>
        <v>-4.6294071663222933</v>
      </c>
    </row>
    <row r="396" spans="1:53" hidden="1" x14ac:dyDescent="0.25">
      <c r="A396" t="s">
        <v>479</v>
      </c>
      <c r="B396" s="2">
        <v>838891</v>
      </c>
      <c r="C396" t="s">
        <v>62</v>
      </c>
      <c r="D396">
        <v>25</v>
      </c>
      <c r="E396" t="s">
        <v>93</v>
      </c>
      <c r="F396">
        <v>7</v>
      </c>
      <c r="G396">
        <v>0</v>
      </c>
      <c r="H396">
        <v>10</v>
      </c>
      <c r="I396">
        <v>1</v>
      </c>
      <c r="J396">
        <v>4.0999999999999996</v>
      </c>
      <c r="K396">
        <v>0.24099999999999999</v>
      </c>
      <c r="L396">
        <v>0.3</v>
      </c>
      <c r="M396">
        <v>2.1</v>
      </c>
      <c r="N396">
        <v>0.13300000000000001</v>
      </c>
      <c r="O396">
        <v>0.7</v>
      </c>
      <c r="P396">
        <v>2</v>
      </c>
      <c r="Q396">
        <v>0.35699999999999998</v>
      </c>
      <c r="R396">
        <v>0.27600000000000002</v>
      </c>
      <c r="S396">
        <v>0.7</v>
      </c>
      <c r="T396">
        <v>0.7</v>
      </c>
      <c r="U396">
        <v>1</v>
      </c>
      <c r="V396">
        <v>1.1000000000000001</v>
      </c>
      <c r="W396">
        <v>1.3</v>
      </c>
      <c r="X396">
        <v>2.4</v>
      </c>
      <c r="Y396">
        <v>0.9</v>
      </c>
      <c r="Z396">
        <v>0.3</v>
      </c>
      <c r="AA396">
        <v>0.7</v>
      </c>
      <c r="AB396">
        <v>1</v>
      </c>
      <c r="AC396">
        <v>0.6</v>
      </c>
      <c r="AD396">
        <v>3</v>
      </c>
      <c r="AE396">
        <v>70</v>
      </c>
      <c r="AF396">
        <v>6</v>
      </c>
      <c r="AG396">
        <v>0.33700000000000002</v>
      </c>
      <c r="AH396">
        <v>0.51700000000000002</v>
      </c>
      <c r="AI396">
        <v>0.17199999999999999</v>
      </c>
      <c r="AJ396">
        <v>12.7</v>
      </c>
      <c r="AK396">
        <v>14.2</v>
      </c>
      <c r="AL396">
        <v>13.5</v>
      </c>
      <c r="AM396">
        <v>11.1</v>
      </c>
      <c r="AN396">
        <v>1.4</v>
      </c>
      <c r="AO396">
        <v>6.1</v>
      </c>
      <c r="AP396">
        <v>18.3</v>
      </c>
      <c r="AQ396">
        <v>22.9</v>
      </c>
      <c r="AR396">
        <v>-0.3</v>
      </c>
      <c r="AS396">
        <v>0.1</v>
      </c>
      <c r="AT396">
        <v>-0.2</v>
      </c>
      <c r="AU396">
        <v>-0.13300000000000001</v>
      </c>
      <c r="AV396">
        <v>-5.6</v>
      </c>
      <c r="AW396">
        <v>-1.5</v>
      </c>
      <c r="AX396">
        <v>-7.2</v>
      </c>
      <c r="AY396">
        <v>-0.1</v>
      </c>
      <c r="AZ396">
        <f t="shared" si="12"/>
        <v>-3.7</v>
      </c>
      <c r="BA396">
        <f t="shared" si="13"/>
        <v>-4.4105849270048196</v>
      </c>
    </row>
    <row r="397" spans="1:53" hidden="1" x14ac:dyDescent="0.25">
      <c r="A397" t="s">
        <v>480</v>
      </c>
      <c r="B397" s="2">
        <v>824041</v>
      </c>
      <c r="C397" t="s">
        <v>75</v>
      </c>
      <c r="D397">
        <v>23</v>
      </c>
      <c r="E397" t="s">
        <v>55</v>
      </c>
      <c r="F397">
        <v>36</v>
      </c>
      <c r="G397">
        <v>1</v>
      </c>
      <c r="H397">
        <v>8.1999999999999993</v>
      </c>
      <c r="I397">
        <v>1.7</v>
      </c>
      <c r="J397">
        <v>2.7</v>
      </c>
      <c r="K397">
        <v>0.63500000000000001</v>
      </c>
      <c r="L397">
        <v>0</v>
      </c>
      <c r="M397">
        <v>0</v>
      </c>
      <c r="O397">
        <v>1.7</v>
      </c>
      <c r="P397">
        <v>2.7</v>
      </c>
      <c r="Q397">
        <v>0.63500000000000001</v>
      </c>
      <c r="R397">
        <v>0.63500000000000001</v>
      </c>
      <c r="S397">
        <v>0.9</v>
      </c>
      <c r="T397">
        <v>2</v>
      </c>
      <c r="U397">
        <v>0.45800000000000002</v>
      </c>
      <c r="V397">
        <v>1.6</v>
      </c>
      <c r="W397">
        <v>2.2999999999999998</v>
      </c>
      <c r="X397">
        <v>3.9</v>
      </c>
      <c r="Y397">
        <v>0.1</v>
      </c>
      <c r="Z397">
        <v>0.1</v>
      </c>
      <c r="AA397">
        <v>0.4</v>
      </c>
      <c r="AB397">
        <v>0.4</v>
      </c>
      <c r="AC397">
        <v>1.1000000000000001</v>
      </c>
      <c r="AD397">
        <v>4.3</v>
      </c>
      <c r="AE397">
        <v>294</v>
      </c>
      <c r="AF397">
        <v>22.2</v>
      </c>
      <c r="AG397">
        <v>0.60699999999999998</v>
      </c>
      <c r="AH397">
        <v>0</v>
      </c>
      <c r="AI397">
        <v>0.75</v>
      </c>
      <c r="AJ397">
        <v>22</v>
      </c>
      <c r="AK397">
        <v>30.9</v>
      </c>
      <c r="AL397">
        <v>26.5</v>
      </c>
      <c r="AM397">
        <v>2.1</v>
      </c>
      <c r="AN397">
        <v>0.7</v>
      </c>
      <c r="AO397">
        <v>4.2</v>
      </c>
      <c r="AP397">
        <v>10.5</v>
      </c>
      <c r="AQ397">
        <v>21.2</v>
      </c>
      <c r="AR397">
        <v>0.7</v>
      </c>
      <c r="AS397">
        <v>0.4</v>
      </c>
      <c r="AT397">
        <v>1.1000000000000001</v>
      </c>
      <c r="AU397">
        <v>0.17899999999999999</v>
      </c>
      <c r="AV397">
        <v>0.6</v>
      </c>
      <c r="AW397">
        <v>-1.2</v>
      </c>
      <c r="AX397">
        <v>-0.6</v>
      </c>
      <c r="AY397">
        <v>0.1</v>
      </c>
      <c r="AZ397">
        <f t="shared" si="12"/>
        <v>0.25000000000000006</v>
      </c>
      <c r="BA397">
        <f t="shared" si="13"/>
        <v>0.30338296274093163</v>
      </c>
    </row>
    <row r="398" spans="1:53" hidden="1" x14ac:dyDescent="0.25">
      <c r="A398" t="s">
        <v>481</v>
      </c>
      <c r="B398" s="2">
        <v>806097</v>
      </c>
      <c r="C398" t="s">
        <v>65</v>
      </c>
      <c r="D398">
        <v>25</v>
      </c>
      <c r="E398" t="s">
        <v>76</v>
      </c>
      <c r="F398">
        <v>34</v>
      </c>
      <c r="G398">
        <v>0</v>
      </c>
      <c r="H398">
        <v>9.1</v>
      </c>
      <c r="I398">
        <v>1.2</v>
      </c>
      <c r="J398">
        <v>3.2</v>
      </c>
      <c r="K398">
        <v>0.37</v>
      </c>
      <c r="L398">
        <v>0.9</v>
      </c>
      <c r="M398">
        <v>2.5</v>
      </c>
      <c r="N398">
        <v>0.38100000000000001</v>
      </c>
      <c r="O398">
        <v>0.2</v>
      </c>
      <c r="P398">
        <v>0.7</v>
      </c>
      <c r="Q398">
        <v>0.33300000000000002</v>
      </c>
      <c r="R398">
        <v>0.51900000000000002</v>
      </c>
      <c r="S398">
        <v>0.3</v>
      </c>
      <c r="T398">
        <v>0.4</v>
      </c>
      <c r="U398">
        <v>0.83299999999999996</v>
      </c>
      <c r="V398">
        <v>0.1</v>
      </c>
      <c r="W398">
        <v>0.6</v>
      </c>
      <c r="X398">
        <v>0.8</v>
      </c>
      <c r="Y398">
        <v>0.5</v>
      </c>
      <c r="Z398">
        <v>0.1</v>
      </c>
      <c r="AA398">
        <v>0</v>
      </c>
      <c r="AB398">
        <v>0.2</v>
      </c>
      <c r="AC398">
        <v>0.8</v>
      </c>
      <c r="AD398">
        <v>3.6</v>
      </c>
      <c r="AE398">
        <v>310</v>
      </c>
      <c r="AF398">
        <v>8.1</v>
      </c>
      <c r="AG398">
        <v>0.53800000000000003</v>
      </c>
      <c r="AH398">
        <v>0.77800000000000002</v>
      </c>
      <c r="AI398">
        <v>0.111</v>
      </c>
      <c r="AJ398">
        <v>1.4</v>
      </c>
      <c r="AK398">
        <v>7.6</v>
      </c>
      <c r="AL398">
        <v>4.5999999999999996</v>
      </c>
      <c r="AM398">
        <v>6.9</v>
      </c>
      <c r="AN398">
        <v>0.8</v>
      </c>
      <c r="AO398">
        <v>0.3</v>
      </c>
      <c r="AP398">
        <v>5.8</v>
      </c>
      <c r="AQ398">
        <v>16.5</v>
      </c>
      <c r="AR398">
        <v>0.1</v>
      </c>
      <c r="AS398">
        <v>0.2</v>
      </c>
      <c r="AT398">
        <v>0.3</v>
      </c>
      <c r="AU398">
        <v>4.3999999999999997E-2</v>
      </c>
      <c r="AV398">
        <v>-1.9</v>
      </c>
      <c r="AW398">
        <v>-1.5</v>
      </c>
      <c r="AX398">
        <v>-3.4</v>
      </c>
      <c r="AY398">
        <v>-0.1</v>
      </c>
      <c r="AZ398">
        <f t="shared" si="12"/>
        <v>-1.55</v>
      </c>
      <c r="BA398">
        <f t="shared" si="13"/>
        <v>-1.922845513629253</v>
      </c>
    </row>
    <row r="399" spans="1:53" hidden="1" x14ac:dyDescent="0.25">
      <c r="A399" t="s">
        <v>482</v>
      </c>
      <c r="B399" s="2">
        <v>784654</v>
      </c>
      <c r="C399" t="s">
        <v>65</v>
      </c>
      <c r="D399">
        <v>26</v>
      </c>
      <c r="E399" t="s">
        <v>116</v>
      </c>
      <c r="F399">
        <v>16</v>
      </c>
      <c r="G399">
        <v>0</v>
      </c>
      <c r="H399">
        <v>4.9000000000000004</v>
      </c>
      <c r="I399">
        <v>0.6</v>
      </c>
      <c r="J399">
        <v>2.1</v>
      </c>
      <c r="K399">
        <v>0.30299999999999999</v>
      </c>
      <c r="L399">
        <v>0.1</v>
      </c>
      <c r="M399">
        <v>1</v>
      </c>
      <c r="N399">
        <v>0.125</v>
      </c>
      <c r="O399">
        <v>0.5</v>
      </c>
      <c r="P399">
        <v>1.1000000000000001</v>
      </c>
      <c r="Q399">
        <v>0.47099999999999997</v>
      </c>
      <c r="R399">
        <v>0.33300000000000002</v>
      </c>
      <c r="S399">
        <v>0</v>
      </c>
      <c r="T399">
        <v>0</v>
      </c>
      <c r="V399">
        <v>0.1</v>
      </c>
      <c r="W399">
        <v>0.8</v>
      </c>
      <c r="X399">
        <v>0.9</v>
      </c>
      <c r="Y399">
        <v>0.6</v>
      </c>
      <c r="Z399">
        <v>0.4</v>
      </c>
      <c r="AA399">
        <v>0.1</v>
      </c>
      <c r="AB399">
        <v>0.3</v>
      </c>
      <c r="AC399">
        <v>0.4</v>
      </c>
      <c r="AD399">
        <v>1.4</v>
      </c>
      <c r="AE399">
        <v>79</v>
      </c>
      <c r="AF399">
        <v>5.2</v>
      </c>
      <c r="AG399">
        <v>0.33300000000000002</v>
      </c>
      <c r="AH399">
        <v>0.48499999999999999</v>
      </c>
      <c r="AI399">
        <v>0</v>
      </c>
      <c r="AJ399">
        <v>1.5</v>
      </c>
      <c r="AK399">
        <v>18.7</v>
      </c>
      <c r="AL399">
        <v>10.1</v>
      </c>
      <c r="AM399">
        <v>16.3</v>
      </c>
      <c r="AN399">
        <v>3.6</v>
      </c>
      <c r="AO399">
        <v>1.1000000000000001</v>
      </c>
      <c r="AP399">
        <v>13.2</v>
      </c>
      <c r="AQ399">
        <v>20.6</v>
      </c>
      <c r="AR399">
        <v>-0.3</v>
      </c>
      <c r="AS399">
        <v>0.1</v>
      </c>
      <c r="AT399">
        <v>-0.2</v>
      </c>
      <c r="AU399">
        <v>-9.7000000000000003E-2</v>
      </c>
      <c r="AV399">
        <v>-8.6</v>
      </c>
      <c r="AW399">
        <v>0.7</v>
      </c>
      <c r="AX399">
        <v>-7.8</v>
      </c>
      <c r="AY399">
        <v>-0.1</v>
      </c>
      <c r="AZ399">
        <f t="shared" si="12"/>
        <v>-4</v>
      </c>
      <c r="BA399">
        <f t="shared" si="13"/>
        <v>-5.0977883245353999</v>
      </c>
    </row>
    <row r="400" spans="1:53" hidden="1" x14ac:dyDescent="0.25">
      <c r="A400" t="s">
        <v>483</v>
      </c>
      <c r="B400" s="2">
        <v>743922</v>
      </c>
      <c r="C400" t="s">
        <v>75</v>
      </c>
      <c r="D400">
        <v>30</v>
      </c>
      <c r="E400" t="s">
        <v>80</v>
      </c>
      <c r="F400">
        <v>15</v>
      </c>
      <c r="G400">
        <v>2</v>
      </c>
      <c r="H400">
        <v>14.5</v>
      </c>
      <c r="I400">
        <v>2.5</v>
      </c>
      <c r="J400">
        <v>3.9</v>
      </c>
      <c r="K400">
        <v>0.627</v>
      </c>
      <c r="L400">
        <v>0</v>
      </c>
      <c r="M400">
        <v>0.1</v>
      </c>
      <c r="N400">
        <v>0</v>
      </c>
      <c r="O400">
        <v>2.5</v>
      </c>
      <c r="P400">
        <v>3.8</v>
      </c>
      <c r="Q400">
        <v>0.64900000000000002</v>
      </c>
      <c r="R400">
        <v>0.627</v>
      </c>
      <c r="S400">
        <v>1.6</v>
      </c>
      <c r="T400">
        <v>2.2999999999999998</v>
      </c>
      <c r="U400">
        <v>0.68600000000000005</v>
      </c>
      <c r="V400">
        <v>1.7</v>
      </c>
      <c r="W400">
        <v>2.6</v>
      </c>
      <c r="X400">
        <v>4.3</v>
      </c>
      <c r="Y400">
        <v>0.7</v>
      </c>
      <c r="Z400">
        <v>0.2</v>
      </c>
      <c r="AA400">
        <v>0.3</v>
      </c>
      <c r="AB400">
        <v>0.9</v>
      </c>
      <c r="AC400">
        <v>2.2000000000000002</v>
      </c>
      <c r="AD400">
        <v>6.5</v>
      </c>
      <c r="AE400">
        <v>217</v>
      </c>
      <c r="AF400">
        <v>16.399999999999999</v>
      </c>
      <c r="AG400">
        <v>0.65900000000000003</v>
      </c>
      <c r="AH400">
        <v>3.4000000000000002E-2</v>
      </c>
      <c r="AI400">
        <v>0.59299999999999997</v>
      </c>
      <c r="AJ400">
        <v>13</v>
      </c>
      <c r="AK400">
        <v>21.8</v>
      </c>
      <c r="AL400">
        <v>17.3</v>
      </c>
      <c r="AM400">
        <v>7.2</v>
      </c>
      <c r="AN400">
        <v>0.7</v>
      </c>
      <c r="AO400">
        <v>1.9</v>
      </c>
      <c r="AP400">
        <v>15.8</v>
      </c>
      <c r="AQ400">
        <v>18.100000000000001</v>
      </c>
      <c r="AR400">
        <v>0.4</v>
      </c>
      <c r="AS400">
        <v>0.3</v>
      </c>
      <c r="AT400">
        <v>0.7</v>
      </c>
      <c r="AU400">
        <v>0.14699999999999999</v>
      </c>
      <c r="AV400">
        <v>-2</v>
      </c>
      <c r="AW400">
        <v>-0.7</v>
      </c>
      <c r="AX400">
        <v>-2.8</v>
      </c>
      <c r="AY400">
        <v>0</v>
      </c>
      <c r="AZ400">
        <f t="shared" si="12"/>
        <v>-1.0499999999999998</v>
      </c>
      <c r="BA400">
        <f t="shared" si="13"/>
        <v>-1.4114382959503815</v>
      </c>
    </row>
    <row r="401" spans="1:53" hidden="1" x14ac:dyDescent="0.25">
      <c r="A401" t="s">
        <v>484</v>
      </c>
      <c r="B401" s="2">
        <v>713558</v>
      </c>
      <c r="C401" t="s">
        <v>75</v>
      </c>
      <c r="D401">
        <v>30</v>
      </c>
      <c r="E401" t="s">
        <v>68</v>
      </c>
      <c r="F401">
        <v>9</v>
      </c>
      <c r="G401">
        <v>2</v>
      </c>
      <c r="H401">
        <v>12.7</v>
      </c>
      <c r="I401">
        <v>1.6</v>
      </c>
      <c r="J401">
        <v>3.2</v>
      </c>
      <c r="K401">
        <v>0.48299999999999998</v>
      </c>
      <c r="L401">
        <v>0.8</v>
      </c>
      <c r="M401">
        <v>2</v>
      </c>
      <c r="N401">
        <v>0.38900000000000001</v>
      </c>
      <c r="O401">
        <v>0.8</v>
      </c>
      <c r="P401">
        <v>1.2</v>
      </c>
      <c r="Q401">
        <v>0.63600000000000001</v>
      </c>
      <c r="R401">
        <v>0.60299999999999998</v>
      </c>
      <c r="S401">
        <v>0.9</v>
      </c>
      <c r="T401">
        <v>1</v>
      </c>
      <c r="U401">
        <v>0.88900000000000001</v>
      </c>
      <c r="V401">
        <v>1.3</v>
      </c>
      <c r="W401">
        <v>2.4</v>
      </c>
      <c r="X401">
        <v>3.8</v>
      </c>
      <c r="Y401">
        <v>0.1</v>
      </c>
      <c r="Z401">
        <v>0.2</v>
      </c>
      <c r="AA401">
        <v>0</v>
      </c>
      <c r="AB401">
        <v>0.7</v>
      </c>
      <c r="AC401">
        <v>1.8</v>
      </c>
      <c r="AD401">
        <v>4.8</v>
      </c>
      <c r="AE401">
        <v>114</v>
      </c>
      <c r="AF401">
        <v>12</v>
      </c>
      <c r="AG401">
        <v>0.65200000000000002</v>
      </c>
      <c r="AH401">
        <v>0.621</v>
      </c>
      <c r="AI401">
        <v>0.31</v>
      </c>
      <c r="AJ401">
        <v>11.4</v>
      </c>
      <c r="AK401">
        <v>19.399999999999999</v>
      </c>
      <c r="AL401">
        <v>15.5</v>
      </c>
      <c r="AM401">
        <v>1.2</v>
      </c>
      <c r="AN401">
        <v>0.8</v>
      </c>
      <c r="AO401">
        <v>0</v>
      </c>
      <c r="AP401">
        <v>15.4</v>
      </c>
      <c r="AQ401">
        <v>14.4</v>
      </c>
      <c r="AR401">
        <v>0.2</v>
      </c>
      <c r="AS401">
        <v>0.1</v>
      </c>
      <c r="AT401">
        <v>0.3</v>
      </c>
      <c r="AU401">
        <v>0.126</v>
      </c>
      <c r="AV401">
        <v>-2.8</v>
      </c>
      <c r="AW401">
        <v>-2.2000000000000002</v>
      </c>
      <c r="AX401">
        <v>-5</v>
      </c>
      <c r="AY401">
        <v>-0.1</v>
      </c>
      <c r="AZ401">
        <f t="shared" si="12"/>
        <v>-2.35</v>
      </c>
      <c r="BA401">
        <f t="shared" si="13"/>
        <v>-3.2933552703494322</v>
      </c>
    </row>
    <row r="402" spans="1:53" x14ac:dyDescent="0.25">
      <c r="A402" t="s">
        <v>485</v>
      </c>
      <c r="B402" s="2">
        <v>694878</v>
      </c>
      <c r="C402" t="s">
        <v>65</v>
      </c>
      <c r="D402">
        <v>25</v>
      </c>
      <c r="E402" t="s">
        <v>53</v>
      </c>
      <c r="F402">
        <v>62</v>
      </c>
      <c r="G402">
        <v>4</v>
      </c>
      <c r="H402">
        <v>19.3</v>
      </c>
      <c r="I402">
        <v>2.4</v>
      </c>
      <c r="J402">
        <v>5.0999999999999996</v>
      </c>
      <c r="K402">
        <v>0.47099999999999997</v>
      </c>
      <c r="L402">
        <v>1.2</v>
      </c>
      <c r="M402">
        <v>3.2</v>
      </c>
      <c r="N402">
        <v>0.36699999999999999</v>
      </c>
      <c r="O402">
        <v>1.2</v>
      </c>
      <c r="P402">
        <v>1.9</v>
      </c>
      <c r="Q402">
        <v>0.65200000000000002</v>
      </c>
      <c r="R402">
        <v>0.58799999999999997</v>
      </c>
      <c r="S402">
        <v>0.7</v>
      </c>
      <c r="T402">
        <v>1</v>
      </c>
      <c r="U402">
        <v>0.76700000000000002</v>
      </c>
      <c r="V402">
        <v>0.9</v>
      </c>
      <c r="W402">
        <v>2.6</v>
      </c>
      <c r="X402">
        <v>3.5</v>
      </c>
      <c r="Y402">
        <v>1.5</v>
      </c>
      <c r="Z402">
        <v>0.5</v>
      </c>
      <c r="AA402">
        <v>0.3</v>
      </c>
      <c r="AB402">
        <v>0.9</v>
      </c>
      <c r="AC402">
        <v>2.2000000000000002</v>
      </c>
      <c r="AD402">
        <v>6.7</v>
      </c>
      <c r="AE402">
        <v>1195</v>
      </c>
      <c r="AF402">
        <v>10.9</v>
      </c>
      <c r="AG402">
        <v>0.61</v>
      </c>
      <c r="AH402">
        <v>0.63400000000000001</v>
      </c>
      <c r="AI402">
        <v>0.191</v>
      </c>
      <c r="AJ402">
        <v>5.3</v>
      </c>
      <c r="AK402">
        <v>14.4</v>
      </c>
      <c r="AL402">
        <v>9.9</v>
      </c>
      <c r="AM402">
        <v>10.5</v>
      </c>
      <c r="AN402">
        <v>1.1000000000000001</v>
      </c>
      <c r="AO402">
        <v>1.5</v>
      </c>
      <c r="AP402">
        <v>13.7</v>
      </c>
      <c r="AQ402">
        <v>13.8</v>
      </c>
      <c r="AR402">
        <v>1.2</v>
      </c>
      <c r="AS402">
        <v>1.2</v>
      </c>
      <c r="AT402">
        <v>2.4</v>
      </c>
      <c r="AU402">
        <v>9.6000000000000002E-2</v>
      </c>
      <c r="AV402">
        <v>-1.6</v>
      </c>
      <c r="AW402">
        <v>0.4</v>
      </c>
      <c r="AX402">
        <v>-1.1000000000000001</v>
      </c>
      <c r="AY402">
        <v>0.3</v>
      </c>
      <c r="AZ402" s="8">
        <f t="shared" si="12"/>
        <v>0.64999999999999991</v>
      </c>
      <c r="BA402" s="8">
        <f t="shared" si="13"/>
        <v>0.93541600108220424</v>
      </c>
    </row>
    <row r="403" spans="1:53" hidden="1" x14ac:dyDescent="0.25">
      <c r="A403" t="s">
        <v>486</v>
      </c>
      <c r="B403" s="2">
        <v>652829</v>
      </c>
      <c r="C403" t="s">
        <v>52</v>
      </c>
      <c r="D403">
        <v>31</v>
      </c>
      <c r="E403" t="s">
        <v>152</v>
      </c>
      <c r="F403">
        <v>4</v>
      </c>
      <c r="G403">
        <v>0</v>
      </c>
      <c r="H403">
        <v>11</v>
      </c>
      <c r="I403">
        <v>1.5</v>
      </c>
      <c r="J403">
        <v>3.5</v>
      </c>
      <c r="K403">
        <v>0.42899999999999999</v>
      </c>
      <c r="L403">
        <v>0.3</v>
      </c>
      <c r="M403">
        <v>0.8</v>
      </c>
      <c r="N403">
        <v>0.33300000000000002</v>
      </c>
      <c r="O403">
        <v>1.3</v>
      </c>
      <c r="P403">
        <v>2.8</v>
      </c>
      <c r="Q403">
        <v>0.45500000000000002</v>
      </c>
      <c r="R403">
        <v>0.46400000000000002</v>
      </c>
      <c r="S403">
        <v>1</v>
      </c>
      <c r="T403">
        <v>1.8</v>
      </c>
      <c r="U403">
        <v>0.57099999999999995</v>
      </c>
      <c r="V403">
        <v>0.3</v>
      </c>
      <c r="W403">
        <v>1</v>
      </c>
      <c r="X403">
        <v>1.3</v>
      </c>
      <c r="Y403">
        <v>1.8</v>
      </c>
      <c r="Z403">
        <v>0.3</v>
      </c>
      <c r="AA403">
        <v>0.3</v>
      </c>
      <c r="AB403">
        <v>1</v>
      </c>
      <c r="AC403">
        <v>1.3</v>
      </c>
      <c r="AD403">
        <v>4.3</v>
      </c>
      <c r="AE403">
        <v>44</v>
      </c>
      <c r="AF403">
        <v>9</v>
      </c>
      <c r="AG403">
        <v>0.498</v>
      </c>
      <c r="AH403">
        <v>0.214</v>
      </c>
      <c r="AI403">
        <v>0.5</v>
      </c>
      <c r="AJ403">
        <v>2.6</v>
      </c>
      <c r="AK403">
        <v>10.3</v>
      </c>
      <c r="AL403">
        <v>6.4</v>
      </c>
      <c r="AM403">
        <v>22.6</v>
      </c>
      <c r="AN403">
        <v>1.1000000000000001</v>
      </c>
      <c r="AO403">
        <v>2.2000000000000002</v>
      </c>
      <c r="AP403">
        <v>19</v>
      </c>
      <c r="AQ403">
        <v>20.6</v>
      </c>
      <c r="AR403">
        <v>0</v>
      </c>
      <c r="AS403">
        <v>0</v>
      </c>
      <c r="AT403">
        <v>0</v>
      </c>
      <c r="AU403">
        <v>-3.0000000000000001E-3</v>
      </c>
      <c r="AV403">
        <v>-5.0999999999999996</v>
      </c>
      <c r="AW403">
        <v>-1.2</v>
      </c>
      <c r="AX403">
        <v>-6.3</v>
      </c>
      <c r="AY403">
        <v>0</v>
      </c>
      <c r="AZ403">
        <f t="shared" si="12"/>
        <v>-3.15</v>
      </c>
      <c r="BA403">
        <f t="shared" si="13"/>
        <v>-4.8251532943542639</v>
      </c>
    </row>
    <row r="404" spans="1:53" hidden="1" x14ac:dyDescent="0.25">
      <c r="A404" t="s">
        <v>487</v>
      </c>
      <c r="B404" s="2">
        <v>612162</v>
      </c>
      <c r="C404" t="s">
        <v>52</v>
      </c>
      <c r="D404">
        <v>25</v>
      </c>
      <c r="E404" t="s">
        <v>87</v>
      </c>
      <c r="F404">
        <v>7</v>
      </c>
      <c r="G404">
        <v>0</v>
      </c>
      <c r="H404">
        <v>8</v>
      </c>
      <c r="I404">
        <v>0.9</v>
      </c>
      <c r="J404">
        <v>2.1</v>
      </c>
      <c r="K404">
        <v>0.4</v>
      </c>
      <c r="L404">
        <v>0.4</v>
      </c>
      <c r="M404">
        <v>0.9</v>
      </c>
      <c r="N404">
        <v>0.5</v>
      </c>
      <c r="O404">
        <v>0.4</v>
      </c>
      <c r="P404">
        <v>1.3</v>
      </c>
      <c r="Q404">
        <v>0.33300000000000002</v>
      </c>
      <c r="R404">
        <v>0.5</v>
      </c>
      <c r="S404">
        <v>0.7</v>
      </c>
      <c r="T404">
        <v>1.1000000000000001</v>
      </c>
      <c r="U404">
        <v>0.625</v>
      </c>
      <c r="V404">
        <v>0.1</v>
      </c>
      <c r="W404">
        <v>0.6</v>
      </c>
      <c r="X404">
        <v>0.7</v>
      </c>
      <c r="Y404">
        <v>0.9</v>
      </c>
      <c r="Z404">
        <v>0.3</v>
      </c>
      <c r="AA404">
        <v>0</v>
      </c>
      <c r="AB404">
        <v>0.3</v>
      </c>
      <c r="AC404">
        <v>0.3</v>
      </c>
      <c r="AD404">
        <v>2.9</v>
      </c>
      <c r="AE404">
        <v>56</v>
      </c>
      <c r="AF404">
        <v>11.1</v>
      </c>
      <c r="AG404">
        <v>0.54</v>
      </c>
      <c r="AH404">
        <v>0.4</v>
      </c>
      <c r="AI404">
        <v>0.53300000000000003</v>
      </c>
      <c r="AJ404">
        <v>2.1</v>
      </c>
      <c r="AK404">
        <v>8</v>
      </c>
      <c r="AL404">
        <v>5.0999999999999996</v>
      </c>
      <c r="AM404">
        <v>13.9</v>
      </c>
      <c r="AN404">
        <v>1.7</v>
      </c>
      <c r="AO404">
        <v>0</v>
      </c>
      <c r="AP404">
        <v>9.6999999999999993</v>
      </c>
      <c r="AQ404">
        <v>16.2</v>
      </c>
      <c r="AR404">
        <v>0</v>
      </c>
      <c r="AS404">
        <v>0.1</v>
      </c>
      <c r="AT404">
        <v>0.1</v>
      </c>
      <c r="AU404">
        <v>7.8E-2</v>
      </c>
      <c r="AV404">
        <v>-2.8</v>
      </c>
      <c r="AW404">
        <v>0.4</v>
      </c>
      <c r="AX404">
        <v>-2.5</v>
      </c>
      <c r="AY404">
        <v>0</v>
      </c>
      <c r="AZ404">
        <f t="shared" si="12"/>
        <v>-1.2</v>
      </c>
      <c r="BA404">
        <f t="shared" si="13"/>
        <v>-1.9602654199378595</v>
      </c>
    </row>
    <row r="405" spans="1:53" hidden="1" x14ac:dyDescent="0.25">
      <c r="A405" t="s">
        <v>488</v>
      </c>
      <c r="B405" s="2">
        <v>520589</v>
      </c>
      <c r="C405" t="s">
        <v>62</v>
      </c>
      <c r="D405">
        <v>19</v>
      </c>
      <c r="E405" t="s">
        <v>123</v>
      </c>
      <c r="F405">
        <v>3</v>
      </c>
      <c r="G405">
        <v>0</v>
      </c>
      <c r="H405">
        <v>2.7</v>
      </c>
      <c r="I405">
        <v>0.3</v>
      </c>
      <c r="J405">
        <v>1.3</v>
      </c>
      <c r="K405">
        <v>0.25</v>
      </c>
      <c r="L405">
        <v>0.3</v>
      </c>
      <c r="M405">
        <v>1.3</v>
      </c>
      <c r="N405">
        <v>0.25</v>
      </c>
      <c r="O405">
        <v>0</v>
      </c>
      <c r="P405">
        <v>0</v>
      </c>
      <c r="R405">
        <v>0.375</v>
      </c>
      <c r="S405">
        <v>0</v>
      </c>
      <c r="T405">
        <v>0</v>
      </c>
      <c r="V405">
        <v>0</v>
      </c>
      <c r="W405">
        <v>0.7</v>
      </c>
      <c r="X405">
        <v>0.7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8</v>
      </c>
      <c r="AF405">
        <v>3.7</v>
      </c>
      <c r="AG405">
        <v>0.375</v>
      </c>
      <c r="AH405">
        <v>1</v>
      </c>
      <c r="AI405">
        <v>0</v>
      </c>
      <c r="AJ405">
        <v>0</v>
      </c>
      <c r="AK405">
        <v>27.6</v>
      </c>
      <c r="AL405">
        <v>13.7</v>
      </c>
      <c r="AM405">
        <v>0</v>
      </c>
      <c r="AN405">
        <v>0</v>
      </c>
      <c r="AO405">
        <v>0</v>
      </c>
      <c r="AP405">
        <v>0</v>
      </c>
      <c r="AQ405">
        <v>21.4</v>
      </c>
      <c r="AR405">
        <v>0</v>
      </c>
      <c r="AS405">
        <v>0</v>
      </c>
      <c r="AT405">
        <v>0</v>
      </c>
      <c r="AU405">
        <v>-6.2E-2</v>
      </c>
      <c r="AV405">
        <v>-7.4</v>
      </c>
      <c r="AW405">
        <v>-5.6</v>
      </c>
      <c r="AX405">
        <v>-13</v>
      </c>
      <c r="AY405">
        <v>0</v>
      </c>
      <c r="AZ405">
        <f t="shared" si="12"/>
        <v>-6.5</v>
      </c>
      <c r="BA405">
        <f t="shared" si="13"/>
        <v>-12.485857365407259</v>
      </c>
    </row>
    <row r="406" spans="1:53" hidden="1" x14ac:dyDescent="0.25">
      <c r="A406" t="s">
        <v>489</v>
      </c>
      <c r="B406" s="2">
        <v>511816</v>
      </c>
      <c r="C406" t="s">
        <v>62</v>
      </c>
      <c r="D406">
        <v>22</v>
      </c>
      <c r="E406" t="s">
        <v>100</v>
      </c>
      <c r="F406">
        <v>5</v>
      </c>
      <c r="G406">
        <v>0</v>
      </c>
      <c r="H406">
        <v>2.4</v>
      </c>
      <c r="I406">
        <v>0.4</v>
      </c>
      <c r="J406">
        <v>1</v>
      </c>
      <c r="K406">
        <v>0.4</v>
      </c>
      <c r="L406">
        <v>0</v>
      </c>
      <c r="M406">
        <v>0</v>
      </c>
      <c r="O406">
        <v>0.4</v>
      </c>
      <c r="P406">
        <v>1</v>
      </c>
      <c r="Q406">
        <v>0.4</v>
      </c>
      <c r="R406">
        <v>0.4</v>
      </c>
      <c r="S406">
        <v>0</v>
      </c>
      <c r="T406">
        <v>0</v>
      </c>
      <c r="V406">
        <v>0.2</v>
      </c>
      <c r="W406">
        <v>0</v>
      </c>
      <c r="X406">
        <v>0.2</v>
      </c>
      <c r="Y406">
        <v>0</v>
      </c>
      <c r="Z406">
        <v>0</v>
      </c>
      <c r="AA406">
        <v>0</v>
      </c>
      <c r="AB406">
        <v>0</v>
      </c>
      <c r="AC406">
        <v>0.2</v>
      </c>
      <c r="AD406">
        <v>0.8</v>
      </c>
      <c r="AE406">
        <v>12</v>
      </c>
      <c r="AF406">
        <v>4.5999999999999996</v>
      </c>
      <c r="AG406">
        <v>0.4</v>
      </c>
      <c r="AH406">
        <v>0</v>
      </c>
      <c r="AI406">
        <v>0</v>
      </c>
      <c r="AJ406">
        <v>9.5</v>
      </c>
      <c r="AK406">
        <v>0</v>
      </c>
      <c r="AL406">
        <v>4.7</v>
      </c>
      <c r="AM406">
        <v>0</v>
      </c>
      <c r="AN406">
        <v>0</v>
      </c>
      <c r="AO406">
        <v>0</v>
      </c>
      <c r="AP406">
        <v>0</v>
      </c>
      <c r="AQ406">
        <v>17.899999999999999</v>
      </c>
      <c r="AR406">
        <v>0</v>
      </c>
      <c r="AS406">
        <v>0</v>
      </c>
      <c r="AT406">
        <v>0</v>
      </c>
      <c r="AU406">
        <v>-3.4000000000000002E-2</v>
      </c>
      <c r="AV406">
        <v>-6.6</v>
      </c>
      <c r="AW406">
        <v>-4.7</v>
      </c>
      <c r="AX406">
        <v>-11.3</v>
      </c>
      <c r="AY406">
        <v>0</v>
      </c>
      <c r="AZ406">
        <f t="shared" si="12"/>
        <v>-5.65</v>
      </c>
      <c r="BA406">
        <f t="shared" si="13"/>
        <v>-11.039123434984447</v>
      </c>
    </row>
    <row r="407" spans="1:53" hidden="1" x14ac:dyDescent="0.25">
      <c r="A407" t="s">
        <v>490</v>
      </c>
      <c r="B407" s="2">
        <v>508891</v>
      </c>
      <c r="C407" t="s">
        <v>62</v>
      </c>
      <c r="D407">
        <v>24</v>
      </c>
      <c r="E407" t="s">
        <v>85</v>
      </c>
      <c r="F407">
        <v>23</v>
      </c>
      <c r="G407">
        <v>3</v>
      </c>
      <c r="H407">
        <v>12</v>
      </c>
      <c r="I407">
        <v>1.1000000000000001</v>
      </c>
      <c r="J407">
        <v>2.6</v>
      </c>
      <c r="K407">
        <v>0.41699999999999998</v>
      </c>
      <c r="L407">
        <v>0</v>
      </c>
      <c r="M407">
        <v>0.1</v>
      </c>
      <c r="N407">
        <v>0</v>
      </c>
      <c r="O407">
        <v>1.1000000000000001</v>
      </c>
      <c r="P407">
        <v>2.5</v>
      </c>
      <c r="Q407">
        <v>0.43099999999999999</v>
      </c>
      <c r="R407">
        <v>0.41699999999999998</v>
      </c>
      <c r="S407">
        <v>0.1</v>
      </c>
      <c r="T407">
        <v>0.1</v>
      </c>
      <c r="U407">
        <v>0.66700000000000004</v>
      </c>
      <c r="V407">
        <v>0.2</v>
      </c>
      <c r="W407">
        <v>1.4</v>
      </c>
      <c r="X407">
        <v>1.6</v>
      </c>
      <c r="Y407">
        <v>1.7</v>
      </c>
      <c r="Z407">
        <v>0.3</v>
      </c>
      <c r="AA407">
        <v>0.1</v>
      </c>
      <c r="AB407">
        <v>0.7</v>
      </c>
      <c r="AC407">
        <v>0.7</v>
      </c>
      <c r="AD407">
        <v>2.2999999999999998</v>
      </c>
      <c r="AE407">
        <v>277</v>
      </c>
      <c r="AF407">
        <v>6.1</v>
      </c>
      <c r="AG407">
        <v>0.42399999999999999</v>
      </c>
      <c r="AH407">
        <v>3.3000000000000002E-2</v>
      </c>
      <c r="AI407">
        <v>0.05</v>
      </c>
      <c r="AJ407">
        <v>2</v>
      </c>
      <c r="AK407">
        <v>12.8</v>
      </c>
      <c r="AL407">
        <v>7.3</v>
      </c>
      <c r="AM407">
        <v>16.5</v>
      </c>
      <c r="AN407">
        <v>1.2</v>
      </c>
      <c r="AO407">
        <v>0.6</v>
      </c>
      <c r="AP407">
        <v>19.7</v>
      </c>
      <c r="AQ407">
        <v>11.6</v>
      </c>
      <c r="AR407">
        <v>-0.2</v>
      </c>
      <c r="AS407">
        <v>0.2</v>
      </c>
      <c r="AT407">
        <v>-0.1</v>
      </c>
      <c r="AU407">
        <v>-1.0999999999999999E-2</v>
      </c>
      <c r="AV407">
        <v>-5.3</v>
      </c>
      <c r="AW407">
        <v>0.2</v>
      </c>
      <c r="AX407">
        <v>-5.0999999999999996</v>
      </c>
      <c r="AY407">
        <v>-0.2</v>
      </c>
      <c r="AZ407">
        <f t="shared" si="12"/>
        <v>-2.5999999999999996</v>
      </c>
      <c r="BA407">
        <f t="shared" si="13"/>
        <v>-5.1091491105167899</v>
      </c>
    </row>
    <row r="408" spans="1:53" hidden="1" x14ac:dyDescent="0.25">
      <c r="A408" t="s">
        <v>491</v>
      </c>
      <c r="B408" s="2">
        <v>508891</v>
      </c>
      <c r="C408" t="s">
        <v>28</v>
      </c>
      <c r="D408">
        <v>25</v>
      </c>
      <c r="E408" t="s">
        <v>113</v>
      </c>
      <c r="F408">
        <v>4</v>
      </c>
      <c r="G408">
        <v>0</v>
      </c>
      <c r="H408">
        <v>9</v>
      </c>
      <c r="I408">
        <v>0.5</v>
      </c>
      <c r="J408">
        <v>1.8</v>
      </c>
      <c r="K408">
        <v>0.28599999999999998</v>
      </c>
      <c r="L408">
        <v>0</v>
      </c>
      <c r="M408">
        <v>0.8</v>
      </c>
      <c r="N408">
        <v>0</v>
      </c>
      <c r="O408">
        <v>0.5</v>
      </c>
      <c r="P408">
        <v>1</v>
      </c>
      <c r="Q408">
        <v>0.5</v>
      </c>
      <c r="R408">
        <v>0.28599999999999998</v>
      </c>
      <c r="S408">
        <v>0.5</v>
      </c>
      <c r="T408">
        <v>0.5</v>
      </c>
      <c r="U408">
        <v>1</v>
      </c>
      <c r="V408">
        <v>1.3</v>
      </c>
      <c r="W408">
        <v>1.3</v>
      </c>
      <c r="X408">
        <v>2.5</v>
      </c>
      <c r="Y408">
        <v>0</v>
      </c>
      <c r="Z408">
        <v>0.5</v>
      </c>
      <c r="AA408">
        <v>0</v>
      </c>
      <c r="AB408">
        <v>0.3</v>
      </c>
      <c r="AC408">
        <v>0.8</v>
      </c>
      <c r="AD408">
        <v>1.5</v>
      </c>
      <c r="AE408">
        <v>36</v>
      </c>
      <c r="AF408">
        <v>8.1</v>
      </c>
      <c r="AG408">
        <v>0.38100000000000001</v>
      </c>
      <c r="AH408">
        <v>0.42899999999999999</v>
      </c>
      <c r="AI408">
        <v>0.28599999999999998</v>
      </c>
      <c r="AJ408">
        <v>15.4</v>
      </c>
      <c r="AK408">
        <v>14.9</v>
      </c>
      <c r="AL408">
        <v>15.2</v>
      </c>
      <c r="AM408">
        <v>0</v>
      </c>
      <c r="AN408">
        <v>2.7</v>
      </c>
      <c r="AO408">
        <v>0</v>
      </c>
      <c r="AP408">
        <v>11.3</v>
      </c>
      <c r="AQ408">
        <v>10.8</v>
      </c>
      <c r="AR408">
        <v>0</v>
      </c>
      <c r="AS408">
        <v>0.1</v>
      </c>
      <c r="AT408">
        <v>0.1</v>
      </c>
      <c r="AU408">
        <v>6.7000000000000004E-2</v>
      </c>
      <c r="AV408">
        <v>-6.6</v>
      </c>
      <c r="AW408">
        <v>-2.4</v>
      </c>
      <c r="AX408">
        <v>-8.9</v>
      </c>
      <c r="AY408">
        <v>-0.1</v>
      </c>
      <c r="AZ408">
        <f t="shared" si="12"/>
        <v>-4.4000000000000004</v>
      </c>
      <c r="BA408">
        <f t="shared" si="13"/>
        <v>-8.6462523408745682</v>
      </c>
    </row>
    <row r="409" spans="1:53" hidden="1" x14ac:dyDescent="0.25">
      <c r="A409" t="s">
        <v>492</v>
      </c>
      <c r="B409" s="2">
        <v>508891</v>
      </c>
      <c r="C409" t="s">
        <v>62</v>
      </c>
      <c r="D409">
        <v>20</v>
      </c>
      <c r="E409" t="s">
        <v>113</v>
      </c>
      <c r="F409">
        <v>12</v>
      </c>
      <c r="G409">
        <v>0</v>
      </c>
      <c r="H409">
        <v>5.5</v>
      </c>
      <c r="I409">
        <v>0.7</v>
      </c>
      <c r="J409">
        <v>1.6</v>
      </c>
      <c r="K409">
        <v>0.42099999999999999</v>
      </c>
      <c r="L409">
        <v>0.2</v>
      </c>
      <c r="M409">
        <v>0.6</v>
      </c>
      <c r="N409">
        <v>0.28599999999999998</v>
      </c>
      <c r="O409">
        <v>0.5</v>
      </c>
      <c r="P409">
        <v>1</v>
      </c>
      <c r="Q409">
        <v>0.5</v>
      </c>
      <c r="R409">
        <v>0.47399999999999998</v>
      </c>
      <c r="S409">
        <v>0.1</v>
      </c>
      <c r="T409">
        <v>0.2</v>
      </c>
      <c r="U409">
        <v>0.5</v>
      </c>
      <c r="V409">
        <v>0.2</v>
      </c>
      <c r="W409">
        <v>0.6</v>
      </c>
      <c r="X409">
        <v>0.8</v>
      </c>
      <c r="Y409">
        <v>0.9</v>
      </c>
      <c r="Z409">
        <v>0.2</v>
      </c>
      <c r="AA409">
        <v>0.2</v>
      </c>
      <c r="AB409">
        <v>0.3</v>
      </c>
      <c r="AC409">
        <v>0.4</v>
      </c>
      <c r="AD409">
        <v>1.6</v>
      </c>
      <c r="AE409">
        <v>66</v>
      </c>
      <c r="AF409">
        <v>10.1</v>
      </c>
      <c r="AG409">
        <v>0.47799999999999998</v>
      </c>
      <c r="AH409">
        <v>0.36799999999999999</v>
      </c>
      <c r="AI409">
        <v>0.105</v>
      </c>
      <c r="AJ409">
        <v>3.4</v>
      </c>
      <c r="AK409">
        <v>11.4</v>
      </c>
      <c r="AL409">
        <v>7.4</v>
      </c>
      <c r="AM409">
        <v>22.4</v>
      </c>
      <c r="AN409">
        <v>1.5</v>
      </c>
      <c r="AO409">
        <v>2.6</v>
      </c>
      <c r="AP409">
        <v>16.8</v>
      </c>
      <c r="AQ409">
        <v>15.8</v>
      </c>
      <c r="AR409">
        <v>0</v>
      </c>
      <c r="AS409">
        <v>0.1</v>
      </c>
      <c r="AT409">
        <v>0.1</v>
      </c>
      <c r="AU409">
        <v>5.8999999999999997E-2</v>
      </c>
      <c r="AV409">
        <v>-4.5</v>
      </c>
      <c r="AW409">
        <v>0.4</v>
      </c>
      <c r="AX409">
        <v>-4.2</v>
      </c>
      <c r="AY409">
        <v>0</v>
      </c>
      <c r="AZ409">
        <f t="shared" si="12"/>
        <v>-2.0500000000000003</v>
      </c>
      <c r="BA409">
        <f t="shared" si="13"/>
        <v>-4.0283675679074697</v>
      </c>
    </row>
    <row r="410" spans="1:53" hidden="1" x14ac:dyDescent="0.25">
      <c r="A410" t="s">
        <v>493</v>
      </c>
      <c r="B410" s="2">
        <v>508891</v>
      </c>
      <c r="C410" t="s">
        <v>65</v>
      </c>
      <c r="D410">
        <v>27</v>
      </c>
      <c r="E410" t="s">
        <v>87</v>
      </c>
      <c r="F410">
        <v>5</v>
      </c>
      <c r="G410">
        <v>0</v>
      </c>
      <c r="H410">
        <v>1.8</v>
      </c>
      <c r="I410">
        <v>0.4</v>
      </c>
      <c r="J410">
        <v>0.8</v>
      </c>
      <c r="K410">
        <v>0.5</v>
      </c>
      <c r="L410">
        <v>0.2</v>
      </c>
      <c r="M410">
        <v>0.6</v>
      </c>
      <c r="N410">
        <v>0.33300000000000002</v>
      </c>
      <c r="O410">
        <v>0.2</v>
      </c>
      <c r="P410">
        <v>0.2</v>
      </c>
      <c r="Q410">
        <v>1</v>
      </c>
      <c r="R410">
        <v>0.625</v>
      </c>
      <c r="S410">
        <v>0</v>
      </c>
      <c r="T410">
        <v>0</v>
      </c>
      <c r="V410">
        <v>0</v>
      </c>
      <c r="W410">
        <v>0.6</v>
      </c>
      <c r="X410">
        <v>0.6</v>
      </c>
      <c r="Y410">
        <v>0</v>
      </c>
      <c r="Z410">
        <v>0</v>
      </c>
      <c r="AA410">
        <v>0</v>
      </c>
      <c r="AB410">
        <v>0</v>
      </c>
      <c r="AC410">
        <v>0.2</v>
      </c>
      <c r="AD410">
        <v>1</v>
      </c>
      <c r="AE410">
        <v>9</v>
      </c>
      <c r="AF410">
        <v>15.4</v>
      </c>
      <c r="AG410">
        <v>0.625</v>
      </c>
      <c r="AH410">
        <v>0.75</v>
      </c>
      <c r="AI410">
        <v>0</v>
      </c>
      <c r="AJ410">
        <v>0</v>
      </c>
      <c r="AK410">
        <v>37.200000000000003</v>
      </c>
      <c r="AL410">
        <v>18.899999999999999</v>
      </c>
      <c r="AM410">
        <v>0</v>
      </c>
      <c r="AN410">
        <v>0</v>
      </c>
      <c r="AO410">
        <v>0</v>
      </c>
      <c r="AP410">
        <v>0</v>
      </c>
      <c r="AQ410">
        <v>19.7</v>
      </c>
      <c r="AR410">
        <v>0</v>
      </c>
      <c r="AS410">
        <v>0</v>
      </c>
      <c r="AT410">
        <v>0</v>
      </c>
      <c r="AU410">
        <v>0.125</v>
      </c>
      <c r="AV410">
        <v>1.6</v>
      </c>
      <c r="AW410">
        <v>0.8</v>
      </c>
      <c r="AX410">
        <v>2.4</v>
      </c>
      <c r="AY410">
        <v>0</v>
      </c>
      <c r="AZ410">
        <f t="shared" si="12"/>
        <v>1.2</v>
      </c>
      <c r="BA410">
        <f t="shared" si="13"/>
        <v>2.3580688202385187</v>
      </c>
    </row>
    <row r="411" spans="1:53" hidden="1" x14ac:dyDescent="0.25">
      <c r="A411" t="s">
        <v>494</v>
      </c>
      <c r="B411" s="2">
        <v>508891</v>
      </c>
      <c r="C411" t="s">
        <v>75</v>
      </c>
      <c r="D411">
        <v>26</v>
      </c>
      <c r="E411" t="s">
        <v>107</v>
      </c>
      <c r="F411">
        <v>22</v>
      </c>
      <c r="G411">
        <v>2</v>
      </c>
      <c r="H411">
        <v>8</v>
      </c>
      <c r="I411">
        <v>1.1000000000000001</v>
      </c>
      <c r="J411">
        <v>2.2999999999999998</v>
      </c>
      <c r="K411">
        <v>0.48</v>
      </c>
      <c r="L411">
        <v>0.3</v>
      </c>
      <c r="M411">
        <v>1</v>
      </c>
      <c r="N411">
        <v>0.33300000000000002</v>
      </c>
      <c r="O411">
        <v>0.8</v>
      </c>
      <c r="P411">
        <v>1.3</v>
      </c>
      <c r="Q411">
        <v>0.58599999999999997</v>
      </c>
      <c r="R411">
        <v>0.55000000000000004</v>
      </c>
      <c r="S411">
        <v>0.1</v>
      </c>
      <c r="T411">
        <v>0.1</v>
      </c>
      <c r="U411">
        <v>1</v>
      </c>
      <c r="V411">
        <v>0.4</v>
      </c>
      <c r="W411">
        <v>1</v>
      </c>
      <c r="X411">
        <v>1.4</v>
      </c>
      <c r="Y411">
        <v>0.4</v>
      </c>
      <c r="Z411">
        <v>0.2</v>
      </c>
      <c r="AA411">
        <v>0.4</v>
      </c>
      <c r="AB411">
        <v>0.5</v>
      </c>
      <c r="AC411">
        <v>1.2</v>
      </c>
      <c r="AD411">
        <v>2.6</v>
      </c>
      <c r="AE411">
        <v>176</v>
      </c>
      <c r="AF411">
        <v>9</v>
      </c>
      <c r="AG411">
        <v>0.56000000000000005</v>
      </c>
      <c r="AH411">
        <v>0.42</v>
      </c>
      <c r="AI411">
        <v>0.04</v>
      </c>
      <c r="AJ411">
        <v>5.4</v>
      </c>
      <c r="AK411">
        <v>14.7</v>
      </c>
      <c r="AL411">
        <v>10</v>
      </c>
      <c r="AM411">
        <v>6.3</v>
      </c>
      <c r="AN411">
        <v>1.1000000000000001</v>
      </c>
      <c r="AO411">
        <v>4.7</v>
      </c>
      <c r="AP411">
        <v>19.100000000000001</v>
      </c>
      <c r="AQ411">
        <v>16</v>
      </c>
      <c r="AR411">
        <v>-0.1</v>
      </c>
      <c r="AS411">
        <v>0.3</v>
      </c>
      <c r="AT411">
        <v>0.2</v>
      </c>
      <c r="AU411">
        <v>5.0999999999999997E-2</v>
      </c>
      <c r="AV411">
        <v>-4.9000000000000004</v>
      </c>
      <c r="AW411">
        <v>1.6</v>
      </c>
      <c r="AX411">
        <v>-3.4</v>
      </c>
      <c r="AY411">
        <v>-0.1</v>
      </c>
      <c r="AZ411">
        <f t="shared" si="12"/>
        <v>-1.5999999999999999</v>
      </c>
      <c r="BA411">
        <f t="shared" si="13"/>
        <v>-3.1440917603180245</v>
      </c>
    </row>
    <row r="412" spans="1:53" hidden="1" x14ac:dyDescent="0.25">
      <c r="A412" t="s">
        <v>495</v>
      </c>
      <c r="B412" s="2">
        <v>508891</v>
      </c>
      <c r="C412" t="s">
        <v>28</v>
      </c>
      <c r="D412">
        <v>23</v>
      </c>
      <c r="E412" t="s">
        <v>107</v>
      </c>
      <c r="F412">
        <v>12</v>
      </c>
      <c r="G412">
        <v>0</v>
      </c>
      <c r="H412">
        <v>7</v>
      </c>
      <c r="I412">
        <v>1</v>
      </c>
      <c r="J412">
        <v>2.2999999999999998</v>
      </c>
      <c r="K412">
        <v>0.42899999999999999</v>
      </c>
      <c r="L412">
        <v>0.3</v>
      </c>
      <c r="M412">
        <v>0.7</v>
      </c>
      <c r="N412">
        <v>0.375</v>
      </c>
      <c r="O412">
        <v>0.8</v>
      </c>
      <c r="P412">
        <v>1.7</v>
      </c>
      <c r="Q412">
        <v>0.45</v>
      </c>
      <c r="R412">
        <v>0.48199999999999998</v>
      </c>
      <c r="S412">
        <v>0.3</v>
      </c>
      <c r="T412">
        <v>0.3</v>
      </c>
      <c r="U412">
        <v>1</v>
      </c>
      <c r="V412">
        <v>0.3</v>
      </c>
      <c r="W412">
        <v>1.3</v>
      </c>
      <c r="X412">
        <v>1.7</v>
      </c>
      <c r="Y412">
        <v>0.3</v>
      </c>
      <c r="Z412">
        <v>0.3</v>
      </c>
      <c r="AA412">
        <v>0.3</v>
      </c>
      <c r="AB412">
        <v>0.1</v>
      </c>
      <c r="AC412">
        <v>0.7</v>
      </c>
      <c r="AD412">
        <v>2.6</v>
      </c>
      <c r="AE412">
        <v>84</v>
      </c>
      <c r="AF412">
        <v>14.1</v>
      </c>
      <c r="AG412">
        <v>0.52100000000000002</v>
      </c>
      <c r="AH412">
        <v>0.28599999999999998</v>
      </c>
      <c r="AI412">
        <v>0.14299999999999999</v>
      </c>
      <c r="AJ412">
        <v>5.6</v>
      </c>
      <c r="AK412">
        <v>22.4</v>
      </c>
      <c r="AL412">
        <v>14</v>
      </c>
      <c r="AM412">
        <v>5</v>
      </c>
      <c r="AN412">
        <v>2.4</v>
      </c>
      <c r="AO412">
        <v>3.3</v>
      </c>
      <c r="AP412">
        <v>3.3</v>
      </c>
      <c r="AQ412">
        <v>16.399999999999999</v>
      </c>
      <c r="AR412">
        <v>0.1</v>
      </c>
      <c r="AS412">
        <v>0.2</v>
      </c>
      <c r="AT412">
        <v>0.2</v>
      </c>
      <c r="AU412">
        <v>0.13500000000000001</v>
      </c>
      <c r="AV412">
        <v>-2.5</v>
      </c>
      <c r="AW412">
        <v>1.1000000000000001</v>
      </c>
      <c r="AX412">
        <v>-1.4</v>
      </c>
      <c r="AY412">
        <v>0</v>
      </c>
      <c r="AZ412">
        <f t="shared" si="12"/>
        <v>-0.6</v>
      </c>
      <c r="BA412">
        <f t="shared" si="13"/>
        <v>-1.1790344101192594</v>
      </c>
    </row>
    <row r="413" spans="1:53" hidden="1" x14ac:dyDescent="0.25">
      <c r="A413" t="s">
        <v>496</v>
      </c>
      <c r="B413" s="2">
        <v>508891</v>
      </c>
      <c r="C413" t="s">
        <v>65</v>
      </c>
      <c r="D413">
        <v>25</v>
      </c>
      <c r="E413" t="s">
        <v>103</v>
      </c>
      <c r="F413">
        <v>17</v>
      </c>
      <c r="G413">
        <v>0</v>
      </c>
      <c r="H413">
        <v>3.9</v>
      </c>
      <c r="I413">
        <v>0.5</v>
      </c>
      <c r="J413">
        <v>1.1000000000000001</v>
      </c>
      <c r="K413">
        <v>0.42099999999999999</v>
      </c>
      <c r="L413">
        <v>0.2</v>
      </c>
      <c r="M413">
        <v>0.5</v>
      </c>
      <c r="N413">
        <v>0.33300000000000002</v>
      </c>
      <c r="O413">
        <v>0.3</v>
      </c>
      <c r="P413">
        <v>0.6</v>
      </c>
      <c r="Q413">
        <v>0.5</v>
      </c>
      <c r="R413">
        <v>0.5</v>
      </c>
      <c r="S413">
        <v>0.1</v>
      </c>
      <c r="T413">
        <v>0.2</v>
      </c>
      <c r="U413">
        <v>0.66700000000000004</v>
      </c>
      <c r="V413">
        <v>0.4</v>
      </c>
      <c r="W413">
        <v>0.6</v>
      </c>
      <c r="X413">
        <v>1</v>
      </c>
      <c r="Y413">
        <v>0.2</v>
      </c>
      <c r="Z413">
        <v>0.2</v>
      </c>
      <c r="AA413">
        <v>0.1</v>
      </c>
      <c r="AB413">
        <v>0.1</v>
      </c>
      <c r="AC413">
        <v>0.5</v>
      </c>
      <c r="AD413">
        <v>1.2</v>
      </c>
      <c r="AE413">
        <v>66</v>
      </c>
      <c r="AF413">
        <v>12.6</v>
      </c>
      <c r="AG413">
        <v>0.51700000000000002</v>
      </c>
      <c r="AH413">
        <v>0.47399999999999998</v>
      </c>
      <c r="AI413">
        <v>0.158</v>
      </c>
      <c r="AJ413">
        <v>10.7</v>
      </c>
      <c r="AK413">
        <v>18.600000000000001</v>
      </c>
      <c r="AL413">
        <v>14.8</v>
      </c>
      <c r="AM413">
        <v>7.7</v>
      </c>
      <c r="AN413">
        <v>2.2000000000000002</v>
      </c>
      <c r="AO413">
        <v>2.7</v>
      </c>
      <c r="AP413">
        <v>9</v>
      </c>
      <c r="AQ413">
        <v>14.7</v>
      </c>
      <c r="AR413">
        <v>0.1</v>
      </c>
      <c r="AS413">
        <v>0.1</v>
      </c>
      <c r="AT413">
        <v>0.1</v>
      </c>
      <c r="AU413">
        <v>0.108</v>
      </c>
      <c r="AV413">
        <v>-2.6</v>
      </c>
      <c r="AW413">
        <v>0.7</v>
      </c>
      <c r="AX413">
        <v>-1.9</v>
      </c>
      <c r="AY413">
        <v>0</v>
      </c>
      <c r="AZ413">
        <f t="shared" si="12"/>
        <v>-0.89999999999999991</v>
      </c>
      <c r="BA413">
        <f t="shared" si="13"/>
        <v>-1.7685516151788887</v>
      </c>
    </row>
    <row r="414" spans="1:53" hidden="1" x14ac:dyDescent="0.25">
      <c r="A414" t="s">
        <v>497</v>
      </c>
      <c r="B414" s="2">
        <v>508891</v>
      </c>
      <c r="C414" t="s">
        <v>65</v>
      </c>
      <c r="D414">
        <v>23</v>
      </c>
      <c r="E414" t="s">
        <v>201</v>
      </c>
      <c r="F414">
        <v>10</v>
      </c>
      <c r="G414">
        <v>0</v>
      </c>
      <c r="H414">
        <v>9</v>
      </c>
      <c r="I414">
        <v>0.5</v>
      </c>
      <c r="J414">
        <v>2.7</v>
      </c>
      <c r="K414">
        <v>0.185</v>
      </c>
      <c r="L414">
        <v>0.4</v>
      </c>
      <c r="M414">
        <v>2.5</v>
      </c>
      <c r="N414">
        <v>0.16</v>
      </c>
      <c r="O414">
        <v>0.1</v>
      </c>
      <c r="P414">
        <v>0.2</v>
      </c>
      <c r="Q414">
        <v>0.5</v>
      </c>
      <c r="R414">
        <v>0.25900000000000001</v>
      </c>
      <c r="S414">
        <v>0.2</v>
      </c>
      <c r="T414">
        <v>0.2</v>
      </c>
      <c r="U414">
        <v>1</v>
      </c>
      <c r="V414">
        <v>0.2</v>
      </c>
      <c r="W414">
        <v>0.4</v>
      </c>
      <c r="X414">
        <v>0.6</v>
      </c>
      <c r="Y414">
        <v>0.4</v>
      </c>
      <c r="Z414">
        <v>0.2</v>
      </c>
      <c r="AA414">
        <v>0</v>
      </c>
      <c r="AB414">
        <v>0</v>
      </c>
      <c r="AC414">
        <v>0.6</v>
      </c>
      <c r="AD414">
        <v>1.6</v>
      </c>
      <c r="AE414">
        <v>90</v>
      </c>
      <c r="AF414">
        <v>0.5</v>
      </c>
      <c r="AG414">
        <v>0.28699999999999998</v>
      </c>
      <c r="AH414">
        <v>0.92600000000000005</v>
      </c>
      <c r="AI414">
        <v>7.3999999999999996E-2</v>
      </c>
      <c r="AJ414">
        <v>2.4</v>
      </c>
      <c r="AK414">
        <v>5.0999999999999996</v>
      </c>
      <c r="AL414">
        <v>3.7</v>
      </c>
      <c r="AM414">
        <v>5.8</v>
      </c>
      <c r="AN414">
        <v>1.1000000000000001</v>
      </c>
      <c r="AO414">
        <v>0</v>
      </c>
      <c r="AP414">
        <v>0</v>
      </c>
      <c r="AQ414">
        <v>13.2</v>
      </c>
      <c r="AR414">
        <v>-0.2</v>
      </c>
      <c r="AS414">
        <v>0</v>
      </c>
      <c r="AT414">
        <v>-0.2</v>
      </c>
      <c r="AU414">
        <v>-9.0999999999999998E-2</v>
      </c>
      <c r="AV414">
        <v>-7.5</v>
      </c>
      <c r="AW414">
        <v>-2</v>
      </c>
      <c r="AX414">
        <v>-9.5</v>
      </c>
      <c r="AY414">
        <v>-0.2</v>
      </c>
      <c r="AZ414">
        <f t="shared" si="12"/>
        <v>-4.8499999999999996</v>
      </c>
      <c r="BA414">
        <f t="shared" si="13"/>
        <v>-9.530528148464013</v>
      </c>
    </row>
    <row r="415" spans="1:53" hidden="1" x14ac:dyDescent="0.25">
      <c r="A415" t="s">
        <v>498</v>
      </c>
      <c r="B415" s="2">
        <v>508891</v>
      </c>
      <c r="C415" t="s">
        <v>65</v>
      </c>
      <c r="D415">
        <v>23</v>
      </c>
      <c r="E415" t="s">
        <v>213</v>
      </c>
      <c r="F415">
        <v>4</v>
      </c>
      <c r="G415">
        <v>0</v>
      </c>
      <c r="H415">
        <v>6.3</v>
      </c>
      <c r="I415">
        <v>1.3</v>
      </c>
      <c r="J415">
        <v>3</v>
      </c>
      <c r="K415">
        <v>0.41699999999999998</v>
      </c>
      <c r="L415">
        <v>0.8</v>
      </c>
      <c r="M415">
        <v>2.5</v>
      </c>
      <c r="N415">
        <v>0.3</v>
      </c>
      <c r="O415">
        <v>0.5</v>
      </c>
      <c r="P415">
        <v>0.5</v>
      </c>
      <c r="Q415">
        <v>1</v>
      </c>
      <c r="R415">
        <v>0.54200000000000004</v>
      </c>
      <c r="S415">
        <v>0.5</v>
      </c>
      <c r="T415">
        <v>0.5</v>
      </c>
      <c r="U415">
        <v>1</v>
      </c>
      <c r="V415">
        <v>0.3</v>
      </c>
      <c r="W415">
        <v>1.3</v>
      </c>
      <c r="X415">
        <v>1.5</v>
      </c>
      <c r="Y415">
        <v>0.3</v>
      </c>
      <c r="Z415">
        <v>0</v>
      </c>
      <c r="AA415">
        <v>0.3</v>
      </c>
      <c r="AB415">
        <v>0</v>
      </c>
      <c r="AC415">
        <v>0.5</v>
      </c>
      <c r="AD415">
        <v>3.8</v>
      </c>
      <c r="AE415">
        <v>25</v>
      </c>
      <c r="AF415">
        <v>18.3</v>
      </c>
      <c r="AG415">
        <v>0.58199999999999996</v>
      </c>
      <c r="AH415">
        <v>0.83299999999999996</v>
      </c>
      <c r="AI415">
        <v>0.16700000000000001</v>
      </c>
      <c r="AJ415">
        <v>4.3</v>
      </c>
      <c r="AK415">
        <v>22.2</v>
      </c>
      <c r="AL415">
        <v>13.2</v>
      </c>
      <c r="AM415">
        <v>6.2</v>
      </c>
      <c r="AN415">
        <v>0</v>
      </c>
      <c r="AO415">
        <v>3.9</v>
      </c>
      <c r="AP415">
        <v>0</v>
      </c>
      <c r="AQ415">
        <v>21.4</v>
      </c>
      <c r="AR415">
        <v>0.1</v>
      </c>
      <c r="AS415">
        <v>0</v>
      </c>
      <c r="AT415">
        <v>0.1</v>
      </c>
      <c r="AU415">
        <v>0.156</v>
      </c>
      <c r="AV415">
        <v>4.7</v>
      </c>
      <c r="AW415">
        <v>-1.2</v>
      </c>
      <c r="AX415">
        <v>3.5</v>
      </c>
      <c r="AY415">
        <v>0</v>
      </c>
      <c r="AZ415">
        <f t="shared" si="12"/>
        <v>1.8</v>
      </c>
      <c r="BA415">
        <f t="shared" si="13"/>
        <v>3.5371032303577778</v>
      </c>
    </row>
    <row r="416" spans="1:53" hidden="1" x14ac:dyDescent="0.25">
      <c r="A416" t="s">
        <v>499</v>
      </c>
      <c r="B416" s="2">
        <v>508891</v>
      </c>
      <c r="C416" t="s">
        <v>52</v>
      </c>
      <c r="D416">
        <v>23</v>
      </c>
      <c r="E416" t="s">
        <v>213</v>
      </c>
      <c r="F416">
        <v>5</v>
      </c>
      <c r="G416">
        <v>0</v>
      </c>
      <c r="H416">
        <v>5.6</v>
      </c>
      <c r="I416">
        <v>0.4</v>
      </c>
      <c r="J416">
        <v>1.8</v>
      </c>
      <c r="K416">
        <v>0.222</v>
      </c>
      <c r="L416">
        <v>0.4</v>
      </c>
      <c r="M416">
        <v>1.6</v>
      </c>
      <c r="N416">
        <v>0.25</v>
      </c>
      <c r="O416">
        <v>0</v>
      </c>
      <c r="P416">
        <v>0.2</v>
      </c>
      <c r="Q416">
        <v>0</v>
      </c>
      <c r="R416">
        <v>0.33300000000000002</v>
      </c>
      <c r="S416">
        <v>0.6</v>
      </c>
      <c r="T416">
        <v>0.6</v>
      </c>
      <c r="U416">
        <v>1</v>
      </c>
      <c r="V416">
        <v>0</v>
      </c>
      <c r="W416">
        <v>0</v>
      </c>
      <c r="X416">
        <v>0</v>
      </c>
      <c r="Y416">
        <v>0.6</v>
      </c>
      <c r="Z416">
        <v>0</v>
      </c>
      <c r="AA416">
        <v>0</v>
      </c>
      <c r="AB416">
        <v>0.2</v>
      </c>
      <c r="AC416">
        <v>0.2</v>
      </c>
      <c r="AD416">
        <v>1.8</v>
      </c>
      <c r="AE416">
        <v>28</v>
      </c>
      <c r="AF416">
        <v>4.2</v>
      </c>
      <c r="AG416">
        <v>0.436</v>
      </c>
      <c r="AH416">
        <v>0.88900000000000001</v>
      </c>
      <c r="AI416">
        <v>0.33300000000000002</v>
      </c>
      <c r="AJ416">
        <v>0</v>
      </c>
      <c r="AK416">
        <v>0</v>
      </c>
      <c r="AL416">
        <v>0</v>
      </c>
      <c r="AM416">
        <v>13.9</v>
      </c>
      <c r="AN416">
        <v>0</v>
      </c>
      <c r="AO416">
        <v>0</v>
      </c>
      <c r="AP416">
        <v>8.8000000000000007</v>
      </c>
      <c r="AQ416">
        <v>16.8</v>
      </c>
      <c r="AR416">
        <v>0</v>
      </c>
      <c r="AS416">
        <v>0</v>
      </c>
      <c r="AT416">
        <v>0</v>
      </c>
      <c r="AU416">
        <v>-3.5000000000000003E-2</v>
      </c>
      <c r="AV416">
        <v>-3.8</v>
      </c>
      <c r="AW416">
        <v>-4.7</v>
      </c>
      <c r="AX416">
        <v>-8.4</v>
      </c>
      <c r="AY416">
        <v>0</v>
      </c>
      <c r="AZ416">
        <f t="shared" si="12"/>
        <v>-4.2</v>
      </c>
      <c r="BA416">
        <f t="shared" si="13"/>
        <v>-8.2532408708348157</v>
      </c>
    </row>
    <row r="417" spans="1:53" hidden="1" x14ac:dyDescent="0.25">
      <c r="A417" t="s">
        <v>500</v>
      </c>
      <c r="B417" s="2">
        <v>508891</v>
      </c>
      <c r="C417" t="s">
        <v>62</v>
      </c>
      <c r="D417">
        <v>19</v>
      </c>
      <c r="E417" t="s">
        <v>93</v>
      </c>
      <c r="F417">
        <v>6</v>
      </c>
      <c r="G417">
        <v>0</v>
      </c>
      <c r="H417">
        <v>6.7</v>
      </c>
      <c r="I417">
        <v>0.7</v>
      </c>
      <c r="J417">
        <v>1.2</v>
      </c>
      <c r="K417">
        <v>0.57099999999999995</v>
      </c>
      <c r="L417">
        <v>0</v>
      </c>
      <c r="M417">
        <v>0.2</v>
      </c>
      <c r="N417">
        <v>0</v>
      </c>
      <c r="O417">
        <v>0.7</v>
      </c>
      <c r="P417">
        <v>1</v>
      </c>
      <c r="Q417">
        <v>0.66700000000000004</v>
      </c>
      <c r="R417">
        <v>0.57099999999999995</v>
      </c>
      <c r="S417">
        <v>0.2</v>
      </c>
      <c r="T417">
        <v>0.3</v>
      </c>
      <c r="U417">
        <v>0.5</v>
      </c>
      <c r="V417">
        <v>0.3</v>
      </c>
      <c r="W417">
        <v>0.7</v>
      </c>
      <c r="X417">
        <v>1</v>
      </c>
      <c r="Y417">
        <v>0.5</v>
      </c>
      <c r="Z417">
        <v>0.7</v>
      </c>
      <c r="AA417">
        <v>0</v>
      </c>
      <c r="AB417">
        <v>0.3</v>
      </c>
      <c r="AC417">
        <v>1.5</v>
      </c>
      <c r="AD417">
        <v>1.5</v>
      </c>
      <c r="AE417">
        <v>40</v>
      </c>
      <c r="AF417">
        <v>9.1</v>
      </c>
      <c r="AG417">
        <v>0.57099999999999995</v>
      </c>
      <c r="AH417">
        <v>0.14299999999999999</v>
      </c>
      <c r="AI417">
        <v>0.28599999999999998</v>
      </c>
      <c r="AJ417">
        <v>5.6</v>
      </c>
      <c r="AK417">
        <v>11.1</v>
      </c>
      <c r="AL417">
        <v>8.3000000000000007</v>
      </c>
      <c r="AM417">
        <v>9.6999999999999993</v>
      </c>
      <c r="AN417">
        <v>4.7</v>
      </c>
      <c r="AO417">
        <v>0</v>
      </c>
      <c r="AP417">
        <v>20.2</v>
      </c>
      <c r="AQ417">
        <v>10.4</v>
      </c>
      <c r="AR417">
        <v>0</v>
      </c>
      <c r="AS417">
        <v>0.1</v>
      </c>
      <c r="AT417">
        <v>0.1</v>
      </c>
      <c r="AU417">
        <v>7.0999999999999994E-2</v>
      </c>
      <c r="AV417">
        <v>-7</v>
      </c>
      <c r="AW417">
        <v>4</v>
      </c>
      <c r="AX417">
        <v>-2.9</v>
      </c>
      <c r="AY417">
        <v>0</v>
      </c>
      <c r="AZ417">
        <f t="shared" si="12"/>
        <v>-1.4</v>
      </c>
      <c r="BA417">
        <f t="shared" si="13"/>
        <v>-2.7510802902782716</v>
      </c>
    </row>
    <row r="418" spans="1:53" hidden="1" x14ac:dyDescent="0.25">
      <c r="A418" t="s">
        <v>501</v>
      </c>
      <c r="B418" s="2">
        <v>508891</v>
      </c>
      <c r="C418" t="s">
        <v>65</v>
      </c>
      <c r="D418">
        <v>23</v>
      </c>
      <c r="E418" t="s">
        <v>58</v>
      </c>
      <c r="F418">
        <v>7</v>
      </c>
      <c r="G418">
        <v>0</v>
      </c>
      <c r="H418">
        <v>5.9</v>
      </c>
      <c r="I418">
        <v>0.4</v>
      </c>
      <c r="J418">
        <v>1.3</v>
      </c>
      <c r="K418">
        <v>0.33300000000000002</v>
      </c>
      <c r="L418">
        <v>0.4</v>
      </c>
      <c r="M418">
        <v>1.1000000000000001</v>
      </c>
      <c r="N418">
        <v>0.375</v>
      </c>
      <c r="O418">
        <v>0</v>
      </c>
      <c r="P418">
        <v>0.1</v>
      </c>
      <c r="Q418">
        <v>0</v>
      </c>
      <c r="R418">
        <v>0.5</v>
      </c>
      <c r="S418">
        <v>0</v>
      </c>
      <c r="T418">
        <v>0</v>
      </c>
      <c r="V418">
        <v>0.1</v>
      </c>
      <c r="W418">
        <v>0.9</v>
      </c>
      <c r="X418">
        <v>1</v>
      </c>
      <c r="Y418">
        <v>0.6</v>
      </c>
      <c r="Z418">
        <v>0</v>
      </c>
      <c r="AA418">
        <v>0</v>
      </c>
      <c r="AB418">
        <v>0</v>
      </c>
      <c r="AC418">
        <v>0.4</v>
      </c>
      <c r="AD418">
        <v>1.3</v>
      </c>
      <c r="AE418">
        <v>41</v>
      </c>
      <c r="AF418">
        <v>7.4</v>
      </c>
      <c r="AG418">
        <v>0.5</v>
      </c>
      <c r="AH418">
        <v>0.88900000000000001</v>
      </c>
      <c r="AI418">
        <v>0</v>
      </c>
      <c r="AJ418">
        <v>2.7</v>
      </c>
      <c r="AK418">
        <v>15.2</v>
      </c>
      <c r="AL418">
        <v>9.1</v>
      </c>
      <c r="AM418">
        <v>12</v>
      </c>
      <c r="AN418">
        <v>0</v>
      </c>
      <c r="AO418">
        <v>0</v>
      </c>
      <c r="AP418">
        <v>0</v>
      </c>
      <c r="AQ418">
        <v>9.3000000000000007</v>
      </c>
      <c r="AR418">
        <v>0</v>
      </c>
      <c r="AS418">
        <v>0</v>
      </c>
      <c r="AT418">
        <v>0.1</v>
      </c>
      <c r="AU418">
        <v>0.08</v>
      </c>
      <c r="AV418">
        <v>-2.9</v>
      </c>
      <c r="AW418">
        <v>-0.5</v>
      </c>
      <c r="AX418">
        <v>-3.4</v>
      </c>
      <c r="AY418">
        <v>0</v>
      </c>
      <c r="AZ418">
        <f t="shared" si="12"/>
        <v>-1.65</v>
      </c>
      <c r="BA418">
        <f t="shared" si="13"/>
        <v>-3.2423446278279631</v>
      </c>
    </row>
    <row r="419" spans="1:53" hidden="1" x14ac:dyDescent="0.25">
      <c r="A419" t="s">
        <v>502</v>
      </c>
      <c r="B419" s="2">
        <v>508891</v>
      </c>
      <c r="C419" t="s">
        <v>28</v>
      </c>
      <c r="D419">
        <v>23</v>
      </c>
      <c r="E419" t="s">
        <v>80</v>
      </c>
      <c r="F419">
        <v>18</v>
      </c>
      <c r="G419">
        <v>0</v>
      </c>
      <c r="H419">
        <v>13.3</v>
      </c>
      <c r="I419">
        <v>2.1</v>
      </c>
      <c r="J419">
        <v>3.7</v>
      </c>
      <c r="K419">
        <v>0.56100000000000005</v>
      </c>
      <c r="L419">
        <v>0.4</v>
      </c>
      <c r="M419">
        <v>1.1000000000000001</v>
      </c>
      <c r="N419">
        <v>0.35</v>
      </c>
      <c r="O419">
        <v>1.7</v>
      </c>
      <c r="P419">
        <v>2.6</v>
      </c>
      <c r="Q419">
        <v>0.65200000000000002</v>
      </c>
      <c r="R419">
        <v>0.61399999999999999</v>
      </c>
      <c r="S419">
        <v>0.9</v>
      </c>
      <c r="T419">
        <v>1.2</v>
      </c>
      <c r="U419">
        <v>0.77300000000000002</v>
      </c>
      <c r="V419">
        <v>0.8</v>
      </c>
      <c r="W419">
        <v>2.1</v>
      </c>
      <c r="X419">
        <v>2.9</v>
      </c>
      <c r="Y419">
        <v>0.7</v>
      </c>
      <c r="Z419">
        <v>0.6</v>
      </c>
      <c r="AA419">
        <v>0.1</v>
      </c>
      <c r="AB419">
        <v>0.3</v>
      </c>
      <c r="AC419">
        <v>1.2</v>
      </c>
      <c r="AD419">
        <v>5.4</v>
      </c>
      <c r="AE419">
        <v>240</v>
      </c>
      <c r="AF419">
        <v>16.5</v>
      </c>
      <c r="AG419">
        <v>0.64700000000000002</v>
      </c>
      <c r="AH419">
        <v>0.30299999999999999</v>
      </c>
      <c r="AI419">
        <v>0.33300000000000002</v>
      </c>
      <c r="AJ419">
        <v>7.1</v>
      </c>
      <c r="AK419">
        <v>18.7</v>
      </c>
      <c r="AL419">
        <v>12.7</v>
      </c>
      <c r="AM419">
        <v>7.6</v>
      </c>
      <c r="AN419">
        <v>2.2999999999999998</v>
      </c>
      <c r="AO419">
        <v>0.4</v>
      </c>
      <c r="AP419">
        <v>7.3</v>
      </c>
      <c r="AQ419">
        <v>15.1</v>
      </c>
      <c r="AR419">
        <v>0.5</v>
      </c>
      <c r="AS419">
        <v>0.3</v>
      </c>
      <c r="AT419">
        <v>0.8</v>
      </c>
      <c r="AU419">
        <v>0.16900000000000001</v>
      </c>
      <c r="AV419">
        <v>-0.5</v>
      </c>
      <c r="AW419">
        <v>1.3</v>
      </c>
      <c r="AX419">
        <v>0.8</v>
      </c>
      <c r="AY419">
        <v>0.2</v>
      </c>
      <c r="AZ419">
        <f t="shared" si="12"/>
        <v>0.8</v>
      </c>
      <c r="BA419">
        <f t="shared" si="13"/>
        <v>1.5720458801590125</v>
      </c>
    </row>
    <row r="420" spans="1:53" hidden="1" x14ac:dyDescent="0.25">
      <c r="A420" t="s">
        <v>503</v>
      </c>
      <c r="B420" s="2">
        <v>508891</v>
      </c>
      <c r="C420" t="s">
        <v>75</v>
      </c>
      <c r="D420">
        <v>24</v>
      </c>
      <c r="E420" t="s">
        <v>76</v>
      </c>
      <c r="F420">
        <v>28</v>
      </c>
      <c r="G420">
        <v>0</v>
      </c>
      <c r="H420">
        <v>8.6999999999999993</v>
      </c>
      <c r="I420">
        <v>2.2999999999999998</v>
      </c>
      <c r="J420">
        <v>4.0999999999999996</v>
      </c>
      <c r="K420">
        <v>0.54300000000000004</v>
      </c>
      <c r="L420">
        <v>0.5</v>
      </c>
      <c r="M420">
        <v>1.4</v>
      </c>
      <c r="N420">
        <v>0.35899999999999999</v>
      </c>
      <c r="O420">
        <v>1.8</v>
      </c>
      <c r="P420">
        <v>2.8</v>
      </c>
      <c r="Q420">
        <v>0.63600000000000001</v>
      </c>
      <c r="R420">
        <v>0.60299999999999998</v>
      </c>
      <c r="S420">
        <v>1.5</v>
      </c>
      <c r="T420">
        <v>1.9</v>
      </c>
      <c r="U420">
        <v>0.78800000000000003</v>
      </c>
      <c r="V420">
        <v>1.2</v>
      </c>
      <c r="W420">
        <v>1.1000000000000001</v>
      </c>
      <c r="X420">
        <v>2.2999999999999998</v>
      </c>
      <c r="Y420">
        <v>0.6</v>
      </c>
      <c r="Z420">
        <v>0.1</v>
      </c>
      <c r="AA420">
        <v>0.1</v>
      </c>
      <c r="AB420">
        <v>0.5</v>
      </c>
      <c r="AC420">
        <v>1.5</v>
      </c>
      <c r="AD420">
        <v>6.5</v>
      </c>
      <c r="AE420">
        <v>243</v>
      </c>
      <c r="AF420">
        <v>23</v>
      </c>
      <c r="AG420">
        <v>0.65200000000000002</v>
      </c>
      <c r="AH420">
        <v>0.33600000000000002</v>
      </c>
      <c r="AI420">
        <v>0.44800000000000001</v>
      </c>
      <c r="AJ420">
        <v>15.5</v>
      </c>
      <c r="AK420">
        <v>13.5</v>
      </c>
      <c r="AL420">
        <v>14.5</v>
      </c>
      <c r="AM420">
        <v>11.8</v>
      </c>
      <c r="AN420">
        <v>0.6</v>
      </c>
      <c r="AO420">
        <v>0.7</v>
      </c>
      <c r="AP420">
        <v>9.1999999999999993</v>
      </c>
      <c r="AQ420">
        <v>26.9</v>
      </c>
      <c r="AR420">
        <v>0.9</v>
      </c>
      <c r="AS420">
        <v>0.2</v>
      </c>
      <c r="AT420">
        <v>1.1000000000000001</v>
      </c>
      <c r="AU420">
        <v>0.21099999999999999</v>
      </c>
      <c r="AV420">
        <v>2.2000000000000002</v>
      </c>
      <c r="AW420">
        <v>-2.6</v>
      </c>
      <c r="AX420">
        <v>-0.4</v>
      </c>
      <c r="AY420">
        <v>0.1</v>
      </c>
      <c r="AZ420">
        <f t="shared" si="12"/>
        <v>0.35000000000000003</v>
      </c>
      <c r="BA420">
        <f t="shared" si="13"/>
        <v>0.68777007256956801</v>
      </c>
    </row>
    <row r="421" spans="1:53" hidden="1" x14ac:dyDescent="0.25">
      <c r="A421" t="s">
        <v>504</v>
      </c>
      <c r="B421" s="2">
        <v>508891</v>
      </c>
      <c r="C421" t="s">
        <v>62</v>
      </c>
      <c r="D421">
        <v>25</v>
      </c>
      <c r="E421" t="s">
        <v>152</v>
      </c>
      <c r="F421">
        <v>34</v>
      </c>
      <c r="G421">
        <v>0</v>
      </c>
      <c r="H421">
        <v>13.4</v>
      </c>
      <c r="I421">
        <v>1.4</v>
      </c>
      <c r="J421">
        <v>3.1</v>
      </c>
      <c r="K421">
        <v>0.439</v>
      </c>
      <c r="L421">
        <v>0.5</v>
      </c>
      <c r="M421">
        <v>1.3</v>
      </c>
      <c r="N421">
        <v>0.372</v>
      </c>
      <c r="O421">
        <v>0.9</v>
      </c>
      <c r="P421">
        <v>1.9</v>
      </c>
      <c r="Q421">
        <v>0.48399999999999999</v>
      </c>
      <c r="R421">
        <v>0.51400000000000001</v>
      </c>
      <c r="S421">
        <v>0.9</v>
      </c>
      <c r="T421">
        <v>1.2</v>
      </c>
      <c r="U421">
        <v>0.75600000000000001</v>
      </c>
      <c r="V421">
        <v>0.8</v>
      </c>
      <c r="W421">
        <v>1.2</v>
      </c>
      <c r="X421">
        <v>2.1</v>
      </c>
      <c r="Y421">
        <v>0.5</v>
      </c>
      <c r="Z421">
        <v>0.5</v>
      </c>
      <c r="AA421">
        <v>0.1</v>
      </c>
      <c r="AB421">
        <v>0.6</v>
      </c>
      <c r="AC421">
        <v>1.6</v>
      </c>
      <c r="AD421">
        <v>4.0999999999999996</v>
      </c>
      <c r="AE421">
        <v>457</v>
      </c>
      <c r="AF421">
        <v>9.1999999999999993</v>
      </c>
      <c r="AG421">
        <v>0.56399999999999995</v>
      </c>
      <c r="AH421">
        <v>0.40200000000000002</v>
      </c>
      <c r="AI421">
        <v>0.38300000000000001</v>
      </c>
      <c r="AJ421">
        <v>6.9</v>
      </c>
      <c r="AK421">
        <v>10.4</v>
      </c>
      <c r="AL421">
        <v>8.6999999999999993</v>
      </c>
      <c r="AM421">
        <v>4.7</v>
      </c>
      <c r="AN421">
        <v>1.8</v>
      </c>
      <c r="AO421">
        <v>1.1000000000000001</v>
      </c>
      <c r="AP421">
        <v>14.4</v>
      </c>
      <c r="AQ421">
        <v>13.7</v>
      </c>
      <c r="AR421">
        <v>0.2</v>
      </c>
      <c r="AS421">
        <v>0.4</v>
      </c>
      <c r="AT421">
        <v>0.6</v>
      </c>
      <c r="AU421">
        <v>6.5000000000000002E-2</v>
      </c>
      <c r="AV421">
        <v>-3.5</v>
      </c>
      <c r="AW421">
        <v>-0.1</v>
      </c>
      <c r="AX421">
        <v>-3.6</v>
      </c>
      <c r="AY421">
        <v>-0.2</v>
      </c>
      <c r="AZ421">
        <f t="shared" si="12"/>
        <v>-1.5</v>
      </c>
      <c r="BA421">
        <f t="shared" si="13"/>
        <v>-2.9475860252981483</v>
      </c>
    </row>
    <row r="422" spans="1:53" hidden="1" x14ac:dyDescent="0.25">
      <c r="A422" t="s">
        <v>505</v>
      </c>
      <c r="B422" s="2">
        <v>508891</v>
      </c>
      <c r="C422" t="s">
        <v>62</v>
      </c>
      <c r="D422">
        <v>23</v>
      </c>
      <c r="E422" t="s">
        <v>116</v>
      </c>
      <c r="F422">
        <v>16</v>
      </c>
      <c r="G422">
        <v>0</v>
      </c>
      <c r="H422">
        <v>4.4000000000000004</v>
      </c>
      <c r="I422">
        <v>0.4</v>
      </c>
      <c r="J422">
        <v>1</v>
      </c>
      <c r="K422">
        <v>0.438</v>
      </c>
      <c r="L422">
        <v>0.4</v>
      </c>
      <c r="M422">
        <v>0.8</v>
      </c>
      <c r="N422">
        <v>0.5</v>
      </c>
      <c r="O422">
        <v>0.1</v>
      </c>
      <c r="P422">
        <v>0.3</v>
      </c>
      <c r="Q422">
        <v>0.25</v>
      </c>
      <c r="R422">
        <v>0.625</v>
      </c>
      <c r="S422">
        <v>0.3</v>
      </c>
      <c r="T422">
        <v>0.4</v>
      </c>
      <c r="U422">
        <v>0.57099999999999995</v>
      </c>
      <c r="V422">
        <v>0.3</v>
      </c>
      <c r="W422">
        <v>0.3</v>
      </c>
      <c r="X422">
        <v>0.5</v>
      </c>
      <c r="Y422">
        <v>0.4</v>
      </c>
      <c r="Z422">
        <v>0.3</v>
      </c>
      <c r="AA422">
        <v>0.1</v>
      </c>
      <c r="AB422">
        <v>0.1</v>
      </c>
      <c r="AC422">
        <v>0.6</v>
      </c>
      <c r="AD422">
        <v>1.5</v>
      </c>
      <c r="AE422">
        <v>71</v>
      </c>
      <c r="AF422">
        <v>14</v>
      </c>
      <c r="AG422">
        <v>0.629</v>
      </c>
      <c r="AH422">
        <v>0.75</v>
      </c>
      <c r="AI422">
        <v>0.438</v>
      </c>
      <c r="AJ422">
        <v>6.5</v>
      </c>
      <c r="AK422">
        <v>6.4</v>
      </c>
      <c r="AL422">
        <v>6.4</v>
      </c>
      <c r="AM422">
        <v>10.5</v>
      </c>
      <c r="AN422">
        <v>3.4</v>
      </c>
      <c r="AO422">
        <v>1.2</v>
      </c>
      <c r="AP422">
        <v>5</v>
      </c>
      <c r="AQ422">
        <v>12.1</v>
      </c>
      <c r="AR422">
        <v>0.2</v>
      </c>
      <c r="AS422">
        <v>0.1</v>
      </c>
      <c r="AT422">
        <v>0.2</v>
      </c>
      <c r="AU422">
        <v>0.16200000000000001</v>
      </c>
      <c r="AV422">
        <v>-0.1</v>
      </c>
      <c r="AW422">
        <v>1.4</v>
      </c>
      <c r="AX422">
        <v>1.3</v>
      </c>
      <c r="AY422">
        <v>0.1</v>
      </c>
      <c r="AZ422">
        <f t="shared" si="12"/>
        <v>0.75</v>
      </c>
      <c r="BA422">
        <f t="shared" si="13"/>
        <v>1.4737930126490741</v>
      </c>
    </row>
    <row r="423" spans="1:53" hidden="1" x14ac:dyDescent="0.25">
      <c r="A423" t="s">
        <v>506</v>
      </c>
      <c r="B423" s="2">
        <v>508891</v>
      </c>
      <c r="C423" t="s">
        <v>75</v>
      </c>
      <c r="D423">
        <v>23</v>
      </c>
      <c r="E423" t="s">
        <v>116</v>
      </c>
      <c r="F423">
        <v>5</v>
      </c>
      <c r="G423">
        <v>0</v>
      </c>
      <c r="H423">
        <v>5.8</v>
      </c>
      <c r="I423">
        <v>1.2</v>
      </c>
      <c r="J423">
        <v>1.8</v>
      </c>
      <c r="K423">
        <v>0.66700000000000004</v>
      </c>
      <c r="L423">
        <v>0</v>
      </c>
      <c r="M423">
        <v>0</v>
      </c>
      <c r="O423">
        <v>1.2</v>
      </c>
      <c r="P423">
        <v>1.8</v>
      </c>
      <c r="Q423">
        <v>0.66700000000000004</v>
      </c>
      <c r="R423">
        <v>0.66700000000000004</v>
      </c>
      <c r="S423">
        <v>0</v>
      </c>
      <c r="T423">
        <v>0.4</v>
      </c>
      <c r="U423">
        <v>0</v>
      </c>
      <c r="V423">
        <v>1</v>
      </c>
      <c r="W423">
        <v>1.2</v>
      </c>
      <c r="X423">
        <v>2.2000000000000002</v>
      </c>
      <c r="Y423">
        <v>0.2</v>
      </c>
      <c r="Z423">
        <v>0</v>
      </c>
      <c r="AA423">
        <v>0.4</v>
      </c>
      <c r="AB423">
        <v>0.2</v>
      </c>
      <c r="AC423">
        <v>1.4</v>
      </c>
      <c r="AD423">
        <v>2.4</v>
      </c>
      <c r="AE423">
        <v>29</v>
      </c>
      <c r="AF423">
        <v>17</v>
      </c>
      <c r="AG423">
        <v>0.60699999999999998</v>
      </c>
      <c r="AH423">
        <v>0</v>
      </c>
      <c r="AI423">
        <v>0.222</v>
      </c>
      <c r="AJ423">
        <v>19.8</v>
      </c>
      <c r="AK423">
        <v>23.5</v>
      </c>
      <c r="AL423">
        <v>21.7</v>
      </c>
      <c r="AM423">
        <v>5</v>
      </c>
      <c r="AN423">
        <v>0</v>
      </c>
      <c r="AO423">
        <v>6</v>
      </c>
      <c r="AP423">
        <v>9.1999999999999993</v>
      </c>
      <c r="AQ423">
        <v>16.100000000000001</v>
      </c>
      <c r="AR423">
        <v>0.1</v>
      </c>
      <c r="AS423">
        <v>0</v>
      </c>
      <c r="AT423">
        <v>0.1</v>
      </c>
      <c r="AU423">
        <v>0.14899999999999999</v>
      </c>
      <c r="AV423">
        <v>-2.6</v>
      </c>
      <c r="AW423">
        <v>-0.8</v>
      </c>
      <c r="AX423">
        <v>-3.4</v>
      </c>
      <c r="AY423">
        <v>0</v>
      </c>
      <c r="AZ423">
        <f t="shared" si="12"/>
        <v>-1.65</v>
      </c>
      <c r="BA423">
        <f t="shared" si="13"/>
        <v>-3.2423446278279631</v>
      </c>
    </row>
    <row r="424" spans="1:53" hidden="1" x14ac:dyDescent="0.25">
      <c r="A424" t="s">
        <v>507</v>
      </c>
      <c r="B424" s="2">
        <v>508891</v>
      </c>
      <c r="C424" t="s">
        <v>28</v>
      </c>
      <c r="D424">
        <v>19</v>
      </c>
      <c r="E424" t="s">
        <v>175</v>
      </c>
      <c r="F424">
        <v>28</v>
      </c>
      <c r="G424">
        <v>0</v>
      </c>
      <c r="H424">
        <v>14.6</v>
      </c>
      <c r="I424">
        <v>1.6</v>
      </c>
      <c r="J424">
        <v>3.1</v>
      </c>
      <c r="K424">
        <v>0.53500000000000003</v>
      </c>
      <c r="L424">
        <v>0</v>
      </c>
      <c r="M424">
        <v>0.1</v>
      </c>
      <c r="N424">
        <v>0</v>
      </c>
      <c r="O424">
        <v>1.6</v>
      </c>
      <c r="P424">
        <v>2.9</v>
      </c>
      <c r="Q424">
        <v>0.56100000000000005</v>
      </c>
      <c r="R424">
        <v>0.53500000000000003</v>
      </c>
      <c r="S424">
        <v>0.6</v>
      </c>
      <c r="T424">
        <v>0.9</v>
      </c>
      <c r="U424">
        <v>0.72</v>
      </c>
      <c r="V424">
        <v>1.6</v>
      </c>
      <c r="W424">
        <v>2</v>
      </c>
      <c r="X424">
        <v>3.6</v>
      </c>
      <c r="Y424">
        <v>0.9</v>
      </c>
      <c r="Z424">
        <v>0.4</v>
      </c>
      <c r="AA424">
        <v>0.7</v>
      </c>
      <c r="AB424">
        <v>0.5</v>
      </c>
      <c r="AC424">
        <v>2</v>
      </c>
      <c r="AD424">
        <v>3.9</v>
      </c>
      <c r="AE424">
        <v>408</v>
      </c>
      <c r="AF424">
        <v>12.4</v>
      </c>
      <c r="AG424">
        <v>0.56699999999999995</v>
      </c>
      <c r="AH424">
        <v>4.7E-2</v>
      </c>
      <c r="AI424">
        <v>0.29099999999999998</v>
      </c>
      <c r="AJ424">
        <v>11.9</v>
      </c>
      <c r="AK424">
        <v>15.6</v>
      </c>
      <c r="AL424">
        <v>13.7</v>
      </c>
      <c r="AM424">
        <v>7.6</v>
      </c>
      <c r="AN424">
        <v>1.2</v>
      </c>
      <c r="AO424">
        <v>3.8</v>
      </c>
      <c r="AP424">
        <v>13.4</v>
      </c>
      <c r="AQ424">
        <v>11.3</v>
      </c>
      <c r="AR424">
        <v>0.5</v>
      </c>
      <c r="AS424">
        <v>0.2</v>
      </c>
      <c r="AT424">
        <v>0.7</v>
      </c>
      <c r="AU424">
        <v>8.2000000000000003E-2</v>
      </c>
      <c r="AV424">
        <v>-3.7</v>
      </c>
      <c r="AW424">
        <v>-0.8</v>
      </c>
      <c r="AX424">
        <v>-4.5999999999999996</v>
      </c>
      <c r="AY424">
        <v>-0.3</v>
      </c>
      <c r="AZ424">
        <f t="shared" si="12"/>
        <v>-1.9499999999999997</v>
      </c>
      <c r="BA424">
        <f t="shared" si="13"/>
        <v>-3.8318618328875922</v>
      </c>
    </row>
    <row r="425" spans="1:53" hidden="1" x14ac:dyDescent="0.25">
      <c r="A425" t="s">
        <v>508</v>
      </c>
      <c r="B425" s="2">
        <v>508891</v>
      </c>
      <c r="C425" t="s">
        <v>65</v>
      </c>
      <c r="D425">
        <v>21</v>
      </c>
      <c r="E425" t="s">
        <v>82</v>
      </c>
      <c r="F425">
        <v>17</v>
      </c>
      <c r="G425">
        <v>3</v>
      </c>
      <c r="H425">
        <v>18.8</v>
      </c>
      <c r="I425">
        <v>3.5</v>
      </c>
      <c r="J425">
        <v>7.6</v>
      </c>
      <c r="K425">
        <v>0.45400000000000001</v>
      </c>
      <c r="L425">
        <v>1.9</v>
      </c>
      <c r="M425">
        <v>4.8</v>
      </c>
      <c r="N425">
        <v>0.40200000000000002</v>
      </c>
      <c r="O425">
        <v>1.5</v>
      </c>
      <c r="P425">
        <v>2.8</v>
      </c>
      <c r="Q425">
        <v>0.54200000000000004</v>
      </c>
      <c r="R425">
        <v>0.58099999999999996</v>
      </c>
      <c r="S425">
        <v>0.8</v>
      </c>
      <c r="T425">
        <v>1</v>
      </c>
      <c r="U425">
        <v>0.82399999999999995</v>
      </c>
      <c r="V425">
        <v>0.6</v>
      </c>
      <c r="W425">
        <v>2.9</v>
      </c>
      <c r="X425">
        <v>3.5</v>
      </c>
      <c r="Y425">
        <v>0.6</v>
      </c>
      <c r="Z425">
        <v>0.4</v>
      </c>
      <c r="AA425">
        <v>0.3</v>
      </c>
      <c r="AB425">
        <v>0.6</v>
      </c>
      <c r="AC425">
        <v>1.5</v>
      </c>
      <c r="AD425">
        <v>9.6999999999999993</v>
      </c>
      <c r="AE425">
        <v>320</v>
      </c>
      <c r="AF425">
        <v>13.4</v>
      </c>
      <c r="AG425">
        <v>0.6</v>
      </c>
      <c r="AH425">
        <v>0.63100000000000001</v>
      </c>
      <c r="AI425">
        <v>0.13100000000000001</v>
      </c>
      <c r="AJ425">
        <v>3.3</v>
      </c>
      <c r="AK425">
        <v>17.7</v>
      </c>
      <c r="AL425">
        <v>10.199999999999999</v>
      </c>
      <c r="AM425">
        <v>4.5</v>
      </c>
      <c r="AN425">
        <v>0.9</v>
      </c>
      <c r="AO425">
        <v>1.3</v>
      </c>
      <c r="AP425">
        <v>7.4</v>
      </c>
      <c r="AQ425">
        <v>19.2</v>
      </c>
      <c r="AR425">
        <v>0.3</v>
      </c>
      <c r="AS425">
        <v>0.1</v>
      </c>
      <c r="AT425">
        <v>0.4</v>
      </c>
      <c r="AU425">
        <v>6.0999999999999999E-2</v>
      </c>
      <c r="AV425">
        <v>-0.6</v>
      </c>
      <c r="AW425">
        <v>-2.7</v>
      </c>
      <c r="AX425">
        <v>-3.3</v>
      </c>
      <c r="AY425">
        <v>-0.1</v>
      </c>
      <c r="AZ425">
        <f t="shared" si="12"/>
        <v>-1.45</v>
      </c>
      <c r="BA425">
        <f t="shared" si="13"/>
        <v>-2.8493331577882102</v>
      </c>
    </row>
    <row r="426" spans="1:53" hidden="1" x14ac:dyDescent="0.25">
      <c r="A426" t="s">
        <v>509</v>
      </c>
      <c r="B426" s="2">
        <v>508891</v>
      </c>
      <c r="C426" t="s">
        <v>52</v>
      </c>
      <c r="D426">
        <v>25</v>
      </c>
      <c r="E426" t="s">
        <v>91</v>
      </c>
      <c r="F426">
        <v>25</v>
      </c>
      <c r="G426">
        <v>0</v>
      </c>
      <c r="H426">
        <v>10.4</v>
      </c>
      <c r="I426">
        <v>1</v>
      </c>
      <c r="J426">
        <v>2.2999999999999998</v>
      </c>
      <c r="K426">
        <v>0.439</v>
      </c>
      <c r="L426">
        <v>0.2</v>
      </c>
      <c r="M426">
        <v>0.6</v>
      </c>
      <c r="N426">
        <v>0.313</v>
      </c>
      <c r="O426">
        <v>0.8</v>
      </c>
      <c r="P426">
        <v>1.6</v>
      </c>
      <c r="Q426">
        <v>0.48799999999999999</v>
      </c>
      <c r="R426">
        <v>0.48199999999999998</v>
      </c>
      <c r="S426">
        <v>0.2</v>
      </c>
      <c r="T426">
        <v>0.4</v>
      </c>
      <c r="U426">
        <v>0.66700000000000004</v>
      </c>
      <c r="V426">
        <v>0.2</v>
      </c>
      <c r="W426">
        <v>0.7</v>
      </c>
      <c r="X426">
        <v>0.9</v>
      </c>
      <c r="Y426">
        <v>1.2</v>
      </c>
      <c r="Z426">
        <v>0.4</v>
      </c>
      <c r="AA426">
        <v>0.1</v>
      </c>
      <c r="AB426">
        <v>0.2</v>
      </c>
      <c r="AC426">
        <v>0.5</v>
      </c>
      <c r="AD426">
        <v>2.4</v>
      </c>
      <c r="AE426">
        <v>259</v>
      </c>
      <c r="AF426">
        <v>9.9</v>
      </c>
      <c r="AG426">
        <v>0.5</v>
      </c>
      <c r="AH426">
        <v>0.28100000000000003</v>
      </c>
      <c r="AI426">
        <v>0.158</v>
      </c>
      <c r="AJ426">
        <v>2.4</v>
      </c>
      <c r="AK426">
        <v>8</v>
      </c>
      <c r="AL426">
        <v>5</v>
      </c>
      <c r="AM426">
        <v>15.5</v>
      </c>
      <c r="AN426">
        <v>1.7</v>
      </c>
      <c r="AO426">
        <v>1.1000000000000001</v>
      </c>
      <c r="AP426">
        <v>7.6</v>
      </c>
      <c r="AQ426">
        <v>10.9</v>
      </c>
      <c r="AR426">
        <v>0.2</v>
      </c>
      <c r="AS426">
        <v>0.2</v>
      </c>
      <c r="AT426">
        <v>0.4</v>
      </c>
      <c r="AU426">
        <v>7.5999999999999998E-2</v>
      </c>
      <c r="AV426">
        <v>-2.8</v>
      </c>
      <c r="AW426">
        <v>0.9</v>
      </c>
      <c r="AX426">
        <v>-1.9</v>
      </c>
      <c r="AY426">
        <v>0</v>
      </c>
      <c r="AZ426">
        <f t="shared" si="12"/>
        <v>-0.75</v>
      </c>
      <c r="BA426">
        <f t="shared" si="13"/>
        <v>-1.4737930126490741</v>
      </c>
    </row>
    <row r="427" spans="1:53" hidden="1" x14ac:dyDescent="0.25">
      <c r="A427" t="s">
        <v>510</v>
      </c>
      <c r="B427" s="2">
        <v>508891</v>
      </c>
      <c r="C427" t="s">
        <v>28</v>
      </c>
      <c r="D427">
        <v>24</v>
      </c>
      <c r="E427" t="s">
        <v>130</v>
      </c>
      <c r="F427">
        <v>7</v>
      </c>
      <c r="G427">
        <v>0</v>
      </c>
      <c r="H427">
        <v>7.4</v>
      </c>
      <c r="I427">
        <v>1.4</v>
      </c>
      <c r="J427">
        <v>2.1</v>
      </c>
      <c r="K427">
        <v>0.66700000000000004</v>
      </c>
      <c r="L427">
        <v>0.6</v>
      </c>
      <c r="M427">
        <v>1</v>
      </c>
      <c r="N427">
        <v>0.57099999999999995</v>
      </c>
      <c r="O427">
        <v>0.9</v>
      </c>
      <c r="P427">
        <v>1.1000000000000001</v>
      </c>
      <c r="Q427">
        <v>0.75</v>
      </c>
      <c r="R427">
        <v>0.8</v>
      </c>
      <c r="S427">
        <v>0</v>
      </c>
      <c r="T427">
        <v>0</v>
      </c>
      <c r="V427">
        <v>0.4</v>
      </c>
      <c r="W427">
        <v>1.9</v>
      </c>
      <c r="X427">
        <v>2.2999999999999998</v>
      </c>
      <c r="Y427">
        <v>0.6</v>
      </c>
      <c r="Z427">
        <v>0.1</v>
      </c>
      <c r="AA427">
        <v>0</v>
      </c>
      <c r="AB427">
        <v>0.3</v>
      </c>
      <c r="AC427">
        <v>0.7</v>
      </c>
      <c r="AD427">
        <v>3.4</v>
      </c>
      <c r="AE427">
        <v>52</v>
      </c>
      <c r="AF427">
        <v>18.600000000000001</v>
      </c>
      <c r="AG427">
        <v>0.8</v>
      </c>
      <c r="AH427">
        <v>0.46700000000000003</v>
      </c>
      <c r="AI427">
        <v>0</v>
      </c>
      <c r="AJ427">
        <v>6.3</v>
      </c>
      <c r="AK427">
        <v>26.7</v>
      </c>
      <c r="AL427">
        <v>16.600000000000001</v>
      </c>
      <c r="AM427">
        <v>11.2</v>
      </c>
      <c r="AN427">
        <v>0.9</v>
      </c>
      <c r="AO427">
        <v>0</v>
      </c>
      <c r="AP427">
        <v>11.8</v>
      </c>
      <c r="AQ427">
        <v>13.7</v>
      </c>
      <c r="AR427">
        <v>0.2</v>
      </c>
      <c r="AS427">
        <v>0</v>
      </c>
      <c r="AT427">
        <v>0.2</v>
      </c>
      <c r="AU427">
        <v>0.186</v>
      </c>
      <c r="AV427">
        <v>2.4</v>
      </c>
      <c r="AW427">
        <v>1.2</v>
      </c>
      <c r="AX427">
        <v>3.5</v>
      </c>
      <c r="AY427">
        <v>0.1</v>
      </c>
      <c r="AZ427">
        <f t="shared" si="12"/>
        <v>1.85</v>
      </c>
      <c r="BA427">
        <f t="shared" si="13"/>
        <v>3.6353560978677164</v>
      </c>
    </row>
    <row r="428" spans="1:53" hidden="1" x14ac:dyDescent="0.25">
      <c r="A428" t="s">
        <v>511</v>
      </c>
      <c r="B428" s="2">
        <v>508891</v>
      </c>
      <c r="C428" t="s">
        <v>62</v>
      </c>
      <c r="D428">
        <v>21</v>
      </c>
      <c r="E428" t="s">
        <v>130</v>
      </c>
      <c r="F428">
        <v>18</v>
      </c>
      <c r="G428">
        <v>0</v>
      </c>
      <c r="H428">
        <v>12.9</v>
      </c>
      <c r="I428">
        <v>1.9</v>
      </c>
      <c r="J428">
        <v>5.8</v>
      </c>
      <c r="K428">
        <v>0.33700000000000002</v>
      </c>
      <c r="L428">
        <v>0.8</v>
      </c>
      <c r="M428">
        <v>3.5</v>
      </c>
      <c r="N428">
        <v>0.23799999999999999</v>
      </c>
      <c r="O428">
        <v>1.1000000000000001</v>
      </c>
      <c r="P428">
        <v>2.2999999999999998</v>
      </c>
      <c r="Q428">
        <v>0.48799999999999999</v>
      </c>
      <c r="R428">
        <v>0.40899999999999997</v>
      </c>
      <c r="S428">
        <v>0.1</v>
      </c>
      <c r="T428">
        <v>0.2</v>
      </c>
      <c r="U428">
        <v>0.5</v>
      </c>
      <c r="V428">
        <v>0.4</v>
      </c>
      <c r="W428">
        <v>1.7</v>
      </c>
      <c r="X428">
        <v>2.2000000000000002</v>
      </c>
      <c r="Y428">
        <v>0.4</v>
      </c>
      <c r="Z428">
        <v>0.2</v>
      </c>
      <c r="AA428">
        <v>0.2</v>
      </c>
      <c r="AB428">
        <v>0.2</v>
      </c>
      <c r="AC428">
        <v>0.7</v>
      </c>
      <c r="AD428">
        <v>4.8</v>
      </c>
      <c r="AE428">
        <v>232</v>
      </c>
      <c r="AF428">
        <v>6.5</v>
      </c>
      <c r="AG428">
        <v>0.41099999999999998</v>
      </c>
      <c r="AH428">
        <v>0.60599999999999998</v>
      </c>
      <c r="AI428">
        <v>3.7999999999999999E-2</v>
      </c>
      <c r="AJ428">
        <v>3.8</v>
      </c>
      <c r="AK428">
        <v>14.3</v>
      </c>
      <c r="AL428">
        <v>9.1</v>
      </c>
      <c r="AM428">
        <v>4.7</v>
      </c>
      <c r="AN428">
        <v>0.8</v>
      </c>
      <c r="AO428">
        <v>1.1000000000000001</v>
      </c>
      <c r="AP428">
        <v>2.8</v>
      </c>
      <c r="AQ428">
        <v>19.600000000000001</v>
      </c>
      <c r="AR428">
        <v>-0.3</v>
      </c>
      <c r="AS428">
        <v>0.1</v>
      </c>
      <c r="AT428">
        <v>-0.2</v>
      </c>
      <c r="AU428">
        <v>-3.2000000000000001E-2</v>
      </c>
      <c r="AV428">
        <v>-4.3</v>
      </c>
      <c r="AW428">
        <v>-2.2000000000000002</v>
      </c>
      <c r="AX428">
        <v>-6.5</v>
      </c>
      <c r="AY428">
        <v>-0.3</v>
      </c>
      <c r="AZ428">
        <f t="shared" si="12"/>
        <v>-3.35</v>
      </c>
      <c r="BA428">
        <f t="shared" si="13"/>
        <v>-6.5829421231658642</v>
      </c>
    </row>
    <row r="429" spans="1:53" hidden="1" x14ac:dyDescent="0.25">
      <c r="A429" t="s">
        <v>512</v>
      </c>
      <c r="B429" s="2">
        <v>503041</v>
      </c>
      <c r="C429" t="s">
        <v>75</v>
      </c>
      <c r="D429">
        <v>20</v>
      </c>
      <c r="E429" t="s">
        <v>70</v>
      </c>
      <c r="F429">
        <v>19</v>
      </c>
      <c r="G429">
        <v>1</v>
      </c>
      <c r="H429">
        <v>11.6</v>
      </c>
      <c r="I429">
        <v>0.9</v>
      </c>
      <c r="J429">
        <v>2.8</v>
      </c>
      <c r="K429">
        <v>0.32100000000000001</v>
      </c>
      <c r="L429">
        <v>0.4</v>
      </c>
      <c r="M429">
        <v>1.8</v>
      </c>
      <c r="N429">
        <v>0.22900000000000001</v>
      </c>
      <c r="O429">
        <v>0.5</v>
      </c>
      <c r="P429">
        <v>0.9</v>
      </c>
      <c r="Q429">
        <v>0.5</v>
      </c>
      <c r="R429">
        <v>0.39600000000000002</v>
      </c>
      <c r="S429">
        <v>0.2</v>
      </c>
      <c r="T429">
        <v>0.2</v>
      </c>
      <c r="U429">
        <v>0.75</v>
      </c>
      <c r="V429">
        <v>0.2</v>
      </c>
      <c r="W429">
        <v>0.7</v>
      </c>
      <c r="X429">
        <v>0.9</v>
      </c>
      <c r="Y429">
        <v>0.6</v>
      </c>
      <c r="Z429">
        <v>0.4</v>
      </c>
      <c r="AA429">
        <v>0.5</v>
      </c>
      <c r="AB429">
        <v>0.1</v>
      </c>
      <c r="AC429">
        <v>1.2</v>
      </c>
      <c r="AD429">
        <v>2.4</v>
      </c>
      <c r="AE429">
        <v>221</v>
      </c>
      <c r="AF429">
        <v>5.7</v>
      </c>
      <c r="AG429">
        <v>0.41099999999999998</v>
      </c>
      <c r="AH429">
        <v>0.66</v>
      </c>
      <c r="AI429">
        <v>7.4999999999999997E-2</v>
      </c>
      <c r="AJ429">
        <v>1.5</v>
      </c>
      <c r="AK429">
        <v>7.3</v>
      </c>
      <c r="AL429">
        <v>4.4000000000000004</v>
      </c>
      <c r="AM429">
        <v>6.5</v>
      </c>
      <c r="AN429">
        <v>1.5</v>
      </c>
      <c r="AO429">
        <v>3.6</v>
      </c>
      <c r="AP429">
        <v>1.8</v>
      </c>
      <c r="AQ429">
        <v>11</v>
      </c>
      <c r="AR429">
        <v>-0.1</v>
      </c>
      <c r="AS429">
        <v>0.1</v>
      </c>
      <c r="AT429">
        <v>0</v>
      </c>
      <c r="AU429">
        <v>1E-3</v>
      </c>
      <c r="AV429">
        <v>-5.4</v>
      </c>
      <c r="AW429">
        <v>-0.8</v>
      </c>
      <c r="AX429">
        <v>-6.2</v>
      </c>
      <c r="AY429">
        <v>-0.2</v>
      </c>
      <c r="AZ429">
        <f t="shared" si="12"/>
        <v>-3.1</v>
      </c>
      <c r="BA429">
        <f t="shared" si="13"/>
        <v>-6.162519556060043</v>
      </c>
    </row>
    <row r="430" spans="1:53" hidden="1" x14ac:dyDescent="0.25">
      <c r="A430" t="s">
        <v>513</v>
      </c>
      <c r="B430" s="2">
        <v>500000</v>
      </c>
      <c r="C430" t="s">
        <v>65</v>
      </c>
      <c r="D430">
        <v>27</v>
      </c>
      <c r="E430" t="s">
        <v>116</v>
      </c>
      <c r="F430">
        <v>2</v>
      </c>
      <c r="G430">
        <v>0</v>
      </c>
      <c r="H430">
        <v>4</v>
      </c>
      <c r="I430">
        <v>0.5</v>
      </c>
      <c r="J430">
        <v>1</v>
      </c>
      <c r="K430">
        <v>0.5</v>
      </c>
      <c r="L430">
        <v>0</v>
      </c>
      <c r="M430">
        <v>0</v>
      </c>
      <c r="O430">
        <v>0.5</v>
      </c>
      <c r="P430">
        <v>1</v>
      </c>
      <c r="Q430">
        <v>0.5</v>
      </c>
      <c r="R430">
        <v>0.5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1</v>
      </c>
      <c r="Y430">
        <v>0.5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8</v>
      </c>
      <c r="AF430">
        <v>-3.5</v>
      </c>
      <c r="AG430">
        <v>0.34699999999999998</v>
      </c>
      <c r="AH430">
        <v>0</v>
      </c>
      <c r="AI430">
        <v>1</v>
      </c>
      <c r="AJ430">
        <v>28.8</v>
      </c>
      <c r="AK430">
        <v>0</v>
      </c>
      <c r="AL430">
        <v>14.3</v>
      </c>
      <c r="AM430">
        <v>16.100000000000001</v>
      </c>
      <c r="AN430">
        <v>0</v>
      </c>
      <c r="AO430">
        <v>0</v>
      </c>
      <c r="AP430">
        <v>41</v>
      </c>
      <c r="AQ430">
        <v>26.2</v>
      </c>
      <c r="AR430">
        <v>0</v>
      </c>
      <c r="AS430">
        <v>0</v>
      </c>
      <c r="AT430">
        <v>0</v>
      </c>
      <c r="AU430">
        <v>-0.28799999999999998</v>
      </c>
      <c r="AV430">
        <v>-12.7</v>
      </c>
      <c r="AW430">
        <v>-8</v>
      </c>
      <c r="AX430">
        <v>-20.7</v>
      </c>
      <c r="AY430">
        <v>0</v>
      </c>
      <c r="AZ430">
        <f t="shared" si="12"/>
        <v>-10.35</v>
      </c>
      <c r="BA430">
        <f t="shared" si="13"/>
        <v>-20.7</v>
      </c>
    </row>
    <row r="431" spans="1:53" hidden="1" x14ac:dyDescent="0.25">
      <c r="A431" t="s">
        <v>514</v>
      </c>
      <c r="B431" s="2">
        <v>464299</v>
      </c>
      <c r="C431" t="s">
        <v>52</v>
      </c>
      <c r="D431">
        <v>31</v>
      </c>
      <c r="E431" t="s">
        <v>73</v>
      </c>
      <c r="F431">
        <v>8</v>
      </c>
      <c r="G431">
        <v>0</v>
      </c>
      <c r="H431">
        <v>6.5</v>
      </c>
      <c r="I431">
        <v>0.4</v>
      </c>
      <c r="J431">
        <v>1.6</v>
      </c>
      <c r="K431">
        <v>0.23100000000000001</v>
      </c>
      <c r="L431">
        <v>0.4</v>
      </c>
      <c r="M431">
        <v>1.4</v>
      </c>
      <c r="N431">
        <v>0.27300000000000002</v>
      </c>
      <c r="O431">
        <v>0</v>
      </c>
      <c r="P431">
        <v>0.3</v>
      </c>
      <c r="Q431">
        <v>0</v>
      </c>
      <c r="R431">
        <v>0.34599999999999997</v>
      </c>
      <c r="S431">
        <v>0.1</v>
      </c>
      <c r="T431">
        <v>0.3</v>
      </c>
      <c r="U431">
        <v>0.5</v>
      </c>
      <c r="V431">
        <v>0</v>
      </c>
      <c r="W431">
        <v>0.3</v>
      </c>
      <c r="X431">
        <v>0.3</v>
      </c>
      <c r="Y431">
        <v>1.1000000000000001</v>
      </c>
      <c r="Z431">
        <v>0.8</v>
      </c>
      <c r="AA431">
        <v>0</v>
      </c>
      <c r="AB431">
        <v>0.4</v>
      </c>
      <c r="AC431">
        <v>0.4</v>
      </c>
      <c r="AD431">
        <v>1.3</v>
      </c>
      <c r="AE431">
        <v>52</v>
      </c>
      <c r="AF431">
        <v>7.8</v>
      </c>
      <c r="AG431">
        <v>0.36</v>
      </c>
      <c r="AH431">
        <v>0.84599999999999997</v>
      </c>
      <c r="AI431">
        <v>0.154</v>
      </c>
      <c r="AJ431">
        <v>0</v>
      </c>
      <c r="AK431">
        <v>4.5</v>
      </c>
      <c r="AL431">
        <v>2.2000000000000002</v>
      </c>
      <c r="AM431">
        <v>22.6</v>
      </c>
      <c r="AN431">
        <v>5.7</v>
      </c>
      <c r="AO431">
        <v>0</v>
      </c>
      <c r="AP431">
        <v>17.8</v>
      </c>
      <c r="AQ431">
        <v>14.7</v>
      </c>
      <c r="AR431">
        <v>-0.1</v>
      </c>
      <c r="AS431">
        <v>0.1</v>
      </c>
      <c r="AT431">
        <v>0</v>
      </c>
      <c r="AU431">
        <v>-1.2E-2</v>
      </c>
      <c r="AV431">
        <v>-4.8</v>
      </c>
      <c r="AW431">
        <v>3.6</v>
      </c>
      <c r="AX431">
        <v>-1.2</v>
      </c>
      <c r="AY431">
        <v>0</v>
      </c>
      <c r="AZ431">
        <f t="shared" si="12"/>
        <v>-0.6</v>
      </c>
      <c r="BA431">
        <f t="shared" si="13"/>
        <v>-1.2922707134841989</v>
      </c>
    </row>
    <row r="432" spans="1:53" hidden="1" x14ac:dyDescent="0.25">
      <c r="A432" t="s">
        <v>515</v>
      </c>
      <c r="B432" s="2">
        <v>386055</v>
      </c>
      <c r="C432" t="s">
        <v>75</v>
      </c>
      <c r="D432">
        <v>22</v>
      </c>
      <c r="E432" t="s">
        <v>80</v>
      </c>
      <c r="F432">
        <v>31</v>
      </c>
      <c r="G432">
        <v>1</v>
      </c>
      <c r="H432">
        <v>13.7</v>
      </c>
      <c r="I432">
        <v>1.5</v>
      </c>
      <c r="J432">
        <v>2.9</v>
      </c>
      <c r="K432">
        <v>0.52800000000000002</v>
      </c>
      <c r="L432">
        <v>0</v>
      </c>
      <c r="M432">
        <v>0.2</v>
      </c>
      <c r="N432">
        <v>0</v>
      </c>
      <c r="O432">
        <v>1.5</v>
      </c>
      <c r="P432">
        <v>2.7</v>
      </c>
      <c r="Q432">
        <v>0.56599999999999995</v>
      </c>
      <c r="R432">
        <v>0.52800000000000002</v>
      </c>
      <c r="S432">
        <v>0.7</v>
      </c>
      <c r="T432">
        <v>1</v>
      </c>
      <c r="U432">
        <v>0.71</v>
      </c>
      <c r="V432">
        <v>1.5</v>
      </c>
      <c r="W432">
        <v>2.5</v>
      </c>
      <c r="X432">
        <v>4.0999999999999996</v>
      </c>
      <c r="Y432">
        <v>0.8</v>
      </c>
      <c r="Z432">
        <v>0.4</v>
      </c>
      <c r="AA432">
        <v>0.4</v>
      </c>
      <c r="AB432">
        <v>0.5</v>
      </c>
      <c r="AC432">
        <v>1.7</v>
      </c>
      <c r="AD432">
        <v>3.7</v>
      </c>
      <c r="AE432">
        <v>425</v>
      </c>
      <c r="AF432">
        <v>13.4</v>
      </c>
      <c r="AG432">
        <v>0.56499999999999995</v>
      </c>
      <c r="AH432">
        <v>6.7000000000000004E-2</v>
      </c>
      <c r="AI432">
        <v>0.34799999999999998</v>
      </c>
      <c r="AJ432">
        <v>12.8</v>
      </c>
      <c r="AK432">
        <v>22.3</v>
      </c>
      <c r="AL432">
        <v>17.399999999999999</v>
      </c>
      <c r="AM432">
        <v>8.4</v>
      </c>
      <c r="AN432">
        <v>1.4</v>
      </c>
      <c r="AO432">
        <v>2.9</v>
      </c>
      <c r="AP432">
        <v>13.5</v>
      </c>
      <c r="AQ432">
        <v>12.4</v>
      </c>
      <c r="AR432">
        <v>0.5</v>
      </c>
      <c r="AS432">
        <v>0.6</v>
      </c>
      <c r="AT432">
        <v>1.1000000000000001</v>
      </c>
      <c r="AU432">
        <v>0.129</v>
      </c>
      <c r="AV432">
        <v>-2.7</v>
      </c>
      <c r="AW432">
        <v>0.7</v>
      </c>
      <c r="AX432">
        <v>-2.1</v>
      </c>
      <c r="AY432">
        <v>0</v>
      </c>
      <c r="AZ432">
        <f t="shared" si="12"/>
        <v>-0.5</v>
      </c>
      <c r="BA432">
        <f t="shared" si="13"/>
        <v>-1.295152245146417</v>
      </c>
    </row>
    <row r="433" spans="1:53" hidden="1" x14ac:dyDescent="0.25">
      <c r="A433" t="s">
        <v>516</v>
      </c>
      <c r="B433" s="2">
        <v>374357</v>
      </c>
      <c r="C433" t="s">
        <v>62</v>
      </c>
      <c r="D433">
        <v>25</v>
      </c>
      <c r="E433" t="s">
        <v>80</v>
      </c>
      <c r="F433">
        <v>15</v>
      </c>
      <c r="G433">
        <v>1</v>
      </c>
      <c r="H433">
        <v>10.5</v>
      </c>
      <c r="I433">
        <v>1.2</v>
      </c>
      <c r="J433">
        <v>3</v>
      </c>
      <c r="K433">
        <v>0.4</v>
      </c>
      <c r="L433">
        <v>0.3</v>
      </c>
      <c r="M433">
        <v>1.3</v>
      </c>
      <c r="N433">
        <v>0.26300000000000001</v>
      </c>
      <c r="O433">
        <v>0.9</v>
      </c>
      <c r="P433">
        <v>1.7</v>
      </c>
      <c r="Q433">
        <v>0.5</v>
      </c>
      <c r="R433">
        <v>0.45600000000000002</v>
      </c>
      <c r="S433">
        <v>0.2</v>
      </c>
      <c r="T433">
        <v>0.2</v>
      </c>
      <c r="U433">
        <v>1</v>
      </c>
      <c r="V433">
        <v>0.1</v>
      </c>
      <c r="W433">
        <v>1.5</v>
      </c>
      <c r="X433">
        <v>1.6</v>
      </c>
      <c r="Y433">
        <v>1.5</v>
      </c>
      <c r="Z433">
        <v>0.7</v>
      </c>
      <c r="AA433">
        <v>0.3</v>
      </c>
      <c r="AB433">
        <v>0.2</v>
      </c>
      <c r="AC433">
        <v>1.5</v>
      </c>
      <c r="AD433">
        <v>2.9</v>
      </c>
      <c r="AE433">
        <v>158</v>
      </c>
      <c r="AF433">
        <v>11.4</v>
      </c>
      <c r="AG433">
        <v>0.47499999999999998</v>
      </c>
      <c r="AH433">
        <v>0.42199999999999999</v>
      </c>
      <c r="AI433">
        <v>6.7000000000000004E-2</v>
      </c>
      <c r="AJ433">
        <v>1.4</v>
      </c>
      <c r="AK433">
        <v>15.9</v>
      </c>
      <c r="AL433">
        <v>8.6999999999999993</v>
      </c>
      <c r="AM433">
        <v>19.3</v>
      </c>
      <c r="AN433">
        <v>3.1</v>
      </c>
      <c r="AO433">
        <v>2.5</v>
      </c>
      <c r="AP433">
        <v>6.1</v>
      </c>
      <c r="AQ433">
        <v>13.8</v>
      </c>
      <c r="AR433">
        <v>0.1</v>
      </c>
      <c r="AS433">
        <v>0.3</v>
      </c>
      <c r="AT433">
        <v>0.3</v>
      </c>
      <c r="AU433">
        <v>9.9000000000000005E-2</v>
      </c>
      <c r="AV433">
        <v>-3.8</v>
      </c>
      <c r="AW433">
        <v>2.9</v>
      </c>
      <c r="AX433">
        <v>-0.9</v>
      </c>
      <c r="AY433">
        <v>0</v>
      </c>
      <c r="AZ433">
        <f t="shared" si="12"/>
        <v>-0.30000000000000004</v>
      </c>
      <c r="BA433">
        <f t="shared" si="13"/>
        <v>-0.80137408943869104</v>
      </c>
    </row>
    <row r="434" spans="1:53" hidden="1" x14ac:dyDescent="0.25">
      <c r="A434" t="s">
        <v>517</v>
      </c>
      <c r="B434" s="2">
        <v>307089</v>
      </c>
      <c r="C434" t="s">
        <v>62</v>
      </c>
      <c r="D434">
        <v>23</v>
      </c>
      <c r="E434" t="s">
        <v>201</v>
      </c>
      <c r="F434">
        <v>14</v>
      </c>
      <c r="G434">
        <v>0</v>
      </c>
      <c r="H434">
        <v>14.1</v>
      </c>
      <c r="I434">
        <v>1.2</v>
      </c>
      <c r="J434">
        <v>3.1</v>
      </c>
      <c r="K434">
        <v>0.38600000000000001</v>
      </c>
      <c r="L434">
        <v>0.4</v>
      </c>
      <c r="M434">
        <v>1.4</v>
      </c>
      <c r="N434">
        <v>0.25</v>
      </c>
      <c r="O434">
        <v>0.9</v>
      </c>
      <c r="P434">
        <v>1.7</v>
      </c>
      <c r="Q434">
        <v>0.5</v>
      </c>
      <c r="R434">
        <v>0.443</v>
      </c>
      <c r="S434">
        <v>0.4</v>
      </c>
      <c r="T434">
        <v>0.4</v>
      </c>
      <c r="U434">
        <v>1</v>
      </c>
      <c r="V434">
        <v>0.8</v>
      </c>
      <c r="W434">
        <v>1.9</v>
      </c>
      <c r="X434">
        <v>2.6</v>
      </c>
      <c r="Y434">
        <v>0.3</v>
      </c>
      <c r="Z434">
        <v>0.3</v>
      </c>
      <c r="AA434">
        <v>0.1</v>
      </c>
      <c r="AB434">
        <v>0.2</v>
      </c>
      <c r="AC434">
        <v>1.6</v>
      </c>
      <c r="AD434">
        <v>3.2</v>
      </c>
      <c r="AE434">
        <v>198</v>
      </c>
      <c r="AF434">
        <v>6.5</v>
      </c>
      <c r="AG434">
        <v>0.48199999999999998</v>
      </c>
      <c r="AH434">
        <v>0.45500000000000002</v>
      </c>
      <c r="AI434">
        <v>0.13600000000000001</v>
      </c>
      <c r="AJ434">
        <v>6</v>
      </c>
      <c r="AK434">
        <v>15</v>
      </c>
      <c r="AL434">
        <v>10.4</v>
      </c>
      <c r="AM434">
        <v>2.8</v>
      </c>
      <c r="AN434">
        <v>1</v>
      </c>
      <c r="AO434">
        <v>0.4</v>
      </c>
      <c r="AP434">
        <v>6</v>
      </c>
      <c r="AQ434">
        <v>10.7</v>
      </c>
      <c r="AR434">
        <v>0</v>
      </c>
      <c r="AS434">
        <v>0.1</v>
      </c>
      <c r="AT434">
        <v>0.1</v>
      </c>
      <c r="AU434">
        <v>2.7E-2</v>
      </c>
      <c r="AV434">
        <v>-5</v>
      </c>
      <c r="AW434">
        <v>-1.1000000000000001</v>
      </c>
      <c r="AX434">
        <v>-6.1</v>
      </c>
      <c r="AY434">
        <v>-0.2</v>
      </c>
      <c r="AZ434">
        <f t="shared" si="12"/>
        <v>-3</v>
      </c>
      <c r="BA434">
        <f t="shared" si="13"/>
        <v>-9.7691548704121605</v>
      </c>
    </row>
    <row r="435" spans="1:53" hidden="1" x14ac:dyDescent="0.25">
      <c r="A435" t="s">
        <v>518</v>
      </c>
      <c r="B435" s="2">
        <v>307089</v>
      </c>
      <c r="C435" t="s">
        <v>28</v>
      </c>
      <c r="D435">
        <v>23</v>
      </c>
      <c r="E435" t="s">
        <v>82</v>
      </c>
      <c r="F435">
        <v>1</v>
      </c>
      <c r="G435">
        <v>0</v>
      </c>
      <c r="H435">
        <v>29</v>
      </c>
      <c r="I435">
        <v>8</v>
      </c>
      <c r="J435">
        <v>13</v>
      </c>
      <c r="K435">
        <v>0.61499999999999999</v>
      </c>
      <c r="L435">
        <v>4</v>
      </c>
      <c r="M435">
        <v>8</v>
      </c>
      <c r="N435">
        <v>0.5</v>
      </c>
      <c r="O435">
        <v>4</v>
      </c>
      <c r="P435">
        <v>5</v>
      </c>
      <c r="Q435">
        <v>0.8</v>
      </c>
      <c r="R435">
        <v>0.76900000000000002</v>
      </c>
      <c r="S435">
        <v>0</v>
      </c>
      <c r="T435">
        <v>1</v>
      </c>
      <c r="U435">
        <v>0</v>
      </c>
      <c r="V435">
        <v>2</v>
      </c>
      <c r="W435">
        <v>2</v>
      </c>
      <c r="X435">
        <v>4</v>
      </c>
      <c r="Y435">
        <v>2</v>
      </c>
      <c r="Z435">
        <v>1</v>
      </c>
      <c r="AA435">
        <v>0</v>
      </c>
      <c r="AB435">
        <v>2</v>
      </c>
      <c r="AC435">
        <v>4</v>
      </c>
      <c r="AD435">
        <v>20</v>
      </c>
      <c r="AE435">
        <v>29</v>
      </c>
      <c r="AF435">
        <v>21.3</v>
      </c>
      <c r="AG435">
        <v>0.74399999999999999</v>
      </c>
      <c r="AH435">
        <v>0.61499999999999999</v>
      </c>
      <c r="AI435">
        <v>7.6999999999999999E-2</v>
      </c>
      <c r="AJ435">
        <v>8.3000000000000007</v>
      </c>
      <c r="AK435">
        <v>8</v>
      </c>
      <c r="AL435">
        <v>8.1</v>
      </c>
      <c r="AM435">
        <v>12.2</v>
      </c>
      <c r="AN435">
        <v>1.7</v>
      </c>
      <c r="AO435">
        <v>0</v>
      </c>
      <c r="AP435">
        <v>13</v>
      </c>
      <c r="AQ435">
        <v>23.8</v>
      </c>
      <c r="AR435">
        <v>0.1</v>
      </c>
      <c r="AS435">
        <v>0</v>
      </c>
      <c r="AT435">
        <v>0.1</v>
      </c>
      <c r="AU435">
        <v>0.157</v>
      </c>
      <c r="AV435">
        <v>3.3</v>
      </c>
      <c r="AW435">
        <v>-1</v>
      </c>
      <c r="AX435">
        <v>2.2999999999999998</v>
      </c>
      <c r="AY435">
        <v>0</v>
      </c>
      <c r="AZ435">
        <f t="shared" si="12"/>
        <v>1.2</v>
      </c>
      <c r="BA435">
        <f t="shared" si="13"/>
        <v>3.9076619481648645</v>
      </c>
    </row>
    <row r="436" spans="1:53" hidden="1" x14ac:dyDescent="0.25">
      <c r="A436" t="s">
        <v>519</v>
      </c>
      <c r="B436" s="2">
        <v>260295</v>
      </c>
      <c r="C436" t="s">
        <v>65</v>
      </c>
      <c r="D436">
        <v>23</v>
      </c>
      <c r="E436" t="s">
        <v>85</v>
      </c>
      <c r="F436">
        <v>10</v>
      </c>
      <c r="G436">
        <v>1</v>
      </c>
      <c r="H436">
        <v>13.7</v>
      </c>
      <c r="I436">
        <v>1.7</v>
      </c>
      <c r="J436">
        <v>4.3</v>
      </c>
      <c r="K436">
        <v>0.39500000000000002</v>
      </c>
      <c r="L436">
        <v>0.1</v>
      </c>
      <c r="M436">
        <v>1.2</v>
      </c>
      <c r="N436">
        <v>8.3000000000000004E-2</v>
      </c>
      <c r="O436">
        <v>1.6</v>
      </c>
      <c r="P436">
        <v>3.1</v>
      </c>
      <c r="Q436">
        <v>0.51600000000000001</v>
      </c>
      <c r="R436">
        <v>0.40699999999999997</v>
      </c>
      <c r="S436">
        <v>0.9</v>
      </c>
      <c r="T436">
        <v>1.3</v>
      </c>
      <c r="U436">
        <v>0.69199999999999995</v>
      </c>
      <c r="V436">
        <v>1</v>
      </c>
      <c r="W436">
        <v>2.8</v>
      </c>
      <c r="X436">
        <v>3.8</v>
      </c>
      <c r="Y436">
        <v>0.6</v>
      </c>
      <c r="Z436">
        <v>0.6</v>
      </c>
      <c r="AA436">
        <v>0.2</v>
      </c>
      <c r="AB436">
        <v>0.7</v>
      </c>
      <c r="AC436">
        <v>1.4</v>
      </c>
      <c r="AD436">
        <v>4.4000000000000004</v>
      </c>
      <c r="AE436">
        <v>137</v>
      </c>
      <c r="AF436">
        <v>9.5</v>
      </c>
      <c r="AG436">
        <v>0.45200000000000001</v>
      </c>
      <c r="AH436">
        <v>0.27900000000000003</v>
      </c>
      <c r="AI436">
        <v>0.30199999999999999</v>
      </c>
      <c r="AJ436">
        <v>7.9</v>
      </c>
      <c r="AK436">
        <v>22.6</v>
      </c>
      <c r="AL436">
        <v>15.2</v>
      </c>
      <c r="AM436">
        <v>5.5</v>
      </c>
      <c r="AN436">
        <v>2.1</v>
      </c>
      <c r="AO436">
        <v>1.2</v>
      </c>
      <c r="AP436">
        <v>12.6</v>
      </c>
      <c r="AQ436">
        <v>17.100000000000001</v>
      </c>
      <c r="AR436">
        <v>-0.1</v>
      </c>
      <c r="AS436">
        <v>0.2</v>
      </c>
      <c r="AT436">
        <v>0</v>
      </c>
      <c r="AU436">
        <v>1.4E-2</v>
      </c>
      <c r="AV436">
        <v>-4.8</v>
      </c>
      <c r="AW436">
        <v>0.6</v>
      </c>
      <c r="AX436">
        <v>-4.2</v>
      </c>
      <c r="AY436">
        <v>-0.1</v>
      </c>
      <c r="AZ436">
        <f t="shared" si="12"/>
        <v>-2.1</v>
      </c>
      <c r="BA436">
        <f t="shared" si="13"/>
        <v>-8.0677692617991124</v>
      </c>
    </row>
    <row r="437" spans="1:53" hidden="1" x14ac:dyDescent="0.25">
      <c r="A437" t="s">
        <v>520</v>
      </c>
      <c r="B437" s="2">
        <v>257371</v>
      </c>
      <c r="C437" t="s">
        <v>75</v>
      </c>
      <c r="D437">
        <v>23</v>
      </c>
      <c r="E437" t="s">
        <v>109</v>
      </c>
      <c r="F437">
        <v>9</v>
      </c>
      <c r="G437">
        <v>1</v>
      </c>
      <c r="H437">
        <v>12.7</v>
      </c>
      <c r="I437">
        <v>1.7</v>
      </c>
      <c r="J437">
        <v>3.3</v>
      </c>
      <c r="K437">
        <v>0.5</v>
      </c>
      <c r="L437">
        <v>0.1</v>
      </c>
      <c r="M437">
        <v>0.9</v>
      </c>
      <c r="N437">
        <v>0.125</v>
      </c>
      <c r="O437">
        <v>1.6</v>
      </c>
      <c r="P437">
        <v>2.4</v>
      </c>
      <c r="Q437">
        <v>0.63600000000000001</v>
      </c>
      <c r="R437">
        <v>0.51700000000000002</v>
      </c>
      <c r="S437">
        <v>0.6</v>
      </c>
      <c r="T437">
        <v>0.8</v>
      </c>
      <c r="U437">
        <v>0.71399999999999997</v>
      </c>
      <c r="V437">
        <v>1.3</v>
      </c>
      <c r="W437">
        <v>2.1</v>
      </c>
      <c r="X437">
        <v>3.4</v>
      </c>
      <c r="Y437">
        <v>0.4</v>
      </c>
      <c r="Z437">
        <v>0.1</v>
      </c>
      <c r="AA437">
        <v>0.6</v>
      </c>
      <c r="AB437">
        <v>0.4</v>
      </c>
      <c r="AC437">
        <v>1.9</v>
      </c>
      <c r="AD437">
        <v>4</v>
      </c>
      <c r="AE437">
        <v>114</v>
      </c>
      <c r="AF437">
        <v>11.5</v>
      </c>
      <c r="AG437">
        <v>0.54400000000000004</v>
      </c>
      <c r="AH437">
        <v>0.26700000000000002</v>
      </c>
      <c r="AI437">
        <v>0.23300000000000001</v>
      </c>
      <c r="AJ437">
        <v>11.1</v>
      </c>
      <c r="AK437">
        <v>18.2</v>
      </c>
      <c r="AL437">
        <v>14.6</v>
      </c>
      <c r="AM437">
        <v>4.5999999999999996</v>
      </c>
      <c r="AN437">
        <v>0.4</v>
      </c>
      <c r="AO437">
        <v>4.0999999999999996</v>
      </c>
      <c r="AP437">
        <v>10.8</v>
      </c>
      <c r="AQ437">
        <v>13.6</v>
      </c>
      <c r="AR437">
        <v>0.1</v>
      </c>
      <c r="AS437">
        <v>0.1</v>
      </c>
      <c r="AT437">
        <v>0.2</v>
      </c>
      <c r="AU437">
        <v>9.4E-2</v>
      </c>
      <c r="AV437">
        <v>-4.2</v>
      </c>
      <c r="AW437">
        <v>-0.7</v>
      </c>
      <c r="AX437">
        <v>-4.9000000000000004</v>
      </c>
      <c r="AY437">
        <v>-0.1</v>
      </c>
      <c r="AZ437">
        <f t="shared" si="12"/>
        <v>-2.35</v>
      </c>
      <c r="BA437">
        <f t="shared" si="13"/>
        <v>-9.1307878510010845</v>
      </c>
    </row>
    <row r="438" spans="1:53" hidden="1" x14ac:dyDescent="0.25">
      <c r="A438" t="s">
        <v>521</v>
      </c>
      <c r="B438" s="2">
        <v>254446</v>
      </c>
      <c r="C438" t="s">
        <v>62</v>
      </c>
      <c r="D438">
        <v>23</v>
      </c>
      <c r="E438" t="s">
        <v>89</v>
      </c>
      <c r="F438">
        <v>1</v>
      </c>
      <c r="G438">
        <v>0</v>
      </c>
      <c r="H438">
        <v>5</v>
      </c>
      <c r="I438">
        <v>0</v>
      </c>
      <c r="J438">
        <v>0</v>
      </c>
      <c r="L438">
        <v>0</v>
      </c>
      <c r="M438">
        <v>0</v>
      </c>
      <c r="O438">
        <v>0</v>
      </c>
      <c r="P438">
        <v>0</v>
      </c>
      <c r="S438">
        <v>0</v>
      </c>
      <c r="T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2</v>
      </c>
      <c r="AC438">
        <v>1</v>
      </c>
      <c r="AD438">
        <v>0</v>
      </c>
      <c r="AE438">
        <v>5</v>
      </c>
      <c r="AF438">
        <v>-20.9</v>
      </c>
      <c r="AJ438">
        <v>0</v>
      </c>
      <c r="AK438">
        <v>22</v>
      </c>
      <c r="AL438">
        <v>11.2</v>
      </c>
      <c r="AM438">
        <v>0</v>
      </c>
      <c r="AN438">
        <v>0</v>
      </c>
      <c r="AO438">
        <v>0</v>
      </c>
      <c r="AP438">
        <v>100</v>
      </c>
      <c r="AQ438">
        <v>17.7</v>
      </c>
      <c r="AR438">
        <v>-0.1</v>
      </c>
      <c r="AS438">
        <v>0</v>
      </c>
      <c r="AT438">
        <v>-0.1</v>
      </c>
      <c r="AU438">
        <v>-0.51700000000000002</v>
      </c>
      <c r="AV438">
        <v>-21.3</v>
      </c>
      <c r="AW438">
        <v>-5.2</v>
      </c>
      <c r="AX438">
        <v>-26.5</v>
      </c>
      <c r="AY438">
        <v>0</v>
      </c>
      <c r="AZ438">
        <f t="shared" si="12"/>
        <v>-13.3</v>
      </c>
      <c r="BA438">
        <f t="shared" si="13"/>
        <v>-52.270422800908641</v>
      </c>
    </row>
    <row r="439" spans="1:53" hidden="1" x14ac:dyDescent="0.25">
      <c r="A439" t="s">
        <v>522</v>
      </c>
      <c r="B439" s="2">
        <v>239822</v>
      </c>
      <c r="C439" t="s">
        <v>62</v>
      </c>
      <c r="D439">
        <v>21</v>
      </c>
      <c r="E439" t="s">
        <v>85</v>
      </c>
      <c r="F439">
        <v>2</v>
      </c>
      <c r="G439">
        <v>0</v>
      </c>
      <c r="H439">
        <v>2</v>
      </c>
      <c r="I439">
        <v>1</v>
      </c>
      <c r="J439">
        <v>2.5</v>
      </c>
      <c r="K439">
        <v>0.4</v>
      </c>
      <c r="L439">
        <v>0</v>
      </c>
      <c r="M439">
        <v>1</v>
      </c>
      <c r="N439">
        <v>0</v>
      </c>
      <c r="O439">
        <v>1</v>
      </c>
      <c r="P439">
        <v>1.5</v>
      </c>
      <c r="Q439">
        <v>0.66700000000000004</v>
      </c>
      <c r="R439">
        <v>0.4</v>
      </c>
      <c r="S439">
        <v>0</v>
      </c>
      <c r="T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4</v>
      </c>
      <c r="AF439">
        <v>14.5</v>
      </c>
      <c r="AG439">
        <v>0.4</v>
      </c>
      <c r="AH439">
        <v>0.4</v>
      </c>
      <c r="AI439">
        <v>0</v>
      </c>
      <c r="AJ439">
        <v>0</v>
      </c>
      <c r="AK439">
        <v>55.4</v>
      </c>
      <c r="AL439">
        <v>27.4</v>
      </c>
      <c r="AM439">
        <v>0</v>
      </c>
      <c r="AN439">
        <v>0</v>
      </c>
      <c r="AO439">
        <v>0</v>
      </c>
      <c r="AP439">
        <v>0</v>
      </c>
      <c r="AQ439">
        <v>52.5</v>
      </c>
      <c r="AR439">
        <v>0</v>
      </c>
      <c r="AS439">
        <v>0</v>
      </c>
      <c r="AT439">
        <v>0</v>
      </c>
      <c r="AU439">
        <v>-0.22500000000000001</v>
      </c>
      <c r="AV439">
        <v>-9.1</v>
      </c>
      <c r="AW439">
        <v>-6.1</v>
      </c>
      <c r="AX439">
        <v>-15.2</v>
      </c>
      <c r="AY439">
        <v>0</v>
      </c>
      <c r="AZ439">
        <f t="shared" si="12"/>
        <v>-7.6</v>
      </c>
      <c r="BA439">
        <f t="shared" si="13"/>
        <v>-31.690170209572099</v>
      </c>
    </row>
    <row r="440" spans="1:53" hidden="1" x14ac:dyDescent="0.25">
      <c r="A440" t="s">
        <v>523</v>
      </c>
      <c r="B440" s="2">
        <v>219630</v>
      </c>
      <c r="C440" t="s">
        <v>52</v>
      </c>
      <c r="D440">
        <v>24</v>
      </c>
      <c r="E440" t="s">
        <v>63</v>
      </c>
      <c r="F440">
        <v>9</v>
      </c>
      <c r="G440">
        <v>0</v>
      </c>
      <c r="H440">
        <v>15</v>
      </c>
      <c r="I440">
        <v>2.1</v>
      </c>
      <c r="J440">
        <v>4.7</v>
      </c>
      <c r="K440">
        <v>0.45200000000000001</v>
      </c>
      <c r="L440">
        <v>0.1</v>
      </c>
      <c r="M440">
        <v>1.3</v>
      </c>
      <c r="N440">
        <v>8.3000000000000004E-2</v>
      </c>
      <c r="O440">
        <v>2</v>
      </c>
      <c r="P440">
        <v>3.3</v>
      </c>
      <c r="Q440">
        <v>0.6</v>
      </c>
      <c r="R440">
        <v>0.46400000000000002</v>
      </c>
      <c r="S440">
        <v>1.9</v>
      </c>
      <c r="T440">
        <v>2.4</v>
      </c>
      <c r="U440">
        <v>0.77300000000000002</v>
      </c>
      <c r="V440">
        <v>0.2</v>
      </c>
      <c r="W440">
        <v>0.7</v>
      </c>
      <c r="X440">
        <v>0.9</v>
      </c>
      <c r="Y440">
        <v>1.7</v>
      </c>
      <c r="Z440">
        <v>0.4</v>
      </c>
      <c r="AA440">
        <v>0.1</v>
      </c>
      <c r="AB440">
        <v>0.4</v>
      </c>
      <c r="AC440">
        <v>1.1000000000000001</v>
      </c>
      <c r="AD440">
        <v>6.2</v>
      </c>
      <c r="AE440">
        <v>135</v>
      </c>
      <c r="AF440">
        <v>12.2</v>
      </c>
      <c r="AG440">
        <v>0.54200000000000004</v>
      </c>
      <c r="AH440">
        <v>0.28599999999999998</v>
      </c>
      <c r="AI440">
        <v>0.52400000000000002</v>
      </c>
      <c r="AJ440">
        <v>1.7</v>
      </c>
      <c r="AK440">
        <v>4.8</v>
      </c>
      <c r="AL440">
        <v>3.3</v>
      </c>
      <c r="AM440">
        <v>15.1</v>
      </c>
      <c r="AN440">
        <v>1.4</v>
      </c>
      <c r="AO440">
        <v>0.6</v>
      </c>
      <c r="AP440">
        <v>7.2</v>
      </c>
      <c r="AQ440">
        <v>17.899999999999999</v>
      </c>
      <c r="AR440">
        <v>0.1</v>
      </c>
      <c r="AS440">
        <v>0.1</v>
      </c>
      <c r="AT440">
        <v>0.2</v>
      </c>
      <c r="AU440">
        <v>7.8E-2</v>
      </c>
      <c r="AV440">
        <v>-3.7</v>
      </c>
      <c r="AW440">
        <v>-1.5</v>
      </c>
      <c r="AX440">
        <v>-5.0999999999999996</v>
      </c>
      <c r="AY440">
        <v>-0.1</v>
      </c>
      <c r="AZ440">
        <f t="shared" si="12"/>
        <v>-2.4499999999999997</v>
      </c>
      <c r="BA440">
        <f t="shared" si="13"/>
        <v>-11.155124527614623</v>
      </c>
    </row>
    <row r="441" spans="1:53" hidden="1" x14ac:dyDescent="0.25">
      <c r="A441" t="s">
        <v>524</v>
      </c>
      <c r="B441" s="2">
        <v>211045</v>
      </c>
      <c r="C441" t="s">
        <v>28</v>
      </c>
      <c r="D441">
        <v>26</v>
      </c>
      <c r="E441" t="s">
        <v>73</v>
      </c>
      <c r="F441">
        <v>1</v>
      </c>
      <c r="G441">
        <v>0</v>
      </c>
      <c r="H441">
        <v>3</v>
      </c>
      <c r="I441">
        <v>1</v>
      </c>
      <c r="J441">
        <v>1</v>
      </c>
      <c r="K441">
        <v>1</v>
      </c>
      <c r="L441">
        <v>0</v>
      </c>
      <c r="M441">
        <v>0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2</v>
      </c>
      <c r="AD441">
        <v>2</v>
      </c>
      <c r="AE441">
        <v>3</v>
      </c>
      <c r="AF441">
        <v>-2.2000000000000002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50</v>
      </c>
      <c r="AQ441">
        <v>30.1</v>
      </c>
      <c r="AR441">
        <v>0</v>
      </c>
      <c r="AS441">
        <v>0</v>
      </c>
      <c r="AT441">
        <v>0</v>
      </c>
      <c r="AU441">
        <v>-0.26</v>
      </c>
      <c r="AV441">
        <v>-22.5</v>
      </c>
      <c r="AW441">
        <v>-0.1</v>
      </c>
      <c r="AX441">
        <v>-22.6</v>
      </c>
      <c r="AY441">
        <v>0</v>
      </c>
      <c r="AZ441">
        <f t="shared" si="12"/>
        <v>-11.3</v>
      </c>
      <c r="BA441">
        <f t="shared" si="13"/>
        <v>-53.543083228695302</v>
      </c>
    </row>
    <row r="442" spans="1:53" hidden="1" x14ac:dyDescent="0.25">
      <c r="A442" t="s">
        <v>525</v>
      </c>
      <c r="B442" s="2">
        <v>201802</v>
      </c>
      <c r="C442" t="s">
        <v>65</v>
      </c>
      <c r="D442">
        <v>26</v>
      </c>
      <c r="E442" t="s">
        <v>73</v>
      </c>
      <c r="F442">
        <v>3</v>
      </c>
      <c r="G442">
        <v>0</v>
      </c>
      <c r="H442">
        <v>2.7</v>
      </c>
      <c r="I442">
        <v>1.3</v>
      </c>
      <c r="J442">
        <v>1.7</v>
      </c>
      <c r="K442">
        <v>0.8</v>
      </c>
      <c r="L442">
        <v>0.3</v>
      </c>
      <c r="M442">
        <v>0.7</v>
      </c>
      <c r="N442">
        <v>0.5</v>
      </c>
      <c r="O442">
        <v>1</v>
      </c>
      <c r="P442">
        <v>1</v>
      </c>
      <c r="Q442">
        <v>1</v>
      </c>
      <c r="R442">
        <v>0.9</v>
      </c>
      <c r="S442">
        <v>0</v>
      </c>
      <c r="T442">
        <v>0</v>
      </c>
      <c r="V442">
        <v>0.3</v>
      </c>
      <c r="W442">
        <v>0.3</v>
      </c>
      <c r="X442">
        <v>0.7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</v>
      </c>
      <c r="AE442">
        <v>8</v>
      </c>
      <c r="AF442">
        <v>45.5</v>
      </c>
      <c r="AG442">
        <v>0.9</v>
      </c>
      <c r="AH442">
        <v>0.4</v>
      </c>
      <c r="AI442">
        <v>0</v>
      </c>
      <c r="AJ442">
        <v>14.4</v>
      </c>
      <c r="AK442">
        <v>14.7</v>
      </c>
      <c r="AL442">
        <v>14.5</v>
      </c>
      <c r="AM442">
        <v>0</v>
      </c>
      <c r="AN442">
        <v>0</v>
      </c>
      <c r="AO442">
        <v>0</v>
      </c>
      <c r="AP442">
        <v>0</v>
      </c>
      <c r="AQ442">
        <v>28.3</v>
      </c>
      <c r="AR442">
        <v>0.1</v>
      </c>
      <c r="AS442">
        <v>0</v>
      </c>
      <c r="AT442">
        <v>0.1</v>
      </c>
      <c r="AU442">
        <v>0.36699999999999999</v>
      </c>
      <c r="AV442">
        <v>17</v>
      </c>
      <c r="AW442">
        <v>0.8</v>
      </c>
      <c r="AX442">
        <v>17.8</v>
      </c>
      <c r="AY442">
        <v>0</v>
      </c>
      <c r="AZ442">
        <f t="shared" si="12"/>
        <v>8.9500000000000011</v>
      </c>
      <c r="BA442">
        <f t="shared" si="13"/>
        <v>44.350402870140044</v>
      </c>
    </row>
    <row r="443" spans="1:53" hidden="1" x14ac:dyDescent="0.25">
      <c r="A443" t="s">
        <v>526</v>
      </c>
      <c r="B443" s="2">
        <v>201802</v>
      </c>
      <c r="C443" t="s">
        <v>65</v>
      </c>
      <c r="D443">
        <v>25</v>
      </c>
      <c r="E443" t="s">
        <v>201</v>
      </c>
      <c r="F443">
        <v>3</v>
      </c>
      <c r="G443">
        <v>0</v>
      </c>
      <c r="H443">
        <v>3</v>
      </c>
      <c r="I443">
        <v>0.3</v>
      </c>
      <c r="J443">
        <v>0.3</v>
      </c>
      <c r="K443">
        <v>1</v>
      </c>
      <c r="L443">
        <v>0</v>
      </c>
      <c r="M443">
        <v>0</v>
      </c>
      <c r="O443">
        <v>0.3</v>
      </c>
      <c r="P443">
        <v>0.3</v>
      </c>
      <c r="Q443">
        <v>1</v>
      </c>
      <c r="R443">
        <v>1</v>
      </c>
      <c r="S443">
        <v>0.7</v>
      </c>
      <c r="T443">
        <v>0.7</v>
      </c>
      <c r="U443">
        <v>1</v>
      </c>
      <c r="V443">
        <v>0</v>
      </c>
      <c r="W443">
        <v>0.3</v>
      </c>
      <c r="X443">
        <v>0.3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1.3</v>
      </c>
      <c r="AE443">
        <v>9</v>
      </c>
      <c r="AF443">
        <v>18.600000000000001</v>
      </c>
      <c r="AG443">
        <v>1.0640000000000001</v>
      </c>
      <c r="AH443">
        <v>0</v>
      </c>
      <c r="AI443">
        <v>2</v>
      </c>
      <c r="AJ443">
        <v>0</v>
      </c>
      <c r="AK443">
        <v>12.7</v>
      </c>
      <c r="AL443">
        <v>6.2</v>
      </c>
      <c r="AM443">
        <v>0</v>
      </c>
      <c r="AN443">
        <v>0</v>
      </c>
      <c r="AO443">
        <v>0</v>
      </c>
      <c r="AP443">
        <v>0</v>
      </c>
      <c r="AQ443">
        <v>8.9</v>
      </c>
      <c r="AR443">
        <v>0</v>
      </c>
      <c r="AS443">
        <v>0</v>
      </c>
      <c r="AT443">
        <v>0</v>
      </c>
      <c r="AU443">
        <v>0.24199999999999999</v>
      </c>
      <c r="AV443">
        <v>2.1</v>
      </c>
      <c r="AW443">
        <v>0.8</v>
      </c>
      <c r="AX443">
        <v>2.9</v>
      </c>
      <c r="AY443">
        <v>0</v>
      </c>
      <c r="AZ443">
        <f t="shared" si="12"/>
        <v>1.45</v>
      </c>
      <c r="BA443">
        <f t="shared" si="13"/>
        <v>7.1852608001902851</v>
      </c>
    </row>
    <row r="444" spans="1:53" hidden="1" x14ac:dyDescent="0.25">
      <c r="A444" t="s">
        <v>527</v>
      </c>
      <c r="B444" s="2">
        <v>193027</v>
      </c>
      <c r="C444" t="s">
        <v>65</v>
      </c>
      <c r="D444">
        <v>21</v>
      </c>
      <c r="E444" t="s">
        <v>175</v>
      </c>
      <c r="F444">
        <v>9</v>
      </c>
      <c r="G444">
        <v>0</v>
      </c>
      <c r="H444">
        <v>9.1999999999999993</v>
      </c>
      <c r="I444">
        <v>1</v>
      </c>
      <c r="J444">
        <v>3.1</v>
      </c>
      <c r="K444">
        <v>0.32100000000000001</v>
      </c>
      <c r="L444">
        <v>0.3</v>
      </c>
      <c r="M444">
        <v>1.7</v>
      </c>
      <c r="N444">
        <v>0.2</v>
      </c>
      <c r="O444">
        <v>0.7</v>
      </c>
      <c r="P444">
        <v>1.4</v>
      </c>
      <c r="Q444">
        <v>0.46200000000000002</v>
      </c>
      <c r="R444">
        <v>0.375</v>
      </c>
      <c r="S444">
        <v>0.8</v>
      </c>
      <c r="T444">
        <v>1</v>
      </c>
      <c r="U444">
        <v>0.77800000000000002</v>
      </c>
      <c r="V444">
        <v>0.3</v>
      </c>
      <c r="W444">
        <v>1</v>
      </c>
      <c r="X444">
        <v>1.3</v>
      </c>
      <c r="Y444">
        <v>1.2</v>
      </c>
      <c r="Z444">
        <v>0.1</v>
      </c>
      <c r="AA444">
        <v>0</v>
      </c>
      <c r="AB444">
        <v>0.8</v>
      </c>
      <c r="AC444">
        <v>0.7</v>
      </c>
      <c r="AD444">
        <v>3.1</v>
      </c>
      <c r="AE444">
        <v>83</v>
      </c>
      <c r="AF444">
        <v>5.5</v>
      </c>
      <c r="AG444">
        <v>0.438</v>
      </c>
      <c r="AH444">
        <v>0.53600000000000003</v>
      </c>
      <c r="AI444">
        <v>0.32100000000000001</v>
      </c>
      <c r="AJ444">
        <v>3.8</v>
      </c>
      <c r="AK444">
        <v>12.3</v>
      </c>
      <c r="AL444">
        <v>7.9</v>
      </c>
      <c r="AM444">
        <v>17</v>
      </c>
      <c r="AN444">
        <v>0.6</v>
      </c>
      <c r="AO444">
        <v>0</v>
      </c>
      <c r="AP444">
        <v>18</v>
      </c>
      <c r="AQ444">
        <v>19.399999999999999</v>
      </c>
      <c r="AR444">
        <v>-0.1</v>
      </c>
      <c r="AS444">
        <v>0</v>
      </c>
      <c r="AT444">
        <v>-0.1</v>
      </c>
      <c r="AU444">
        <v>-7.6999999999999999E-2</v>
      </c>
      <c r="AV444">
        <v>-4.7</v>
      </c>
      <c r="AW444">
        <v>-2.9</v>
      </c>
      <c r="AX444">
        <v>-7.6</v>
      </c>
      <c r="AY444">
        <v>-0.1</v>
      </c>
      <c r="AZ444">
        <f t="shared" si="12"/>
        <v>-3.8499999999999996</v>
      </c>
      <c r="BA444">
        <f t="shared" si="13"/>
        <v>-19.945396239904259</v>
      </c>
    </row>
    <row r="445" spans="1:53" hidden="1" x14ac:dyDescent="0.25">
      <c r="A445" t="s">
        <v>528</v>
      </c>
      <c r="B445" s="2">
        <v>192293</v>
      </c>
      <c r="C445" t="s">
        <v>28</v>
      </c>
      <c r="D445">
        <v>26</v>
      </c>
      <c r="E445" t="s">
        <v>175</v>
      </c>
      <c r="F445">
        <v>4</v>
      </c>
      <c r="G445">
        <v>0</v>
      </c>
      <c r="H445">
        <v>7.5</v>
      </c>
      <c r="I445">
        <v>0.8</v>
      </c>
      <c r="J445">
        <v>1.5</v>
      </c>
      <c r="K445">
        <v>0.5</v>
      </c>
      <c r="L445">
        <v>0</v>
      </c>
      <c r="M445">
        <v>0.5</v>
      </c>
      <c r="N445">
        <v>0</v>
      </c>
      <c r="O445">
        <v>0.8</v>
      </c>
      <c r="P445">
        <v>1</v>
      </c>
      <c r="Q445">
        <v>0.75</v>
      </c>
      <c r="R445">
        <v>0.5</v>
      </c>
      <c r="S445">
        <v>0.3</v>
      </c>
      <c r="T445">
        <v>0.5</v>
      </c>
      <c r="U445">
        <v>0.5</v>
      </c>
      <c r="V445">
        <v>0.5</v>
      </c>
      <c r="W445">
        <v>2</v>
      </c>
      <c r="X445">
        <v>2.5</v>
      </c>
      <c r="Y445">
        <v>0.3</v>
      </c>
      <c r="Z445">
        <v>0.3</v>
      </c>
      <c r="AA445">
        <v>0</v>
      </c>
      <c r="AB445">
        <v>1</v>
      </c>
      <c r="AC445">
        <v>0.8</v>
      </c>
      <c r="AD445">
        <v>1.8</v>
      </c>
      <c r="AE445">
        <v>30</v>
      </c>
      <c r="AF445">
        <v>4.3</v>
      </c>
      <c r="AG445">
        <v>0.50900000000000001</v>
      </c>
      <c r="AH445">
        <v>0.33300000000000002</v>
      </c>
      <c r="AI445">
        <v>0.33300000000000002</v>
      </c>
      <c r="AJ445">
        <v>7</v>
      </c>
      <c r="AK445">
        <v>30.3</v>
      </c>
      <c r="AL445">
        <v>18.2</v>
      </c>
      <c r="AM445">
        <v>4.2</v>
      </c>
      <c r="AN445">
        <v>1.6</v>
      </c>
      <c r="AO445">
        <v>0</v>
      </c>
      <c r="AP445">
        <v>36.799999999999997</v>
      </c>
      <c r="AQ445">
        <v>15</v>
      </c>
      <c r="AR445">
        <v>-0.1</v>
      </c>
      <c r="AS445">
        <v>0</v>
      </c>
      <c r="AT445">
        <v>-0.1</v>
      </c>
      <c r="AU445">
        <v>-9.9000000000000005E-2</v>
      </c>
      <c r="AV445">
        <v>-7.4</v>
      </c>
      <c r="AW445">
        <v>-1.7</v>
      </c>
      <c r="AX445">
        <v>-9.1</v>
      </c>
      <c r="AY445">
        <v>-0.1</v>
      </c>
      <c r="AZ445">
        <f t="shared" si="12"/>
        <v>-4.5999999999999996</v>
      </c>
      <c r="BA445">
        <f t="shared" si="13"/>
        <v>-23.921827627630751</v>
      </c>
    </row>
    <row r="446" spans="1:53" hidden="1" x14ac:dyDescent="0.25">
      <c r="A446" t="s">
        <v>529</v>
      </c>
      <c r="B446" s="2">
        <v>169630</v>
      </c>
      <c r="C446" t="s">
        <v>52</v>
      </c>
      <c r="D446">
        <v>23</v>
      </c>
      <c r="E446" t="s">
        <v>63</v>
      </c>
      <c r="F446">
        <v>6</v>
      </c>
      <c r="G446">
        <v>0</v>
      </c>
      <c r="H446">
        <v>8.8000000000000007</v>
      </c>
      <c r="I446">
        <v>0.2</v>
      </c>
      <c r="J446">
        <v>1.7</v>
      </c>
      <c r="K446">
        <v>0.1</v>
      </c>
      <c r="L446">
        <v>0.2</v>
      </c>
      <c r="M446">
        <v>0.7</v>
      </c>
      <c r="N446">
        <v>0.25</v>
      </c>
      <c r="O446">
        <v>0</v>
      </c>
      <c r="P446">
        <v>1</v>
      </c>
      <c r="Q446">
        <v>0</v>
      </c>
      <c r="R446">
        <v>0.15</v>
      </c>
      <c r="S446">
        <v>0</v>
      </c>
      <c r="T446">
        <v>0</v>
      </c>
      <c r="V446">
        <v>1</v>
      </c>
      <c r="W446">
        <v>0.7</v>
      </c>
      <c r="X446">
        <v>1.7</v>
      </c>
      <c r="Y446">
        <v>1.3</v>
      </c>
      <c r="Z446">
        <v>0.8</v>
      </c>
      <c r="AA446">
        <v>0</v>
      </c>
      <c r="AB446">
        <v>0.5</v>
      </c>
      <c r="AC446">
        <v>1.5</v>
      </c>
      <c r="AD446">
        <v>0.5</v>
      </c>
      <c r="AE446">
        <v>53</v>
      </c>
      <c r="AF446">
        <v>4.8</v>
      </c>
      <c r="AG446">
        <v>0.15</v>
      </c>
      <c r="AH446">
        <v>0.4</v>
      </c>
      <c r="AI446">
        <v>0</v>
      </c>
      <c r="AJ446">
        <v>13.1</v>
      </c>
      <c r="AK446">
        <v>8.1</v>
      </c>
      <c r="AL446">
        <v>10.5</v>
      </c>
      <c r="AM446">
        <v>17.600000000000001</v>
      </c>
      <c r="AN446">
        <v>4.5999999999999996</v>
      </c>
      <c r="AO446">
        <v>0</v>
      </c>
      <c r="AP446">
        <v>23.1</v>
      </c>
      <c r="AQ446">
        <v>10.7</v>
      </c>
      <c r="AR446">
        <v>-0.1</v>
      </c>
      <c r="AS446">
        <v>0.1</v>
      </c>
      <c r="AT446">
        <v>0</v>
      </c>
      <c r="AU446">
        <v>-2.5000000000000001E-2</v>
      </c>
      <c r="AV446">
        <v>-7</v>
      </c>
      <c r="AW446">
        <v>1.8</v>
      </c>
      <c r="AX446">
        <v>-5.3</v>
      </c>
      <c r="AY446">
        <v>0</v>
      </c>
      <c r="AZ446">
        <f t="shared" si="12"/>
        <v>-2.65</v>
      </c>
      <c r="BA446">
        <f t="shared" si="13"/>
        <v>-15.622236632671108</v>
      </c>
    </row>
    <row r="447" spans="1:53" hidden="1" x14ac:dyDescent="0.25">
      <c r="A447" t="s">
        <v>530</v>
      </c>
      <c r="B447" s="2">
        <v>160856</v>
      </c>
      <c r="C447" t="s">
        <v>62</v>
      </c>
      <c r="D447">
        <v>24</v>
      </c>
      <c r="E447" t="s">
        <v>82</v>
      </c>
      <c r="F447">
        <v>2</v>
      </c>
      <c r="G447">
        <v>0</v>
      </c>
      <c r="H447">
        <v>20.5</v>
      </c>
      <c r="I447">
        <v>4.5</v>
      </c>
      <c r="J447">
        <v>10</v>
      </c>
      <c r="K447">
        <v>0.45</v>
      </c>
      <c r="L447">
        <v>2</v>
      </c>
      <c r="M447">
        <v>5.5</v>
      </c>
      <c r="N447">
        <v>0.36399999999999999</v>
      </c>
      <c r="O447">
        <v>2.5</v>
      </c>
      <c r="P447">
        <v>4.5</v>
      </c>
      <c r="Q447">
        <v>0.55600000000000005</v>
      </c>
      <c r="R447">
        <v>0.55000000000000004</v>
      </c>
      <c r="S447">
        <v>1.5</v>
      </c>
      <c r="T447">
        <v>2.5</v>
      </c>
      <c r="U447">
        <v>0.6</v>
      </c>
      <c r="V447">
        <v>1.5</v>
      </c>
      <c r="W447">
        <v>3.5</v>
      </c>
      <c r="X447">
        <v>5</v>
      </c>
      <c r="Y447">
        <v>4.5</v>
      </c>
      <c r="Z447">
        <v>0</v>
      </c>
      <c r="AA447">
        <v>0</v>
      </c>
      <c r="AB447">
        <v>1.5</v>
      </c>
      <c r="AC447">
        <v>1.5</v>
      </c>
      <c r="AD447">
        <v>12.5</v>
      </c>
      <c r="AE447">
        <v>41</v>
      </c>
      <c r="AF447">
        <v>19.2</v>
      </c>
      <c r="AG447">
        <v>0.56299999999999994</v>
      </c>
      <c r="AH447">
        <v>0.55000000000000004</v>
      </c>
      <c r="AI447">
        <v>0.25</v>
      </c>
      <c r="AJ447">
        <v>8.8000000000000007</v>
      </c>
      <c r="AK447">
        <v>19.8</v>
      </c>
      <c r="AL447">
        <v>14.4</v>
      </c>
      <c r="AM447">
        <v>35.299999999999997</v>
      </c>
      <c r="AN447">
        <v>0</v>
      </c>
      <c r="AO447">
        <v>0</v>
      </c>
      <c r="AP447">
        <v>11.9</v>
      </c>
      <c r="AQ447">
        <v>27.5</v>
      </c>
      <c r="AR447">
        <v>0.1</v>
      </c>
      <c r="AS447">
        <v>0</v>
      </c>
      <c r="AT447">
        <v>0.1</v>
      </c>
      <c r="AU447">
        <v>0.14000000000000001</v>
      </c>
      <c r="AV447">
        <v>2.2000000000000002</v>
      </c>
      <c r="AW447">
        <v>-1.7</v>
      </c>
      <c r="AX447">
        <v>0.5</v>
      </c>
      <c r="AY447">
        <v>0</v>
      </c>
      <c r="AZ447">
        <f t="shared" si="12"/>
        <v>0.3</v>
      </c>
      <c r="BA447">
        <f t="shared" si="13"/>
        <v>1.8650221315959616</v>
      </c>
    </row>
    <row r="448" spans="1:53" hidden="1" x14ac:dyDescent="0.25">
      <c r="A448" t="s">
        <v>531</v>
      </c>
      <c r="B448" s="2">
        <v>140384</v>
      </c>
      <c r="C448" t="s">
        <v>28</v>
      </c>
      <c r="D448">
        <v>27</v>
      </c>
      <c r="E448" t="s">
        <v>63</v>
      </c>
      <c r="F448">
        <v>10</v>
      </c>
      <c r="G448">
        <v>1</v>
      </c>
      <c r="H448">
        <v>12.6</v>
      </c>
      <c r="I448">
        <v>1.7</v>
      </c>
      <c r="J448">
        <v>2.8</v>
      </c>
      <c r="K448">
        <v>0.60699999999999998</v>
      </c>
      <c r="L448">
        <v>0</v>
      </c>
      <c r="M448">
        <v>0.1</v>
      </c>
      <c r="N448">
        <v>0</v>
      </c>
      <c r="O448">
        <v>1.7</v>
      </c>
      <c r="P448">
        <v>2.7</v>
      </c>
      <c r="Q448">
        <v>0.63</v>
      </c>
      <c r="R448">
        <v>0.60699999999999998</v>
      </c>
      <c r="S448">
        <v>0.4</v>
      </c>
      <c r="T448">
        <v>1</v>
      </c>
      <c r="U448">
        <v>0.4</v>
      </c>
      <c r="V448">
        <v>1.6</v>
      </c>
      <c r="W448">
        <v>2.2000000000000002</v>
      </c>
      <c r="X448">
        <v>3.8</v>
      </c>
      <c r="Y448">
        <v>0.6</v>
      </c>
      <c r="Z448">
        <v>0.6</v>
      </c>
      <c r="AA448">
        <v>0.4</v>
      </c>
      <c r="AB448">
        <v>0.8</v>
      </c>
      <c r="AC448">
        <v>1.3</v>
      </c>
      <c r="AD448">
        <v>3.8</v>
      </c>
      <c r="AE448">
        <v>126</v>
      </c>
      <c r="AF448">
        <v>14.3</v>
      </c>
      <c r="AG448">
        <v>0.58599999999999997</v>
      </c>
      <c r="AH448">
        <v>3.5999999999999997E-2</v>
      </c>
      <c r="AI448">
        <v>0.35699999999999998</v>
      </c>
      <c r="AJ448">
        <v>14.7</v>
      </c>
      <c r="AK448">
        <v>18.7</v>
      </c>
      <c r="AL448">
        <v>16.8</v>
      </c>
      <c r="AM448">
        <v>6.4</v>
      </c>
      <c r="AN448">
        <v>2.2999999999999998</v>
      </c>
      <c r="AO448">
        <v>2.7</v>
      </c>
      <c r="AP448">
        <v>19.8</v>
      </c>
      <c r="AQ448">
        <v>13.9</v>
      </c>
      <c r="AR448">
        <v>0.1</v>
      </c>
      <c r="AS448">
        <v>0.2</v>
      </c>
      <c r="AT448">
        <v>0.2</v>
      </c>
      <c r="AU448">
        <v>9.4E-2</v>
      </c>
      <c r="AV448">
        <v>-3.2</v>
      </c>
      <c r="AW448">
        <v>-0.4</v>
      </c>
      <c r="AX448">
        <v>-3.6</v>
      </c>
      <c r="AY448">
        <v>-0.1</v>
      </c>
      <c r="AZ448">
        <f t="shared" si="12"/>
        <v>-1.7</v>
      </c>
      <c r="BA448">
        <f t="shared" si="13"/>
        <v>-12.109642124458627</v>
      </c>
    </row>
    <row r="449" spans="1:53" hidden="1" x14ac:dyDescent="0.25">
      <c r="A449" t="s">
        <v>532</v>
      </c>
      <c r="B449" s="2">
        <v>134862</v>
      </c>
      <c r="C449" t="s">
        <v>62</v>
      </c>
      <c r="D449">
        <v>29</v>
      </c>
      <c r="E449" t="s">
        <v>70</v>
      </c>
      <c r="F449">
        <v>5</v>
      </c>
      <c r="G449">
        <v>0</v>
      </c>
      <c r="H449">
        <v>24</v>
      </c>
      <c r="I449">
        <v>3</v>
      </c>
      <c r="J449">
        <v>7.2</v>
      </c>
      <c r="K449">
        <v>0.41699999999999998</v>
      </c>
      <c r="L449">
        <v>0.6</v>
      </c>
      <c r="M449">
        <v>2</v>
      </c>
      <c r="N449">
        <v>0.3</v>
      </c>
      <c r="O449">
        <v>2.4</v>
      </c>
      <c r="P449">
        <v>5.2</v>
      </c>
      <c r="Q449">
        <v>0.46200000000000002</v>
      </c>
      <c r="R449">
        <v>0.45800000000000002</v>
      </c>
      <c r="S449">
        <v>2.2000000000000002</v>
      </c>
      <c r="T449">
        <v>3</v>
      </c>
      <c r="U449">
        <v>0.73299999999999998</v>
      </c>
      <c r="V449">
        <v>0.2</v>
      </c>
      <c r="W449">
        <v>4.2</v>
      </c>
      <c r="X449">
        <v>4.4000000000000004</v>
      </c>
      <c r="Y449">
        <v>6</v>
      </c>
      <c r="Z449">
        <v>2.2000000000000002</v>
      </c>
      <c r="AA449">
        <v>0.4</v>
      </c>
      <c r="AB449">
        <v>1.2</v>
      </c>
      <c r="AC449">
        <v>2.4</v>
      </c>
      <c r="AD449">
        <v>8.8000000000000007</v>
      </c>
      <c r="AE449">
        <v>120</v>
      </c>
      <c r="AF449">
        <v>17.899999999999999</v>
      </c>
      <c r="AG449">
        <v>0.51600000000000001</v>
      </c>
      <c r="AH449">
        <v>0.27800000000000002</v>
      </c>
      <c r="AI449">
        <v>0.41699999999999998</v>
      </c>
      <c r="AJ449">
        <v>1</v>
      </c>
      <c r="AK449">
        <v>20.3</v>
      </c>
      <c r="AL449">
        <v>10.5</v>
      </c>
      <c r="AM449">
        <v>34.9</v>
      </c>
      <c r="AN449">
        <v>4.5</v>
      </c>
      <c r="AO449">
        <v>1.5</v>
      </c>
      <c r="AP449">
        <v>12.3</v>
      </c>
      <c r="AQ449">
        <v>17.600000000000001</v>
      </c>
      <c r="AR449">
        <v>0.2</v>
      </c>
      <c r="AS449">
        <v>0.2</v>
      </c>
      <c r="AT449">
        <v>0.3</v>
      </c>
      <c r="AU449">
        <v>0.13700000000000001</v>
      </c>
      <c r="AV449">
        <v>-2.5</v>
      </c>
      <c r="AW449">
        <v>2.6</v>
      </c>
      <c r="AX449">
        <v>0.1</v>
      </c>
      <c r="AY449">
        <v>0.1</v>
      </c>
      <c r="AZ449">
        <f t="shared" si="12"/>
        <v>0.2</v>
      </c>
      <c r="BA449">
        <f t="shared" si="13"/>
        <v>1.4829974344144385</v>
      </c>
    </row>
    <row r="450" spans="1:53" hidden="1" x14ac:dyDescent="0.25">
      <c r="A450" t="s">
        <v>533</v>
      </c>
      <c r="B450" s="2">
        <v>129405</v>
      </c>
      <c r="C450" t="s">
        <v>62</v>
      </c>
      <c r="D450">
        <v>22</v>
      </c>
      <c r="E450" t="s">
        <v>53</v>
      </c>
      <c r="F450">
        <v>4</v>
      </c>
      <c r="G450">
        <v>0</v>
      </c>
      <c r="H450">
        <v>4.5</v>
      </c>
      <c r="I450">
        <v>0.5</v>
      </c>
      <c r="J450">
        <v>1.3</v>
      </c>
      <c r="K450">
        <v>0.4</v>
      </c>
      <c r="L450">
        <v>0.5</v>
      </c>
      <c r="M450">
        <v>1</v>
      </c>
      <c r="N450">
        <v>0.5</v>
      </c>
      <c r="O450">
        <v>0</v>
      </c>
      <c r="P450">
        <v>0.3</v>
      </c>
      <c r="Q450">
        <v>0</v>
      </c>
      <c r="R450">
        <v>0.6</v>
      </c>
      <c r="S450">
        <v>1</v>
      </c>
      <c r="T450">
        <v>1.5</v>
      </c>
      <c r="U450">
        <v>0.66700000000000004</v>
      </c>
      <c r="V450">
        <v>0.3</v>
      </c>
      <c r="W450">
        <v>0.5</v>
      </c>
      <c r="X450">
        <v>0.8</v>
      </c>
      <c r="Y450">
        <v>0.5</v>
      </c>
      <c r="Z450">
        <v>0.3</v>
      </c>
      <c r="AA450">
        <v>0</v>
      </c>
      <c r="AB450">
        <v>1.3</v>
      </c>
      <c r="AC450">
        <v>0</v>
      </c>
      <c r="AD450">
        <v>2.5</v>
      </c>
      <c r="AE450">
        <v>18</v>
      </c>
      <c r="AF450">
        <v>8.6</v>
      </c>
      <c r="AG450">
        <v>0.65400000000000003</v>
      </c>
      <c r="AH450">
        <v>0.8</v>
      </c>
      <c r="AI450">
        <v>1.2</v>
      </c>
      <c r="AJ450">
        <v>6.2</v>
      </c>
      <c r="AK450">
        <v>12</v>
      </c>
      <c r="AL450">
        <v>9.1999999999999993</v>
      </c>
      <c r="AM450">
        <v>14.2</v>
      </c>
      <c r="AN450">
        <v>2.6</v>
      </c>
      <c r="AO450">
        <v>0</v>
      </c>
      <c r="AP450">
        <v>39.6</v>
      </c>
      <c r="AQ450">
        <v>29.4</v>
      </c>
      <c r="AR450">
        <v>-0.1</v>
      </c>
      <c r="AS450">
        <v>0</v>
      </c>
      <c r="AT450">
        <v>0</v>
      </c>
      <c r="AU450">
        <v>-0.10299999999999999</v>
      </c>
      <c r="AV450">
        <v>-6.4</v>
      </c>
      <c r="AW450">
        <v>-3.7</v>
      </c>
      <c r="AX450">
        <v>-10.199999999999999</v>
      </c>
      <c r="AY450">
        <v>0</v>
      </c>
      <c r="AZ450">
        <f t="shared" si="12"/>
        <v>-5.0999999999999996</v>
      </c>
      <c r="BA450">
        <f t="shared" si="13"/>
        <v>-39.411151037440597</v>
      </c>
    </row>
    <row r="451" spans="1:53" hidden="1" x14ac:dyDescent="0.25">
      <c r="A451" t="s">
        <v>534</v>
      </c>
      <c r="B451" s="2">
        <v>116986</v>
      </c>
      <c r="C451" t="s">
        <v>62</v>
      </c>
      <c r="D451">
        <v>28</v>
      </c>
      <c r="E451" t="s">
        <v>55</v>
      </c>
      <c r="F451">
        <v>4</v>
      </c>
      <c r="G451">
        <v>0</v>
      </c>
      <c r="H451">
        <v>5</v>
      </c>
      <c r="I451">
        <v>0.8</v>
      </c>
      <c r="J451">
        <v>2.2999999999999998</v>
      </c>
      <c r="K451">
        <v>0.33300000000000002</v>
      </c>
      <c r="L451">
        <v>0.3</v>
      </c>
      <c r="M451">
        <v>0.8</v>
      </c>
      <c r="N451">
        <v>0.33300000000000002</v>
      </c>
      <c r="O451">
        <v>0.5</v>
      </c>
      <c r="P451">
        <v>1.5</v>
      </c>
      <c r="Q451">
        <v>0.33300000000000002</v>
      </c>
      <c r="R451">
        <v>0.38900000000000001</v>
      </c>
      <c r="S451">
        <v>0</v>
      </c>
      <c r="T451">
        <v>0</v>
      </c>
      <c r="V451">
        <v>0</v>
      </c>
      <c r="W451">
        <v>0.8</v>
      </c>
      <c r="X451">
        <v>0.8</v>
      </c>
      <c r="Y451">
        <v>1.3</v>
      </c>
      <c r="Z451">
        <v>0</v>
      </c>
      <c r="AA451">
        <v>0</v>
      </c>
      <c r="AB451">
        <v>0.3</v>
      </c>
      <c r="AC451">
        <v>0.5</v>
      </c>
      <c r="AD451">
        <v>1.8</v>
      </c>
      <c r="AE451">
        <v>20</v>
      </c>
      <c r="AF451">
        <v>7.2</v>
      </c>
      <c r="AG451">
        <v>0.38900000000000001</v>
      </c>
      <c r="AH451">
        <v>0.33300000000000002</v>
      </c>
      <c r="AI451">
        <v>0</v>
      </c>
      <c r="AJ451">
        <v>0</v>
      </c>
      <c r="AK451">
        <v>16.600000000000001</v>
      </c>
      <c r="AL451">
        <v>8.4</v>
      </c>
      <c r="AM451">
        <v>35.700000000000003</v>
      </c>
      <c r="AN451">
        <v>0</v>
      </c>
      <c r="AO451">
        <v>0</v>
      </c>
      <c r="AP451">
        <v>10</v>
      </c>
      <c r="AQ451">
        <v>21.8</v>
      </c>
      <c r="AR451">
        <v>0</v>
      </c>
      <c r="AS451">
        <v>0</v>
      </c>
      <c r="AT451">
        <v>0</v>
      </c>
      <c r="AU451">
        <v>-0.03</v>
      </c>
      <c r="AV451">
        <v>-4.0999999999999996</v>
      </c>
      <c r="AW451">
        <v>-1</v>
      </c>
      <c r="AX451">
        <v>-5.0999999999999996</v>
      </c>
      <c r="AY451">
        <v>0</v>
      </c>
      <c r="AZ451">
        <f t="shared" ref="AZ451:AZ468" si="14">0.5*AX451 + 0.5*AT451</f>
        <v>-2.5499999999999998</v>
      </c>
      <c r="BA451">
        <f t="shared" ref="BA451:BA468" si="15">IF(B451&gt;0, AZ451*1000000/B451, 0)</f>
        <v>-21.797480040346709</v>
      </c>
    </row>
    <row r="452" spans="1:53" hidden="1" x14ac:dyDescent="0.25">
      <c r="A452" t="s">
        <v>535</v>
      </c>
      <c r="B452" s="2">
        <v>116986</v>
      </c>
      <c r="C452" t="s">
        <v>52</v>
      </c>
      <c r="D452">
        <v>23</v>
      </c>
      <c r="E452" t="s">
        <v>63</v>
      </c>
      <c r="F452">
        <v>5</v>
      </c>
      <c r="G452">
        <v>0</v>
      </c>
      <c r="H452">
        <v>14.2</v>
      </c>
      <c r="I452">
        <v>1.2</v>
      </c>
      <c r="J452">
        <v>2.8</v>
      </c>
      <c r="K452">
        <v>0.42899999999999999</v>
      </c>
      <c r="L452">
        <v>0.4</v>
      </c>
      <c r="M452">
        <v>1.2</v>
      </c>
      <c r="N452">
        <v>0.33300000000000002</v>
      </c>
      <c r="O452">
        <v>0.8</v>
      </c>
      <c r="P452">
        <v>1.6</v>
      </c>
      <c r="Q452">
        <v>0.5</v>
      </c>
      <c r="R452">
        <v>0.5</v>
      </c>
      <c r="S452">
        <v>0.2</v>
      </c>
      <c r="T452">
        <v>0.4</v>
      </c>
      <c r="U452">
        <v>0.5</v>
      </c>
      <c r="V452">
        <v>0.2</v>
      </c>
      <c r="W452">
        <v>1</v>
      </c>
      <c r="X452">
        <v>1.2</v>
      </c>
      <c r="Y452">
        <v>0.8</v>
      </c>
      <c r="Z452">
        <v>0.8</v>
      </c>
      <c r="AA452">
        <v>0.4</v>
      </c>
      <c r="AB452">
        <v>0.8</v>
      </c>
      <c r="AC452">
        <v>1.2</v>
      </c>
      <c r="AD452">
        <v>3</v>
      </c>
      <c r="AE452">
        <v>71</v>
      </c>
      <c r="AF452">
        <v>6.5</v>
      </c>
      <c r="AG452">
        <v>0.504</v>
      </c>
      <c r="AH452">
        <v>0.42899999999999999</v>
      </c>
      <c r="AI452">
        <v>0.14299999999999999</v>
      </c>
      <c r="AJ452">
        <v>1.6</v>
      </c>
      <c r="AK452">
        <v>8.4</v>
      </c>
      <c r="AL452">
        <v>4.9000000000000004</v>
      </c>
      <c r="AM452">
        <v>7.8</v>
      </c>
      <c r="AN452">
        <v>2.8</v>
      </c>
      <c r="AO452">
        <v>2.9</v>
      </c>
      <c r="AP452">
        <v>21.2</v>
      </c>
      <c r="AQ452">
        <v>11.8</v>
      </c>
      <c r="AR452">
        <v>-0.1</v>
      </c>
      <c r="AS452">
        <v>0.1</v>
      </c>
      <c r="AT452">
        <v>0</v>
      </c>
      <c r="AU452">
        <v>1.2999999999999999E-2</v>
      </c>
      <c r="AV452">
        <v>-5.8</v>
      </c>
      <c r="AW452">
        <v>1.6</v>
      </c>
      <c r="AX452">
        <v>-4.2</v>
      </c>
      <c r="AY452">
        <v>0</v>
      </c>
      <c r="AZ452">
        <f t="shared" si="14"/>
        <v>-2.1</v>
      </c>
      <c r="BA452">
        <f t="shared" si="15"/>
        <v>-17.950865915579641</v>
      </c>
    </row>
    <row r="453" spans="1:53" hidden="1" x14ac:dyDescent="0.25">
      <c r="A453" t="s">
        <v>536</v>
      </c>
      <c r="B453" s="2">
        <v>116986</v>
      </c>
      <c r="C453" t="s">
        <v>75</v>
      </c>
      <c r="D453">
        <v>24</v>
      </c>
      <c r="E453" t="s">
        <v>63</v>
      </c>
      <c r="F453">
        <v>7</v>
      </c>
      <c r="G453">
        <v>0</v>
      </c>
      <c r="H453">
        <v>13.6</v>
      </c>
      <c r="I453">
        <v>2.1</v>
      </c>
      <c r="J453">
        <v>3.6</v>
      </c>
      <c r="K453">
        <v>0.6</v>
      </c>
      <c r="L453">
        <v>0.9</v>
      </c>
      <c r="M453">
        <v>1.7</v>
      </c>
      <c r="N453">
        <v>0.5</v>
      </c>
      <c r="O453">
        <v>1.3</v>
      </c>
      <c r="P453">
        <v>1.9</v>
      </c>
      <c r="Q453">
        <v>0.69199999999999995</v>
      </c>
      <c r="R453">
        <v>0.72</v>
      </c>
      <c r="S453">
        <v>2.1</v>
      </c>
      <c r="T453">
        <v>2.2999999999999998</v>
      </c>
      <c r="U453">
        <v>0.93799999999999994</v>
      </c>
      <c r="V453">
        <v>0.9</v>
      </c>
      <c r="W453">
        <v>2.1</v>
      </c>
      <c r="X453">
        <v>3</v>
      </c>
      <c r="Y453">
        <v>1.4</v>
      </c>
      <c r="Z453">
        <v>0.4</v>
      </c>
      <c r="AA453">
        <v>0.6</v>
      </c>
      <c r="AB453">
        <v>0.7</v>
      </c>
      <c r="AC453">
        <v>2.1</v>
      </c>
      <c r="AD453">
        <v>7.3</v>
      </c>
      <c r="AE453">
        <v>95</v>
      </c>
      <c r="AF453">
        <v>22.3</v>
      </c>
      <c r="AG453">
        <v>0.79600000000000004</v>
      </c>
      <c r="AH453">
        <v>0.48</v>
      </c>
      <c r="AI453">
        <v>0.64</v>
      </c>
      <c r="AJ453">
        <v>7.3</v>
      </c>
      <c r="AK453">
        <v>16.899999999999999</v>
      </c>
      <c r="AL453">
        <v>12.3</v>
      </c>
      <c r="AM453">
        <v>14.7</v>
      </c>
      <c r="AN453">
        <v>1.5</v>
      </c>
      <c r="AO453">
        <v>3.6</v>
      </c>
      <c r="AP453">
        <v>13.5</v>
      </c>
      <c r="AQ453">
        <v>16.899999999999999</v>
      </c>
      <c r="AR453">
        <v>0.4</v>
      </c>
      <c r="AS453">
        <v>0.1</v>
      </c>
      <c r="AT453">
        <v>0.5</v>
      </c>
      <c r="AU453">
        <v>0.26100000000000001</v>
      </c>
      <c r="AV453">
        <v>2.8</v>
      </c>
      <c r="AW453">
        <v>1.2</v>
      </c>
      <c r="AX453">
        <v>4</v>
      </c>
      <c r="AY453">
        <v>0.1</v>
      </c>
      <c r="AZ453">
        <f t="shared" si="14"/>
        <v>2.25</v>
      </c>
      <c r="BA453">
        <f t="shared" si="15"/>
        <v>19.233070623835332</v>
      </c>
    </row>
    <row r="454" spans="1:53" hidden="1" x14ac:dyDescent="0.25">
      <c r="A454" t="s">
        <v>537</v>
      </c>
      <c r="B454" s="2">
        <v>116574</v>
      </c>
      <c r="C454" t="s">
        <v>52</v>
      </c>
      <c r="D454">
        <v>25</v>
      </c>
      <c r="E454" t="s">
        <v>70</v>
      </c>
      <c r="F454">
        <v>6</v>
      </c>
      <c r="G454">
        <v>6</v>
      </c>
      <c r="H454">
        <v>31.5</v>
      </c>
      <c r="I454">
        <v>5.7</v>
      </c>
      <c r="J454">
        <v>11.3</v>
      </c>
      <c r="K454">
        <v>0.5</v>
      </c>
      <c r="L454">
        <v>2</v>
      </c>
      <c r="M454">
        <v>4.3</v>
      </c>
      <c r="N454">
        <v>0.46200000000000002</v>
      </c>
      <c r="O454">
        <v>3.7</v>
      </c>
      <c r="P454">
        <v>7</v>
      </c>
      <c r="Q454">
        <v>0.52400000000000002</v>
      </c>
      <c r="R454">
        <v>0.58799999999999997</v>
      </c>
      <c r="S454">
        <v>2</v>
      </c>
      <c r="T454">
        <v>2.2000000000000002</v>
      </c>
      <c r="U454">
        <v>0.92300000000000004</v>
      </c>
      <c r="V454">
        <v>0.3</v>
      </c>
      <c r="W454">
        <v>2.8</v>
      </c>
      <c r="X454">
        <v>3.2</v>
      </c>
      <c r="Y454">
        <v>8.3000000000000007</v>
      </c>
      <c r="Z454">
        <v>1</v>
      </c>
      <c r="AA454">
        <v>0.2</v>
      </c>
      <c r="AB454">
        <v>1.7</v>
      </c>
      <c r="AC454">
        <v>1.8</v>
      </c>
      <c r="AD454">
        <v>15.3</v>
      </c>
      <c r="AE454">
        <v>189</v>
      </c>
      <c r="AF454">
        <v>19.399999999999999</v>
      </c>
      <c r="AG454">
        <v>0.624</v>
      </c>
      <c r="AH454">
        <v>0.38200000000000001</v>
      </c>
      <c r="AI454">
        <v>0.191</v>
      </c>
      <c r="AJ454">
        <v>1.2</v>
      </c>
      <c r="AK454">
        <v>10.4</v>
      </c>
      <c r="AL454">
        <v>5.8</v>
      </c>
      <c r="AM454">
        <v>40</v>
      </c>
      <c r="AN454">
        <v>1.5</v>
      </c>
      <c r="AO454">
        <v>0.5</v>
      </c>
      <c r="AP454">
        <v>11.9</v>
      </c>
      <c r="AQ454">
        <v>19.3</v>
      </c>
      <c r="AR454">
        <v>0.6</v>
      </c>
      <c r="AS454">
        <v>0.1</v>
      </c>
      <c r="AT454">
        <v>0.7</v>
      </c>
      <c r="AU454">
        <v>0.17100000000000001</v>
      </c>
      <c r="AV454">
        <v>2.1</v>
      </c>
      <c r="AW454">
        <v>-2.1</v>
      </c>
      <c r="AX454">
        <v>0</v>
      </c>
      <c r="AY454">
        <v>0.1</v>
      </c>
      <c r="AZ454">
        <f t="shared" si="14"/>
        <v>0.35</v>
      </c>
      <c r="BA454">
        <f t="shared" si="15"/>
        <v>3.0023847513167601</v>
      </c>
    </row>
    <row r="455" spans="1:53" hidden="1" x14ac:dyDescent="0.25">
      <c r="A455" t="s">
        <v>538</v>
      </c>
      <c r="B455" s="2">
        <v>113114</v>
      </c>
      <c r="C455" t="s">
        <v>52</v>
      </c>
      <c r="D455">
        <v>24</v>
      </c>
      <c r="E455" t="s">
        <v>130</v>
      </c>
      <c r="F455">
        <v>1</v>
      </c>
      <c r="G455">
        <v>0</v>
      </c>
      <c r="H455">
        <v>5</v>
      </c>
      <c r="I455">
        <v>0</v>
      </c>
      <c r="J455">
        <v>3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V455">
        <v>1</v>
      </c>
      <c r="W455">
        <v>1</v>
      </c>
      <c r="X455">
        <v>2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5</v>
      </c>
      <c r="AF455">
        <v>-6.8</v>
      </c>
      <c r="AG455">
        <v>0</v>
      </c>
      <c r="AH455">
        <v>0.33300000000000002</v>
      </c>
      <c r="AI455">
        <v>0</v>
      </c>
      <c r="AJ455">
        <v>21.9</v>
      </c>
      <c r="AK455">
        <v>21.3</v>
      </c>
      <c r="AL455">
        <v>21.6</v>
      </c>
      <c r="AM455">
        <v>22.7</v>
      </c>
      <c r="AN455">
        <v>0</v>
      </c>
      <c r="AO455">
        <v>0</v>
      </c>
      <c r="AP455">
        <v>0</v>
      </c>
      <c r="AQ455">
        <v>25.1</v>
      </c>
      <c r="AR455">
        <v>0</v>
      </c>
      <c r="AS455">
        <v>0</v>
      </c>
      <c r="AT455">
        <v>0</v>
      </c>
      <c r="AU455">
        <v>-0.378</v>
      </c>
      <c r="AV455">
        <v>-12.5</v>
      </c>
      <c r="AW455">
        <v>-9.8000000000000007</v>
      </c>
      <c r="AX455">
        <v>-22.2</v>
      </c>
      <c r="AY455">
        <v>0</v>
      </c>
      <c r="AZ455">
        <f t="shared" si="14"/>
        <v>-11.1</v>
      </c>
      <c r="BA455">
        <f t="shared" si="15"/>
        <v>-98.13108898986863</v>
      </c>
    </row>
    <row r="456" spans="1:53" hidden="1" x14ac:dyDescent="0.25">
      <c r="A456" t="s">
        <v>539</v>
      </c>
      <c r="B456" s="2">
        <v>105522</v>
      </c>
      <c r="C456" t="s">
        <v>28</v>
      </c>
      <c r="D456">
        <v>29</v>
      </c>
      <c r="E456" t="s">
        <v>116</v>
      </c>
      <c r="F456">
        <v>2</v>
      </c>
      <c r="G456">
        <v>0</v>
      </c>
      <c r="H456">
        <v>3</v>
      </c>
      <c r="I456">
        <v>0</v>
      </c>
      <c r="J456">
        <v>1</v>
      </c>
      <c r="K456">
        <v>0</v>
      </c>
      <c r="L456">
        <v>0</v>
      </c>
      <c r="M456">
        <v>0.5</v>
      </c>
      <c r="N456">
        <v>0</v>
      </c>
      <c r="O456">
        <v>0</v>
      </c>
      <c r="P456">
        <v>0.5</v>
      </c>
      <c r="Q456">
        <v>0</v>
      </c>
      <c r="R456">
        <v>0</v>
      </c>
      <c r="S456">
        <v>0</v>
      </c>
      <c r="T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6</v>
      </c>
      <c r="AF456">
        <v>-12.6</v>
      </c>
      <c r="AG456">
        <v>0</v>
      </c>
      <c r="AH456">
        <v>0.5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14.3</v>
      </c>
      <c r="AR456">
        <v>0</v>
      </c>
      <c r="AS456">
        <v>0</v>
      </c>
      <c r="AT456">
        <v>0</v>
      </c>
      <c r="AU456">
        <v>-0.34699999999999998</v>
      </c>
      <c r="AV456">
        <v>-13.9</v>
      </c>
      <c r="AW456">
        <v>-10.4</v>
      </c>
      <c r="AX456">
        <v>-24.2</v>
      </c>
      <c r="AY456">
        <v>0</v>
      </c>
      <c r="AZ456">
        <f t="shared" si="14"/>
        <v>-12.1</v>
      </c>
      <c r="BA456">
        <f t="shared" si="15"/>
        <v>-114.66803131100623</v>
      </c>
    </row>
    <row r="457" spans="1:53" hidden="1" x14ac:dyDescent="0.25">
      <c r="A457" t="s">
        <v>540</v>
      </c>
      <c r="B457" s="2">
        <v>105522</v>
      </c>
      <c r="C457" t="s">
        <v>28</v>
      </c>
      <c r="D457">
        <v>26</v>
      </c>
      <c r="E457" t="s">
        <v>130</v>
      </c>
      <c r="F457">
        <v>4</v>
      </c>
      <c r="G457">
        <v>0</v>
      </c>
      <c r="H457">
        <v>9.8000000000000007</v>
      </c>
      <c r="I457">
        <v>2</v>
      </c>
      <c r="J457">
        <v>3.5</v>
      </c>
      <c r="K457">
        <v>0.57099999999999995</v>
      </c>
      <c r="L457">
        <v>1</v>
      </c>
      <c r="M457">
        <v>2.2999999999999998</v>
      </c>
      <c r="N457">
        <v>0.44400000000000001</v>
      </c>
      <c r="O457">
        <v>1</v>
      </c>
      <c r="P457">
        <v>1.3</v>
      </c>
      <c r="Q457">
        <v>0.8</v>
      </c>
      <c r="R457">
        <v>0.71399999999999997</v>
      </c>
      <c r="S457">
        <v>0.5</v>
      </c>
      <c r="T457">
        <v>0.5</v>
      </c>
      <c r="U457">
        <v>1</v>
      </c>
      <c r="V457">
        <v>0.3</v>
      </c>
      <c r="W457">
        <v>1.3</v>
      </c>
      <c r="X457">
        <v>1.5</v>
      </c>
      <c r="Y457">
        <v>0.8</v>
      </c>
      <c r="Z457">
        <v>0</v>
      </c>
      <c r="AA457">
        <v>0.5</v>
      </c>
      <c r="AB457">
        <v>0.5</v>
      </c>
      <c r="AC457">
        <v>0.8</v>
      </c>
      <c r="AD457">
        <v>5.5</v>
      </c>
      <c r="AE457">
        <v>39</v>
      </c>
      <c r="AF457">
        <v>18.5</v>
      </c>
      <c r="AG457">
        <v>0.73899999999999999</v>
      </c>
      <c r="AH457">
        <v>0.64300000000000002</v>
      </c>
      <c r="AI457">
        <v>0.14299999999999999</v>
      </c>
      <c r="AJ457">
        <v>2.8</v>
      </c>
      <c r="AK457">
        <v>13.7</v>
      </c>
      <c r="AL457">
        <v>8.3000000000000007</v>
      </c>
      <c r="AM457">
        <v>11.4</v>
      </c>
      <c r="AN457">
        <v>0</v>
      </c>
      <c r="AO457">
        <v>4.3</v>
      </c>
      <c r="AP457">
        <v>11.8</v>
      </c>
      <c r="AQ457">
        <v>18.100000000000001</v>
      </c>
      <c r="AR457">
        <v>0.1</v>
      </c>
      <c r="AS457">
        <v>0</v>
      </c>
      <c r="AT457">
        <v>0.1</v>
      </c>
      <c r="AU457">
        <v>0.16</v>
      </c>
      <c r="AV457">
        <v>3.1</v>
      </c>
      <c r="AW457">
        <v>0.4</v>
      </c>
      <c r="AX457">
        <v>3.5</v>
      </c>
      <c r="AY457">
        <v>0.1</v>
      </c>
      <c r="AZ457">
        <f t="shared" si="14"/>
        <v>1.8</v>
      </c>
      <c r="BA457">
        <f t="shared" si="15"/>
        <v>17.058054244612499</v>
      </c>
    </row>
    <row r="458" spans="1:53" hidden="1" x14ac:dyDescent="0.25">
      <c r="A458" t="s">
        <v>541</v>
      </c>
      <c r="B458" s="2">
        <v>102910</v>
      </c>
      <c r="C458" t="s">
        <v>65</v>
      </c>
      <c r="D458">
        <v>25</v>
      </c>
      <c r="E458" t="s">
        <v>118</v>
      </c>
      <c r="F458">
        <v>4</v>
      </c>
      <c r="G458">
        <v>0</v>
      </c>
      <c r="H458">
        <v>12</v>
      </c>
      <c r="I458">
        <v>1.3</v>
      </c>
      <c r="J458">
        <v>2.5</v>
      </c>
      <c r="K458">
        <v>0.5</v>
      </c>
      <c r="L458">
        <v>0.8</v>
      </c>
      <c r="M458">
        <v>1.5</v>
      </c>
      <c r="N458">
        <v>0.5</v>
      </c>
      <c r="O458">
        <v>0.5</v>
      </c>
      <c r="P458">
        <v>1</v>
      </c>
      <c r="Q458">
        <v>0.5</v>
      </c>
      <c r="R458">
        <v>0.65</v>
      </c>
      <c r="S458">
        <v>1</v>
      </c>
      <c r="T458">
        <v>1</v>
      </c>
      <c r="U458">
        <v>1</v>
      </c>
      <c r="V458">
        <v>0</v>
      </c>
      <c r="W458">
        <v>1.3</v>
      </c>
      <c r="X458">
        <v>1.3</v>
      </c>
      <c r="Y458">
        <v>1.3</v>
      </c>
      <c r="Z458">
        <v>0</v>
      </c>
      <c r="AA458">
        <v>0.3</v>
      </c>
      <c r="AB458">
        <v>0.8</v>
      </c>
      <c r="AC458">
        <v>1.8</v>
      </c>
      <c r="AD458">
        <v>4.3</v>
      </c>
      <c r="AE458">
        <v>48</v>
      </c>
      <c r="AF458">
        <v>9.5</v>
      </c>
      <c r="AG458">
        <v>0.72299999999999998</v>
      </c>
      <c r="AH458">
        <v>0.6</v>
      </c>
      <c r="AI458">
        <v>0.4</v>
      </c>
      <c r="AJ458">
        <v>0</v>
      </c>
      <c r="AK458">
        <v>11.3</v>
      </c>
      <c r="AL458">
        <v>5.6</v>
      </c>
      <c r="AM458">
        <v>13.9</v>
      </c>
      <c r="AN458">
        <v>0</v>
      </c>
      <c r="AO458">
        <v>1.8</v>
      </c>
      <c r="AP458">
        <v>20.3</v>
      </c>
      <c r="AQ458">
        <v>12.9</v>
      </c>
      <c r="AR458">
        <v>0.1</v>
      </c>
      <c r="AS458">
        <v>0</v>
      </c>
      <c r="AT458">
        <v>0.1</v>
      </c>
      <c r="AU458">
        <v>8.5999999999999993E-2</v>
      </c>
      <c r="AV458">
        <v>-3.1</v>
      </c>
      <c r="AW458">
        <v>-0.4</v>
      </c>
      <c r="AX458">
        <v>-3.6</v>
      </c>
      <c r="AY458">
        <v>0</v>
      </c>
      <c r="AZ458">
        <f t="shared" si="14"/>
        <v>-1.75</v>
      </c>
      <c r="BA458">
        <f t="shared" si="15"/>
        <v>-17.005150131182585</v>
      </c>
    </row>
    <row r="459" spans="1:53" hidden="1" x14ac:dyDescent="0.25">
      <c r="A459" t="s">
        <v>542</v>
      </c>
      <c r="B459" s="2">
        <v>99438</v>
      </c>
      <c r="C459" t="s">
        <v>52</v>
      </c>
      <c r="D459">
        <v>24</v>
      </c>
      <c r="E459" t="s">
        <v>68</v>
      </c>
      <c r="F459">
        <v>7</v>
      </c>
      <c r="G459">
        <v>1</v>
      </c>
      <c r="H459">
        <v>12.4</v>
      </c>
      <c r="I459">
        <v>2.6</v>
      </c>
      <c r="J459">
        <v>5.3</v>
      </c>
      <c r="K459">
        <v>0.48599999999999999</v>
      </c>
      <c r="L459">
        <v>0.9</v>
      </c>
      <c r="M459">
        <v>2.6</v>
      </c>
      <c r="N459">
        <v>0.33300000000000002</v>
      </c>
      <c r="O459">
        <v>1.7</v>
      </c>
      <c r="P459">
        <v>2.7</v>
      </c>
      <c r="Q459">
        <v>0.63200000000000001</v>
      </c>
      <c r="R459">
        <v>0.56799999999999995</v>
      </c>
      <c r="S459">
        <v>1.1000000000000001</v>
      </c>
      <c r="T459">
        <v>1.3</v>
      </c>
      <c r="U459">
        <v>0.88900000000000001</v>
      </c>
      <c r="V459">
        <v>0</v>
      </c>
      <c r="W459">
        <v>1</v>
      </c>
      <c r="X459">
        <v>1</v>
      </c>
      <c r="Y459">
        <v>2</v>
      </c>
      <c r="Z459">
        <v>0</v>
      </c>
      <c r="AA459">
        <v>0.3</v>
      </c>
      <c r="AB459">
        <v>1.7</v>
      </c>
      <c r="AC459">
        <v>1</v>
      </c>
      <c r="AD459">
        <v>7.1</v>
      </c>
      <c r="AE459">
        <v>87</v>
      </c>
      <c r="AF459">
        <v>11.8</v>
      </c>
      <c r="AG459">
        <v>0.61</v>
      </c>
      <c r="AH459">
        <v>0.48599999999999999</v>
      </c>
      <c r="AI459">
        <v>0.24299999999999999</v>
      </c>
      <c r="AJ459">
        <v>0</v>
      </c>
      <c r="AK459">
        <v>8.1</v>
      </c>
      <c r="AL459">
        <v>4.2</v>
      </c>
      <c r="AM459">
        <v>23.8</v>
      </c>
      <c r="AN459">
        <v>0</v>
      </c>
      <c r="AO459">
        <v>1.9</v>
      </c>
      <c r="AP459">
        <v>22.7</v>
      </c>
      <c r="AQ459">
        <v>25.6</v>
      </c>
      <c r="AR459">
        <v>0</v>
      </c>
      <c r="AS459">
        <v>0.1</v>
      </c>
      <c r="AT459">
        <v>0.1</v>
      </c>
      <c r="AU459">
        <v>2.8000000000000001E-2</v>
      </c>
      <c r="AV459">
        <v>-3.1</v>
      </c>
      <c r="AW459">
        <v>-3.6</v>
      </c>
      <c r="AX459">
        <v>-6.7</v>
      </c>
      <c r="AY459">
        <v>-0.1</v>
      </c>
      <c r="AZ459">
        <f t="shared" si="14"/>
        <v>-3.3000000000000003</v>
      </c>
      <c r="BA459">
        <f t="shared" si="15"/>
        <v>-33.186508175948838</v>
      </c>
    </row>
    <row r="460" spans="1:53" hidden="1" x14ac:dyDescent="0.25">
      <c r="A460" t="s">
        <v>543</v>
      </c>
      <c r="B460" s="2">
        <v>96514</v>
      </c>
      <c r="C460" t="s">
        <v>65</v>
      </c>
      <c r="D460">
        <v>24</v>
      </c>
      <c r="E460" t="s">
        <v>63</v>
      </c>
      <c r="F460">
        <v>2</v>
      </c>
      <c r="G460">
        <v>0</v>
      </c>
      <c r="H460">
        <v>3</v>
      </c>
      <c r="I460">
        <v>0.5</v>
      </c>
      <c r="J460">
        <v>1</v>
      </c>
      <c r="K460">
        <v>0.5</v>
      </c>
      <c r="L460">
        <v>0.5</v>
      </c>
      <c r="M460">
        <v>0.5</v>
      </c>
      <c r="N460">
        <v>1</v>
      </c>
      <c r="O460">
        <v>0</v>
      </c>
      <c r="P460">
        <v>0.5</v>
      </c>
      <c r="Q460">
        <v>0</v>
      </c>
      <c r="R460">
        <v>0.75</v>
      </c>
      <c r="S460">
        <v>0</v>
      </c>
      <c r="T460">
        <v>0</v>
      </c>
      <c r="V460">
        <v>0</v>
      </c>
      <c r="W460">
        <v>0</v>
      </c>
      <c r="X460">
        <v>0</v>
      </c>
      <c r="Y460">
        <v>0.5</v>
      </c>
      <c r="Z460">
        <v>0.5</v>
      </c>
      <c r="AA460">
        <v>0</v>
      </c>
      <c r="AB460">
        <v>0</v>
      </c>
      <c r="AC460">
        <v>0.5</v>
      </c>
      <c r="AD460">
        <v>1.5</v>
      </c>
      <c r="AE460">
        <v>6</v>
      </c>
      <c r="AF460">
        <v>24.3</v>
      </c>
      <c r="AG460">
        <v>0.75</v>
      </c>
      <c r="AH460">
        <v>0.5</v>
      </c>
      <c r="AI460">
        <v>0</v>
      </c>
      <c r="AJ460">
        <v>0</v>
      </c>
      <c r="AK460">
        <v>0</v>
      </c>
      <c r="AL460">
        <v>0</v>
      </c>
      <c r="AM460">
        <v>23.5</v>
      </c>
      <c r="AN460">
        <v>8.1</v>
      </c>
      <c r="AO460">
        <v>0</v>
      </c>
      <c r="AP460">
        <v>0</v>
      </c>
      <c r="AQ460">
        <v>14.5</v>
      </c>
      <c r="AR460">
        <v>0</v>
      </c>
      <c r="AS460">
        <v>0</v>
      </c>
      <c r="AT460">
        <v>0</v>
      </c>
      <c r="AU460">
        <v>0.314</v>
      </c>
      <c r="AV460">
        <v>7.7</v>
      </c>
      <c r="AW460">
        <v>9.3000000000000007</v>
      </c>
      <c r="AX460">
        <v>17</v>
      </c>
      <c r="AY460">
        <v>0</v>
      </c>
      <c r="AZ460">
        <f t="shared" si="14"/>
        <v>8.5</v>
      </c>
      <c r="BA460">
        <f t="shared" si="15"/>
        <v>88.070124541517288</v>
      </c>
    </row>
    <row r="461" spans="1:53" hidden="1" x14ac:dyDescent="0.25">
      <c r="A461" t="s">
        <v>544</v>
      </c>
      <c r="B461" s="2">
        <v>58493</v>
      </c>
      <c r="C461" t="s">
        <v>62</v>
      </c>
      <c r="D461">
        <v>23</v>
      </c>
      <c r="E461" t="s">
        <v>201</v>
      </c>
      <c r="F461">
        <v>1</v>
      </c>
      <c r="G461">
        <v>0</v>
      </c>
      <c r="H461">
        <v>2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R461">
        <v>0</v>
      </c>
      <c r="S461">
        <v>2</v>
      </c>
      <c r="T461">
        <v>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1</v>
      </c>
      <c r="AB461">
        <v>0</v>
      </c>
      <c r="AC461">
        <v>0</v>
      </c>
      <c r="AD461">
        <v>2</v>
      </c>
      <c r="AE461">
        <v>2</v>
      </c>
      <c r="AF461">
        <v>65.599999999999994</v>
      </c>
      <c r="AG461">
        <v>0.53200000000000003</v>
      </c>
      <c r="AH461">
        <v>1</v>
      </c>
      <c r="AI461">
        <v>2</v>
      </c>
      <c r="AJ461">
        <v>0</v>
      </c>
      <c r="AK461">
        <v>0</v>
      </c>
      <c r="AL461">
        <v>0</v>
      </c>
      <c r="AM461">
        <v>0</v>
      </c>
      <c r="AN461">
        <v>24.2</v>
      </c>
      <c r="AO461">
        <v>44.1</v>
      </c>
      <c r="AP461">
        <v>0</v>
      </c>
      <c r="AQ461">
        <v>40</v>
      </c>
      <c r="AR461">
        <v>0</v>
      </c>
      <c r="AS461">
        <v>0</v>
      </c>
      <c r="AT461">
        <v>0</v>
      </c>
      <c r="AU461">
        <v>0.626</v>
      </c>
      <c r="AV461">
        <v>15.9</v>
      </c>
      <c r="AW461">
        <v>32.700000000000003</v>
      </c>
      <c r="AX461">
        <v>48.6</v>
      </c>
      <c r="AY461">
        <v>0</v>
      </c>
      <c r="AZ461">
        <f t="shared" si="14"/>
        <v>24.3</v>
      </c>
      <c r="BA461">
        <f t="shared" si="15"/>
        <v>415.43432547484315</v>
      </c>
    </row>
    <row r="462" spans="1:53" hidden="1" x14ac:dyDescent="0.25">
      <c r="A462" t="s">
        <v>545</v>
      </c>
      <c r="B462" s="2">
        <v>52644</v>
      </c>
      <c r="C462" t="s">
        <v>62</v>
      </c>
      <c r="D462">
        <v>23</v>
      </c>
      <c r="E462" t="s">
        <v>70</v>
      </c>
      <c r="F462">
        <v>5</v>
      </c>
      <c r="G462">
        <v>4</v>
      </c>
      <c r="H462">
        <v>25.4</v>
      </c>
      <c r="I462">
        <v>4.8</v>
      </c>
      <c r="J462">
        <v>7.8</v>
      </c>
      <c r="K462">
        <v>0.61499999999999999</v>
      </c>
      <c r="L462">
        <v>0.6</v>
      </c>
      <c r="M462">
        <v>1.6</v>
      </c>
      <c r="N462">
        <v>0.375</v>
      </c>
      <c r="O462">
        <v>4.2</v>
      </c>
      <c r="P462">
        <v>6.2</v>
      </c>
      <c r="Q462">
        <v>0.67700000000000005</v>
      </c>
      <c r="R462">
        <v>0.65400000000000003</v>
      </c>
      <c r="S462">
        <v>0.4</v>
      </c>
      <c r="T462">
        <v>0.6</v>
      </c>
      <c r="U462">
        <v>0.66700000000000004</v>
      </c>
      <c r="V462">
        <v>2</v>
      </c>
      <c r="W462">
        <v>1</v>
      </c>
      <c r="X462">
        <v>3</v>
      </c>
      <c r="Y462">
        <v>2</v>
      </c>
      <c r="Z462">
        <v>0.6</v>
      </c>
      <c r="AA462">
        <v>0.4</v>
      </c>
      <c r="AB462">
        <v>0.8</v>
      </c>
      <c r="AC462">
        <v>2.6</v>
      </c>
      <c r="AD462">
        <v>10.6</v>
      </c>
      <c r="AE462">
        <v>127</v>
      </c>
      <c r="AF462">
        <v>15.5</v>
      </c>
      <c r="AG462">
        <v>0.65700000000000003</v>
      </c>
      <c r="AH462">
        <v>0.20499999999999999</v>
      </c>
      <c r="AI462">
        <v>7.6999999999999999E-2</v>
      </c>
      <c r="AJ462">
        <v>9</v>
      </c>
      <c r="AK462">
        <v>4.5999999999999996</v>
      </c>
      <c r="AL462">
        <v>6.8</v>
      </c>
      <c r="AM462">
        <v>12.1</v>
      </c>
      <c r="AN462">
        <v>1.2</v>
      </c>
      <c r="AO462">
        <v>1.4</v>
      </c>
      <c r="AP462">
        <v>9</v>
      </c>
      <c r="AQ462">
        <v>15.2</v>
      </c>
      <c r="AR462">
        <v>0.3</v>
      </c>
      <c r="AS462">
        <v>0</v>
      </c>
      <c r="AT462">
        <v>0.3</v>
      </c>
      <c r="AU462">
        <v>0.12</v>
      </c>
      <c r="AV462">
        <v>-1</v>
      </c>
      <c r="AW462">
        <v>-2.1</v>
      </c>
      <c r="AX462">
        <v>-3</v>
      </c>
      <c r="AY462">
        <v>0</v>
      </c>
      <c r="AZ462">
        <f t="shared" si="14"/>
        <v>-1.35</v>
      </c>
      <c r="BA462">
        <f t="shared" si="15"/>
        <v>-25.643948028265328</v>
      </c>
    </row>
    <row r="463" spans="1:53" hidden="1" x14ac:dyDescent="0.25">
      <c r="A463" t="s">
        <v>546</v>
      </c>
      <c r="B463" s="2">
        <v>49719</v>
      </c>
      <c r="C463" t="s">
        <v>62</v>
      </c>
      <c r="D463">
        <v>22</v>
      </c>
      <c r="E463" t="s">
        <v>152</v>
      </c>
      <c r="F463">
        <v>2</v>
      </c>
      <c r="G463">
        <v>0</v>
      </c>
      <c r="H463">
        <v>15</v>
      </c>
      <c r="I463">
        <v>2.5</v>
      </c>
      <c r="J463">
        <v>3.5</v>
      </c>
      <c r="K463">
        <v>0.71399999999999997</v>
      </c>
      <c r="L463">
        <v>1</v>
      </c>
      <c r="M463">
        <v>1</v>
      </c>
      <c r="N463">
        <v>1</v>
      </c>
      <c r="O463">
        <v>1.5</v>
      </c>
      <c r="P463">
        <v>2.5</v>
      </c>
      <c r="Q463">
        <v>0.6</v>
      </c>
      <c r="R463">
        <v>0.85699999999999998</v>
      </c>
      <c r="S463">
        <v>0.5</v>
      </c>
      <c r="T463">
        <v>1</v>
      </c>
      <c r="U463">
        <v>0.5</v>
      </c>
      <c r="V463">
        <v>0</v>
      </c>
      <c r="W463">
        <v>3</v>
      </c>
      <c r="X463">
        <v>3</v>
      </c>
      <c r="Y463">
        <v>0.5</v>
      </c>
      <c r="Z463">
        <v>1</v>
      </c>
      <c r="AA463">
        <v>0</v>
      </c>
      <c r="AB463">
        <v>1.5</v>
      </c>
      <c r="AC463">
        <v>1</v>
      </c>
      <c r="AD463">
        <v>6.5</v>
      </c>
      <c r="AE463">
        <v>30</v>
      </c>
      <c r="AF463">
        <v>14.2</v>
      </c>
      <c r="AG463">
        <v>0.82499999999999996</v>
      </c>
      <c r="AH463">
        <v>0.28599999999999998</v>
      </c>
      <c r="AI463">
        <v>0.28599999999999998</v>
      </c>
      <c r="AJ463">
        <v>0</v>
      </c>
      <c r="AK463">
        <v>22.7</v>
      </c>
      <c r="AL463">
        <v>11.3</v>
      </c>
      <c r="AM463">
        <v>5</v>
      </c>
      <c r="AN463">
        <v>3.2</v>
      </c>
      <c r="AO463">
        <v>0</v>
      </c>
      <c r="AP463">
        <v>27.6</v>
      </c>
      <c r="AQ463">
        <v>15.6</v>
      </c>
      <c r="AR463">
        <v>0</v>
      </c>
      <c r="AS463">
        <v>0</v>
      </c>
      <c r="AT463">
        <v>0.1</v>
      </c>
      <c r="AU463">
        <v>8.3000000000000004E-2</v>
      </c>
      <c r="AV463">
        <v>-2.9</v>
      </c>
      <c r="AW463">
        <v>1</v>
      </c>
      <c r="AX463">
        <v>-1.9</v>
      </c>
      <c r="AY463">
        <v>0</v>
      </c>
      <c r="AZ463">
        <f t="shared" si="14"/>
        <v>-0.89999999999999991</v>
      </c>
      <c r="BA463">
        <f t="shared" si="15"/>
        <v>-18.101731732335725</v>
      </c>
    </row>
    <row r="464" spans="1:53" hidden="1" x14ac:dyDescent="0.25">
      <c r="A464" t="s">
        <v>547</v>
      </c>
      <c r="B464" s="2">
        <v>35096</v>
      </c>
      <c r="C464" t="s">
        <v>65</v>
      </c>
      <c r="D464">
        <v>23</v>
      </c>
      <c r="E464" t="s">
        <v>70</v>
      </c>
      <c r="F464">
        <v>4</v>
      </c>
      <c r="G464">
        <v>0</v>
      </c>
      <c r="H464">
        <v>22.3</v>
      </c>
      <c r="I464">
        <v>1.8</v>
      </c>
      <c r="J464">
        <v>5.8</v>
      </c>
      <c r="K464">
        <v>0.30399999999999999</v>
      </c>
      <c r="L464">
        <v>0.8</v>
      </c>
      <c r="M464">
        <v>3</v>
      </c>
      <c r="N464">
        <v>0.25</v>
      </c>
      <c r="O464">
        <v>1</v>
      </c>
      <c r="P464">
        <v>2.8</v>
      </c>
      <c r="Q464">
        <v>0.36399999999999999</v>
      </c>
      <c r="R464">
        <v>0.37</v>
      </c>
      <c r="S464">
        <v>0</v>
      </c>
      <c r="T464">
        <v>0.3</v>
      </c>
      <c r="U464">
        <v>0</v>
      </c>
      <c r="V464">
        <v>0.8</v>
      </c>
      <c r="W464">
        <v>3</v>
      </c>
      <c r="X464">
        <v>3.8</v>
      </c>
      <c r="Y464">
        <v>1</v>
      </c>
      <c r="Z464">
        <v>0.5</v>
      </c>
      <c r="AA464">
        <v>1.3</v>
      </c>
      <c r="AB464">
        <v>1</v>
      </c>
      <c r="AC464">
        <v>2.2999999999999998</v>
      </c>
      <c r="AD464">
        <v>4.3</v>
      </c>
      <c r="AE464">
        <v>89</v>
      </c>
      <c r="AF464">
        <v>4</v>
      </c>
      <c r="AG464">
        <v>0.36299999999999999</v>
      </c>
      <c r="AH464">
        <v>0.52200000000000002</v>
      </c>
      <c r="AI464">
        <v>4.2999999999999997E-2</v>
      </c>
      <c r="AJ464">
        <v>3.8</v>
      </c>
      <c r="AK464">
        <v>15.6</v>
      </c>
      <c r="AL464">
        <v>9.6999999999999993</v>
      </c>
      <c r="AM464">
        <v>5.9</v>
      </c>
      <c r="AN464">
        <v>1.1000000000000001</v>
      </c>
      <c r="AO464">
        <v>5</v>
      </c>
      <c r="AP464">
        <v>14.6</v>
      </c>
      <c r="AQ464">
        <v>13.4</v>
      </c>
      <c r="AR464">
        <v>-0.2</v>
      </c>
      <c r="AS464">
        <v>0.1</v>
      </c>
      <c r="AT464">
        <v>-0.1</v>
      </c>
      <c r="AU464">
        <v>-6.7000000000000004E-2</v>
      </c>
      <c r="AV464">
        <v>-7.2</v>
      </c>
      <c r="AW464">
        <v>-1.9</v>
      </c>
      <c r="AX464">
        <v>-9</v>
      </c>
      <c r="AY464">
        <v>-0.2</v>
      </c>
      <c r="AZ464">
        <f t="shared" si="14"/>
        <v>-4.55</v>
      </c>
      <c r="BA464">
        <f t="shared" si="15"/>
        <v>-129.64440392067473</v>
      </c>
    </row>
    <row r="465" spans="1:53" hidden="1" x14ac:dyDescent="0.25">
      <c r="A465" t="s">
        <v>548</v>
      </c>
      <c r="B465" s="2">
        <v>32795</v>
      </c>
      <c r="C465" t="s">
        <v>62</v>
      </c>
      <c r="D465">
        <v>25</v>
      </c>
      <c r="E465" t="s">
        <v>118</v>
      </c>
      <c r="F465">
        <v>5</v>
      </c>
      <c r="G465">
        <v>0</v>
      </c>
      <c r="H465">
        <v>5.6</v>
      </c>
      <c r="I465">
        <v>0.2</v>
      </c>
      <c r="J465">
        <v>1.2</v>
      </c>
      <c r="K465">
        <v>0.16700000000000001</v>
      </c>
      <c r="L465">
        <v>0.2</v>
      </c>
      <c r="M465">
        <v>1</v>
      </c>
      <c r="N465">
        <v>0.2</v>
      </c>
      <c r="O465">
        <v>0</v>
      </c>
      <c r="P465">
        <v>0.2</v>
      </c>
      <c r="Q465">
        <v>0</v>
      </c>
      <c r="R465">
        <v>0.25</v>
      </c>
      <c r="S465">
        <v>0.4</v>
      </c>
      <c r="T465">
        <v>0.4</v>
      </c>
      <c r="U465">
        <v>1</v>
      </c>
      <c r="V465">
        <v>0.2</v>
      </c>
      <c r="W465">
        <v>0.6</v>
      </c>
      <c r="X465">
        <v>0.8</v>
      </c>
      <c r="Y465">
        <v>1</v>
      </c>
      <c r="Z465">
        <v>0</v>
      </c>
      <c r="AA465">
        <v>0.4</v>
      </c>
      <c r="AB465">
        <v>0.2</v>
      </c>
      <c r="AC465">
        <v>0</v>
      </c>
      <c r="AD465">
        <v>1</v>
      </c>
      <c r="AE465">
        <v>28</v>
      </c>
      <c r="AF465">
        <v>9</v>
      </c>
      <c r="AG465">
        <v>0.36299999999999999</v>
      </c>
      <c r="AH465">
        <v>0.83299999999999996</v>
      </c>
      <c r="AI465">
        <v>0.33300000000000002</v>
      </c>
      <c r="AJ465">
        <v>3.7</v>
      </c>
      <c r="AK465">
        <v>11.7</v>
      </c>
      <c r="AL465">
        <v>7.6</v>
      </c>
      <c r="AM465">
        <v>21.8</v>
      </c>
      <c r="AN465">
        <v>0</v>
      </c>
      <c r="AO465">
        <v>6.2</v>
      </c>
      <c r="AP465">
        <v>12.7</v>
      </c>
      <c r="AQ465">
        <v>11.8</v>
      </c>
      <c r="AR465">
        <v>0</v>
      </c>
      <c r="AS465">
        <v>0</v>
      </c>
      <c r="AT465">
        <v>0</v>
      </c>
      <c r="AU465">
        <v>1.9E-2</v>
      </c>
      <c r="AV465">
        <v>-1</v>
      </c>
      <c r="AW465">
        <v>0.1</v>
      </c>
      <c r="AX465">
        <v>-0.9</v>
      </c>
      <c r="AY465">
        <v>0</v>
      </c>
      <c r="AZ465">
        <f t="shared" si="14"/>
        <v>-0.45</v>
      </c>
      <c r="BA465">
        <f t="shared" si="15"/>
        <v>-13.721603903034</v>
      </c>
    </row>
    <row r="466" spans="1:53" hidden="1" x14ac:dyDescent="0.25">
      <c r="A466" t="s">
        <v>549</v>
      </c>
      <c r="B466" s="2">
        <v>32171</v>
      </c>
      <c r="C466" t="s">
        <v>62</v>
      </c>
      <c r="D466">
        <v>29</v>
      </c>
      <c r="E466" t="s">
        <v>93</v>
      </c>
      <c r="F466">
        <v>3</v>
      </c>
      <c r="G466">
        <v>0</v>
      </c>
      <c r="H466">
        <v>18.7</v>
      </c>
      <c r="I466">
        <v>2.7</v>
      </c>
      <c r="J466">
        <v>7</v>
      </c>
      <c r="K466">
        <v>0.38100000000000001</v>
      </c>
      <c r="L466">
        <v>2</v>
      </c>
      <c r="M466">
        <v>6</v>
      </c>
      <c r="N466">
        <v>0.33300000000000002</v>
      </c>
      <c r="O466">
        <v>0.7</v>
      </c>
      <c r="P466">
        <v>1</v>
      </c>
      <c r="Q466">
        <v>0.66700000000000004</v>
      </c>
      <c r="R466">
        <v>0.52400000000000002</v>
      </c>
      <c r="S466">
        <v>0.7</v>
      </c>
      <c r="T466">
        <v>0.7</v>
      </c>
      <c r="U466">
        <v>1</v>
      </c>
      <c r="V466">
        <v>0</v>
      </c>
      <c r="W466">
        <v>2</v>
      </c>
      <c r="X466">
        <v>2</v>
      </c>
      <c r="Y466">
        <v>1.7</v>
      </c>
      <c r="Z466">
        <v>0.7</v>
      </c>
      <c r="AA466">
        <v>0</v>
      </c>
      <c r="AB466">
        <v>0</v>
      </c>
      <c r="AC466">
        <v>1.7</v>
      </c>
      <c r="AD466">
        <v>8</v>
      </c>
      <c r="AE466">
        <v>56</v>
      </c>
      <c r="AF466">
        <v>11.8</v>
      </c>
      <c r="AG466">
        <v>0.54800000000000004</v>
      </c>
      <c r="AH466">
        <v>0.85699999999999998</v>
      </c>
      <c r="AI466">
        <v>9.5000000000000001E-2</v>
      </c>
      <c r="AJ466">
        <v>0</v>
      </c>
      <c r="AK466">
        <v>11.9</v>
      </c>
      <c r="AL466">
        <v>5.9</v>
      </c>
      <c r="AM466">
        <v>12.3</v>
      </c>
      <c r="AN466">
        <v>1.7</v>
      </c>
      <c r="AO466">
        <v>0</v>
      </c>
      <c r="AP466">
        <v>0</v>
      </c>
      <c r="AQ466">
        <v>16.399999999999999</v>
      </c>
      <c r="AR466">
        <v>0.1</v>
      </c>
      <c r="AS466">
        <v>0</v>
      </c>
      <c r="AT466">
        <v>0.1</v>
      </c>
      <c r="AU466">
        <v>9.0999999999999998E-2</v>
      </c>
      <c r="AV466">
        <v>-1.7</v>
      </c>
      <c r="AW466">
        <v>-1.8</v>
      </c>
      <c r="AX466">
        <v>-3.5</v>
      </c>
      <c r="AY466">
        <v>0</v>
      </c>
      <c r="AZ466">
        <f t="shared" si="14"/>
        <v>-1.7</v>
      </c>
      <c r="BA466">
        <f t="shared" si="15"/>
        <v>-52.842622237418794</v>
      </c>
    </row>
    <row r="467" spans="1:53" hidden="1" x14ac:dyDescent="0.25">
      <c r="A467" t="s">
        <v>550</v>
      </c>
      <c r="B467" s="2">
        <v>5849</v>
      </c>
      <c r="C467" t="s">
        <v>28</v>
      </c>
      <c r="D467">
        <v>23</v>
      </c>
      <c r="E467" t="s">
        <v>89</v>
      </c>
      <c r="F467">
        <v>1</v>
      </c>
      <c r="G467">
        <v>0</v>
      </c>
      <c r="H467">
        <v>35</v>
      </c>
      <c r="I467">
        <v>6</v>
      </c>
      <c r="J467">
        <v>12</v>
      </c>
      <c r="K467">
        <v>0.5</v>
      </c>
      <c r="L467">
        <v>2</v>
      </c>
      <c r="M467">
        <v>5</v>
      </c>
      <c r="N467">
        <v>0.4</v>
      </c>
      <c r="O467">
        <v>4</v>
      </c>
      <c r="P467">
        <v>7</v>
      </c>
      <c r="Q467">
        <v>0.57099999999999995</v>
      </c>
      <c r="R467">
        <v>0.58299999999999996</v>
      </c>
      <c r="S467">
        <v>2</v>
      </c>
      <c r="T467">
        <v>2</v>
      </c>
      <c r="U467">
        <v>1</v>
      </c>
      <c r="V467">
        <v>3</v>
      </c>
      <c r="W467">
        <v>6</v>
      </c>
      <c r="X467">
        <v>9</v>
      </c>
      <c r="Y467">
        <v>7</v>
      </c>
      <c r="Z467">
        <v>0</v>
      </c>
      <c r="AA467">
        <v>1</v>
      </c>
      <c r="AB467">
        <v>4</v>
      </c>
      <c r="AC467">
        <v>5</v>
      </c>
      <c r="AD467">
        <v>16</v>
      </c>
      <c r="AE467">
        <v>35</v>
      </c>
      <c r="AF467">
        <v>15.5</v>
      </c>
      <c r="AG467">
        <v>0.621</v>
      </c>
      <c r="AH467">
        <v>0.41699999999999998</v>
      </c>
      <c r="AI467">
        <v>0.16700000000000001</v>
      </c>
      <c r="AJ467">
        <v>9.9</v>
      </c>
      <c r="AK467">
        <v>18.8</v>
      </c>
      <c r="AL467">
        <v>14.4</v>
      </c>
      <c r="AM467">
        <v>29</v>
      </c>
      <c r="AN467">
        <v>0</v>
      </c>
      <c r="AO467">
        <v>2.4</v>
      </c>
      <c r="AP467">
        <v>23.7</v>
      </c>
      <c r="AQ467">
        <v>21.4</v>
      </c>
      <c r="AR467">
        <v>0</v>
      </c>
      <c r="AS467">
        <v>0</v>
      </c>
      <c r="AT467">
        <v>0.1</v>
      </c>
      <c r="AU467">
        <v>0.106</v>
      </c>
      <c r="AV467">
        <v>-0.6</v>
      </c>
      <c r="AW467">
        <v>-1.4</v>
      </c>
      <c r="AX467">
        <v>-2</v>
      </c>
      <c r="AY467">
        <v>0</v>
      </c>
      <c r="AZ467">
        <f t="shared" si="14"/>
        <v>-0.95</v>
      </c>
      <c r="BA467">
        <f t="shared" si="15"/>
        <v>-162.42092665412892</v>
      </c>
    </row>
    <row r="468" spans="1:53" hidden="1" x14ac:dyDescent="0.25">
      <c r="A468" t="s">
        <v>551</v>
      </c>
      <c r="B468" s="2">
        <v>5849</v>
      </c>
      <c r="C468" t="s">
        <v>52</v>
      </c>
      <c r="D468">
        <v>24</v>
      </c>
      <c r="E468" t="s">
        <v>150</v>
      </c>
      <c r="F468">
        <v>1</v>
      </c>
      <c r="G468">
        <v>0</v>
      </c>
      <c r="H468">
        <v>41</v>
      </c>
      <c r="I468">
        <v>1</v>
      </c>
      <c r="J468">
        <v>3</v>
      </c>
      <c r="K468">
        <v>0.33300000000000002</v>
      </c>
      <c r="L468">
        <v>1</v>
      </c>
      <c r="M468">
        <v>3</v>
      </c>
      <c r="N468">
        <v>0.33300000000000002</v>
      </c>
      <c r="O468">
        <v>0</v>
      </c>
      <c r="P468">
        <v>0</v>
      </c>
      <c r="R468">
        <v>0.5</v>
      </c>
      <c r="S468">
        <v>0</v>
      </c>
      <c r="T468">
        <v>0</v>
      </c>
      <c r="V468">
        <v>0</v>
      </c>
      <c r="W468">
        <v>4</v>
      </c>
      <c r="X468">
        <v>4</v>
      </c>
      <c r="Y468">
        <v>7</v>
      </c>
      <c r="Z468">
        <v>3</v>
      </c>
      <c r="AA468">
        <v>0</v>
      </c>
      <c r="AB468">
        <v>2</v>
      </c>
      <c r="AC468">
        <v>3</v>
      </c>
      <c r="AD468">
        <v>3</v>
      </c>
      <c r="AE468">
        <v>41</v>
      </c>
      <c r="AF468">
        <v>7.3</v>
      </c>
      <c r="AG468">
        <v>0.5</v>
      </c>
      <c r="AH468">
        <v>1</v>
      </c>
      <c r="AI468">
        <v>0</v>
      </c>
      <c r="AJ468">
        <v>0</v>
      </c>
      <c r="AK468">
        <v>10.3</v>
      </c>
      <c r="AL468">
        <v>5.2</v>
      </c>
      <c r="AM468">
        <v>19.399999999999999</v>
      </c>
      <c r="AN468">
        <v>3.5</v>
      </c>
      <c r="AO468">
        <v>0</v>
      </c>
      <c r="AP468">
        <v>40</v>
      </c>
      <c r="AQ468">
        <v>5.0999999999999996</v>
      </c>
      <c r="AR468">
        <v>0</v>
      </c>
      <c r="AS468">
        <v>0.1</v>
      </c>
      <c r="AT468">
        <v>0.1</v>
      </c>
      <c r="AU468">
        <v>7.9000000000000001E-2</v>
      </c>
      <c r="AV468">
        <v>-7.8</v>
      </c>
      <c r="AW468">
        <v>1.7</v>
      </c>
      <c r="AX468">
        <v>-6.1</v>
      </c>
      <c r="AY468">
        <v>0</v>
      </c>
      <c r="AZ468">
        <f t="shared" si="14"/>
        <v>-3</v>
      </c>
      <c r="BA468">
        <f t="shared" si="15"/>
        <v>-512.90818943409124</v>
      </c>
    </row>
  </sheetData>
  <autoFilter ref="A1:BA468" xr:uid="{AF1AC3E8-9CA4-4573-BFC7-FAEE5B5406E7}">
    <filterColumn colId="30">
      <customFilters>
        <customFilter operator="greaterThanOrEqual" val="1000"/>
      </customFilters>
    </filterColumn>
    <filterColumn colId="51">
      <customFilters>
        <customFilter operator="greaterThanOrEqual" val="0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F972-2B69-40B3-8194-5CC22DB17D66}">
  <dimension ref="A1:BO324"/>
  <sheetViews>
    <sheetView zoomScale="95" workbookViewId="0">
      <pane xSplit="3" topLeftCell="AW1" activePane="topRight" state="frozen"/>
      <selection pane="topRight" activeCell="AZ2" sqref="AZ2"/>
    </sheetView>
  </sheetViews>
  <sheetFormatPr defaultRowHeight="15" x14ac:dyDescent="0.25"/>
  <cols>
    <col min="1" max="1" width="24.28515625" bestFit="1" customWidth="1"/>
    <col min="2" max="2" width="15.28515625" bestFit="1" customWidth="1"/>
    <col min="3" max="3" width="8.42578125" bestFit="1" customWidth="1"/>
    <col min="4" max="4" width="4.28515625" bestFit="1" customWidth="1"/>
    <col min="5" max="5" width="5.85546875" bestFit="1" customWidth="1"/>
    <col min="6" max="7" width="3.5703125" bestFit="1" customWidth="1"/>
    <col min="8" max="10" width="5" bestFit="1" customWidth="1"/>
    <col min="11" max="11" width="6" bestFit="1" customWidth="1"/>
    <col min="12" max="12" width="4" bestFit="1" customWidth="1"/>
    <col min="13" max="13" width="5" bestFit="1" customWidth="1"/>
    <col min="14" max="14" width="6" bestFit="1" customWidth="1"/>
    <col min="15" max="16" width="5" bestFit="1" customWidth="1"/>
    <col min="17" max="17" width="6" bestFit="1" customWidth="1"/>
    <col min="18" max="18" width="6.140625" bestFit="1" customWidth="1"/>
    <col min="19" max="19" width="4" bestFit="1" customWidth="1"/>
    <col min="20" max="20" width="5" bestFit="1" customWidth="1"/>
    <col min="21" max="21" width="6" bestFit="1" customWidth="1"/>
    <col min="22" max="23" width="4.85546875" bestFit="1" customWidth="1"/>
    <col min="24" max="25" width="5" bestFit="1" customWidth="1"/>
    <col min="26" max="26" width="4.140625" bestFit="1" customWidth="1"/>
    <col min="27" max="27" width="4.28515625" bestFit="1" customWidth="1"/>
    <col min="28" max="28" width="4.5703125" bestFit="1" customWidth="1"/>
    <col min="29" max="29" width="4" bestFit="1" customWidth="1"/>
    <col min="30" max="30" width="5" bestFit="1" customWidth="1"/>
    <col min="31" max="31" width="13.28515625" bestFit="1" customWidth="1"/>
    <col min="32" max="32" width="5" bestFit="1" customWidth="1"/>
    <col min="33" max="35" width="6" bestFit="1" customWidth="1"/>
    <col min="36" max="37" width="6.42578125" bestFit="1" customWidth="1"/>
    <col min="38" max="38" width="6" bestFit="1" customWidth="1"/>
    <col min="39" max="39" width="5.85546875" bestFit="1" customWidth="1"/>
    <col min="40" max="40" width="5.7109375" bestFit="1" customWidth="1"/>
    <col min="41" max="41" width="5.85546875" bestFit="1" customWidth="1"/>
    <col min="42" max="42" width="6.140625" bestFit="1" customWidth="1"/>
    <col min="43" max="43" width="6.42578125" bestFit="1" customWidth="1"/>
    <col min="44" max="45" width="5.42578125" bestFit="1" customWidth="1"/>
    <col min="46" max="46" width="5" bestFit="1" customWidth="1"/>
    <col min="47" max="47" width="6.7109375" bestFit="1" customWidth="1"/>
    <col min="48" max="49" width="6.28515625" bestFit="1" customWidth="1"/>
    <col min="50" max="50" width="4.85546875" bestFit="1" customWidth="1"/>
    <col min="51" max="51" width="6" bestFit="1" customWidth="1"/>
    <col min="52" max="52" width="9.140625" customWidth="1"/>
    <col min="53" max="53" width="15.5703125" customWidth="1"/>
    <col min="54" max="54" width="16.85546875" bestFit="1" customWidth="1"/>
    <col min="56" max="56" width="11.5703125" bestFit="1" customWidth="1"/>
    <col min="57" max="57" width="16.28515625" bestFit="1" customWidth="1"/>
    <col min="58" max="58" width="12.28515625" bestFit="1" customWidth="1"/>
    <col min="59" max="60" width="10" bestFit="1" customWidth="1"/>
    <col min="64" max="64" width="17.42578125" bestFit="1" customWidth="1"/>
    <col min="65" max="65" width="11.14062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552</v>
      </c>
      <c r="BA1" s="7" t="s">
        <v>553</v>
      </c>
      <c r="BB1" s="1" t="s">
        <v>554</v>
      </c>
      <c r="BD1" s="1" t="s">
        <v>555</v>
      </c>
      <c r="BE1" s="1" t="s">
        <v>557</v>
      </c>
      <c r="BF1" s="1" t="s">
        <v>556</v>
      </c>
      <c r="BG1" s="1" t="s">
        <v>558</v>
      </c>
      <c r="BH1" s="1" t="s">
        <v>559</v>
      </c>
      <c r="BI1" s="1" t="s">
        <v>560</v>
      </c>
      <c r="BJ1" s="1" t="s">
        <v>561</v>
      </c>
      <c r="BK1" s="1" t="s">
        <v>562</v>
      </c>
      <c r="BL1" s="1" t="s">
        <v>563</v>
      </c>
      <c r="BM1" s="1" t="s">
        <v>564</v>
      </c>
    </row>
    <row r="2" spans="1:67" x14ac:dyDescent="0.25">
      <c r="A2" t="s">
        <v>136</v>
      </c>
      <c r="B2" s="2">
        <v>21100000</v>
      </c>
      <c r="C2" t="s">
        <v>75</v>
      </c>
      <c r="D2">
        <v>26</v>
      </c>
      <c r="E2" t="s">
        <v>116</v>
      </c>
      <c r="F2">
        <v>79</v>
      </c>
      <c r="G2">
        <v>79</v>
      </c>
      <c r="H2">
        <v>34.6</v>
      </c>
      <c r="I2">
        <v>7.3</v>
      </c>
      <c r="J2">
        <v>11.9</v>
      </c>
      <c r="K2">
        <v>0.61499999999999999</v>
      </c>
      <c r="L2">
        <v>0.4</v>
      </c>
      <c r="M2">
        <v>1.1000000000000001</v>
      </c>
      <c r="N2">
        <v>0.373</v>
      </c>
      <c r="O2">
        <v>6.9</v>
      </c>
      <c r="P2">
        <v>10.8</v>
      </c>
      <c r="Q2">
        <v>0.63900000000000001</v>
      </c>
      <c r="R2">
        <v>0.63200000000000001</v>
      </c>
      <c r="S2">
        <v>4.0999999999999996</v>
      </c>
      <c r="T2">
        <v>5.5</v>
      </c>
      <c r="U2">
        <v>0.74199999999999999</v>
      </c>
      <c r="V2">
        <v>3.2</v>
      </c>
      <c r="W2">
        <v>9.1</v>
      </c>
      <c r="X2">
        <v>12.3</v>
      </c>
      <c r="Y2">
        <v>7.3</v>
      </c>
      <c r="Z2">
        <v>0.8</v>
      </c>
      <c r="AA2">
        <v>0.5</v>
      </c>
      <c r="AB2">
        <v>2.9</v>
      </c>
      <c r="AC2">
        <v>3.5</v>
      </c>
      <c r="AD2">
        <v>19.100000000000001</v>
      </c>
      <c r="AE2">
        <v>2736</v>
      </c>
      <c r="AF2">
        <v>23.5</v>
      </c>
      <c r="AG2">
        <v>0.66800000000000004</v>
      </c>
      <c r="AH2">
        <v>8.7999999999999995E-2</v>
      </c>
      <c r="AI2">
        <v>0.46700000000000003</v>
      </c>
      <c r="AJ2">
        <v>10.6</v>
      </c>
      <c r="AK2">
        <v>30</v>
      </c>
      <c r="AL2">
        <v>20.3</v>
      </c>
      <c r="AM2">
        <v>30.4</v>
      </c>
      <c r="AN2">
        <v>1.1000000000000001</v>
      </c>
      <c r="AO2">
        <v>1.2</v>
      </c>
      <c r="AP2">
        <v>16.899999999999999</v>
      </c>
      <c r="AQ2">
        <v>21.3</v>
      </c>
      <c r="AR2">
        <v>9.6</v>
      </c>
      <c r="AS2">
        <v>3</v>
      </c>
      <c r="AT2">
        <v>12.6</v>
      </c>
      <c r="AU2">
        <v>0.221</v>
      </c>
      <c r="AV2">
        <v>4.0999999999999996</v>
      </c>
      <c r="AW2">
        <v>1.8</v>
      </c>
      <c r="AX2">
        <v>5.8</v>
      </c>
      <c r="AY2">
        <v>5.4</v>
      </c>
      <c r="AZ2" s="8">
        <v>9.1999999999999993</v>
      </c>
      <c r="BA2" s="8">
        <v>0.43601895734597157</v>
      </c>
      <c r="BB2" s="3">
        <v>1</v>
      </c>
      <c r="BD2" s="13">
        <f>SUMPRODUCT(AZ2:AZ193, BB2:BB193)</f>
        <v>68.997044465698295</v>
      </c>
      <c r="BE2" s="11">
        <f>SUMPRODUCT(B2:B193, BB2:BB193)</f>
        <v>153999999.99999997</v>
      </c>
      <c r="BF2" s="5">
        <f>SUM(BB2:BB193)</f>
        <v>12</v>
      </c>
      <c r="BG2" s="5" cm="1">
        <f t="array" ref="BG2">SUMPRODUCT(BB2:BB193, --(C2:C193="PG"))</f>
        <v>2</v>
      </c>
      <c r="BH2" s="5" cm="1">
        <f t="array" ref="BH2">SUMPRODUCT(BB2:BB193, --(C2:C193="SG"))</f>
        <v>3</v>
      </c>
      <c r="BI2" s="5" cm="1">
        <f t="array" ref="BI2">SUMPRODUCT(BB2:BB193, --(C2:C193="SF"))</f>
        <v>2</v>
      </c>
      <c r="BJ2" s="5" cm="1">
        <f t="array" ref="BJ2">SUMPRODUCT(BB2:BB193, --(C2:C193="PF"))</f>
        <v>2</v>
      </c>
      <c r="BK2" s="5" cm="1">
        <f t="array" ref="BK2">SUMPRODUCT(BB2:BB193, --(C2:C193="C"))</f>
        <v>3</v>
      </c>
      <c r="BL2" s="12">
        <v>154000000</v>
      </c>
      <c r="BM2" s="4">
        <v>12</v>
      </c>
    </row>
    <row r="3" spans="1:67" x14ac:dyDescent="0.25">
      <c r="A3" t="s">
        <v>229</v>
      </c>
      <c r="B3" s="2">
        <v>8478720</v>
      </c>
      <c r="C3" t="s">
        <v>28</v>
      </c>
      <c r="D3">
        <v>21</v>
      </c>
      <c r="E3" t="s">
        <v>107</v>
      </c>
      <c r="F3">
        <v>79</v>
      </c>
      <c r="G3">
        <v>79</v>
      </c>
      <c r="H3">
        <v>34.4</v>
      </c>
      <c r="I3">
        <v>6.6</v>
      </c>
      <c r="J3">
        <v>12</v>
      </c>
      <c r="K3">
        <v>0.55400000000000005</v>
      </c>
      <c r="L3">
        <v>0.3</v>
      </c>
      <c r="M3">
        <v>1.3</v>
      </c>
      <c r="N3">
        <v>0.216</v>
      </c>
      <c r="O3">
        <v>6.4</v>
      </c>
      <c r="P3">
        <v>10.7</v>
      </c>
      <c r="Q3">
        <v>0.59499999999999997</v>
      </c>
      <c r="R3">
        <v>0.56599999999999995</v>
      </c>
      <c r="S3">
        <v>2.6</v>
      </c>
      <c r="T3">
        <v>3.8</v>
      </c>
      <c r="U3">
        <v>0.67400000000000004</v>
      </c>
      <c r="V3">
        <v>2.4</v>
      </c>
      <c r="W3">
        <v>6.6</v>
      </c>
      <c r="X3">
        <v>9</v>
      </c>
      <c r="Y3">
        <v>2.8</v>
      </c>
      <c r="Z3">
        <v>0.8</v>
      </c>
      <c r="AA3">
        <v>1.5</v>
      </c>
      <c r="AB3">
        <v>1.8</v>
      </c>
      <c r="AC3">
        <v>2.8</v>
      </c>
      <c r="AD3">
        <v>16.2</v>
      </c>
      <c r="AE3">
        <v>2715</v>
      </c>
      <c r="AF3">
        <v>17.899999999999999</v>
      </c>
      <c r="AG3">
        <v>0.59099999999999997</v>
      </c>
      <c r="AH3">
        <v>0.108</v>
      </c>
      <c r="AI3">
        <v>0.32100000000000001</v>
      </c>
      <c r="AJ3">
        <v>8.1</v>
      </c>
      <c r="AK3">
        <v>22.7</v>
      </c>
      <c r="AL3">
        <v>15.4</v>
      </c>
      <c r="AM3">
        <v>12.4</v>
      </c>
      <c r="AN3">
        <v>1.1000000000000001</v>
      </c>
      <c r="AO3">
        <v>4</v>
      </c>
      <c r="AP3">
        <v>11.9</v>
      </c>
      <c r="AQ3">
        <v>20.2</v>
      </c>
      <c r="AR3">
        <v>3.7</v>
      </c>
      <c r="AS3">
        <v>4.8</v>
      </c>
      <c r="AT3">
        <v>8.5</v>
      </c>
      <c r="AU3">
        <v>0.151</v>
      </c>
      <c r="AV3">
        <v>0</v>
      </c>
      <c r="AW3">
        <v>1.6</v>
      </c>
      <c r="AX3">
        <v>1.7</v>
      </c>
      <c r="AY3">
        <v>2.5</v>
      </c>
      <c r="AZ3" s="8">
        <v>5.0999999999999996</v>
      </c>
      <c r="BA3" s="8">
        <v>0.60150588768115942</v>
      </c>
      <c r="BB3" s="3">
        <v>1</v>
      </c>
      <c r="BL3" s="4" t="s">
        <v>582</v>
      </c>
      <c r="BM3" s="4" t="s">
        <v>581</v>
      </c>
      <c r="BN3" s="4">
        <v>1</v>
      </c>
      <c r="BO3" t="s">
        <v>584</v>
      </c>
    </row>
    <row r="4" spans="1:67" x14ac:dyDescent="0.25">
      <c r="A4" t="s">
        <v>235</v>
      </c>
      <c r="B4" s="2">
        <v>8000000</v>
      </c>
      <c r="C4" t="s">
        <v>75</v>
      </c>
      <c r="D4">
        <v>26</v>
      </c>
      <c r="E4" t="s">
        <v>53</v>
      </c>
      <c r="F4">
        <v>82</v>
      </c>
      <c r="G4">
        <v>70</v>
      </c>
      <c r="H4">
        <v>23.9</v>
      </c>
      <c r="I4">
        <v>3</v>
      </c>
      <c r="J4">
        <v>4.7</v>
      </c>
      <c r="K4">
        <v>0.63</v>
      </c>
      <c r="L4">
        <v>0</v>
      </c>
      <c r="M4">
        <v>0</v>
      </c>
      <c r="N4">
        <v>0</v>
      </c>
      <c r="O4">
        <v>3</v>
      </c>
      <c r="P4">
        <v>4.7</v>
      </c>
      <c r="Q4">
        <v>0.63200000000000001</v>
      </c>
      <c r="R4">
        <v>0.63</v>
      </c>
      <c r="S4">
        <v>1.1000000000000001</v>
      </c>
      <c r="T4">
        <v>1.9</v>
      </c>
      <c r="U4">
        <v>0.60599999999999998</v>
      </c>
      <c r="V4">
        <v>3.3</v>
      </c>
      <c r="W4">
        <v>5.9</v>
      </c>
      <c r="X4">
        <v>9.3000000000000007</v>
      </c>
      <c r="Y4">
        <v>2.5</v>
      </c>
      <c r="Z4">
        <v>0.6</v>
      </c>
      <c r="AA4">
        <v>0.6</v>
      </c>
      <c r="AB4">
        <v>0.5</v>
      </c>
      <c r="AC4">
        <v>2.7</v>
      </c>
      <c r="AD4">
        <v>7</v>
      </c>
      <c r="AE4">
        <v>1958</v>
      </c>
      <c r="AF4">
        <v>17.8</v>
      </c>
      <c r="AG4">
        <v>0.63900000000000001</v>
      </c>
      <c r="AH4">
        <v>3.0000000000000001E-3</v>
      </c>
      <c r="AI4">
        <v>0.40400000000000003</v>
      </c>
      <c r="AJ4">
        <v>15.7</v>
      </c>
      <c r="AK4">
        <v>26.8</v>
      </c>
      <c r="AL4">
        <v>21.4</v>
      </c>
      <c r="AM4">
        <v>13.8</v>
      </c>
      <c r="AN4">
        <v>1.3</v>
      </c>
      <c r="AO4">
        <v>2.2000000000000002</v>
      </c>
      <c r="AP4">
        <v>9.1</v>
      </c>
      <c r="AQ4">
        <v>10.6</v>
      </c>
      <c r="AR4">
        <v>5.9</v>
      </c>
      <c r="AS4">
        <v>2.8</v>
      </c>
      <c r="AT4">
        <v>8.6999999999999993</v>
      </c>
      <c r="AU4">
        <v>0.21199999999999999</v>
      </c>
      <c r="AV4">
        <v>0.9</v>
      </c>
      <c r="AW4">
        <v>1.3</v>
      </c>
      <c r="AX4">
        <v>2.1</v>
      </c>
      <c r="AY4">
        <v>2</v>
      </c>
      <c r="AZ4" s="8">
        <v>5.3999999999999995</v>
      </c>
      <c r="BA4" s="8">
        <v>0.67499999999999993</v>
      </c>
      <c r="BB4" s="3">
        <v>1</v>
      </c>
      <c r="BL4" s="4" t="s">
        <v>583</v>
      </c>
      <c r="BM4" s="4" t="s">
        <v>581</v>
      </c>
      <c r="BN4" s="4">
        <v>1</v>
      </c>
      <c r="BO4" t="s">
        <v>585</v>
      </c>
    </row>
    <row r="5" spans="1:67" x14ac:dyDescent="0.25">
      <c r="A5" t="s">
        <v>301</v>
      </c>
      <c r="B5" s="2">
        <v>4215120</v>
      </c>
      <c r="C5" t="s">
        <v>52</v>
      </c>
      <c r="D5">
        <v>22</v>
      </c>
      <c r="E5" t="s">
        <v>93</v>
      </c>
      <c r="F5">
        <v>56</v>
      </c>
      <c r="G5">
        <v>56</v>
      </c>
      <c r="H5">
        <v>33.6</v>
      </c>
      <c r="I5">
        <v>7.4</v>
      </c>
      <c r="J5">
        <v>15</v>
      </c>
      <c r="K5">
        <v>0.49</v>
      </c>
      <c r="L5">
        <v>2.9</v>
      </c>
      <c r="M5">
        <v>7.2</v>
      </c>
      <c r="N5">
        <v>0.4</v>
      </c>
      <c r="O5">
        <v>4.5</v>
      </c>
      <c r="P5">
        <v>7.8</v>
      </c>
      <c r="Q5">
        <v>0.57199999999999995</v>
      </c>
      <c r="R5">
        <v>0.58599999999999997</v>
      </c>
      <c r="S5">
        <v>3.1</v>
      </c>
      <c r="T5">
        <v>3.6</v>
      </c>
      <c r="U5">
        <v>0.871</v>
      </c>
      <c r="V5">
        <v>0.6</v>
      </c>
      <c r="W5">
        <v>3.1</v>
      </c>
      <c r="X5">
        <v>3.7</v>
      </c>
      <c r="Y5">
        <v>10.4</v>
      </c>
      <c r="Z5">
        <v>1.6</v>
      </c>
      <c r="AA5">
        <v>0.4</v>
      </c>
      <c r="AB5">
        <v>2.5</v>
      </c>
      <c r="AC5">
        <v>1.2</v>
      </c>
      <c r="AD5">
        <v>20.7</v>
      </c>
      <c r="AE5">
        <v>1883</v>
      </c>
      <c r="AF5">
        <v>23.6</v>
      </c>
      <c r="AG5">
        <v>0.624</v>
      </c>
      <c r="AH5">
        <v>0.47799999999999998</v>
      </c>
      <c r="AI5">
        <v>0.23899999999999999</v>
      </c>
      <c r="AJ5">
        <v>1.9</v>
      </c>
      <c r="AK5">
        <v>10.1</v>
      </c>
      <c r="AL5">
        <v>6</v>
      </c>
      <c r="AM5">
        <v>47.6</v>
      </c>
      <c r="AN5">
        <v>2.2999999999999998</v>
      </c>
      <c r="AO5">
        <v>1.1000000000000001</v>
      </c>
      <c r="AP5">
        <v>13.2</v>
      </c>
      <c r="AQ5">
        <v>23.8</v>
      </c>
      <c r="AR5">
        <v>6.4</v>
      </c>
      <c r="AS5">
        <v>1.2</v>
      </c>
      <c r="AT5">
        <v>7.6</v>
      </c>
      <c r="AU5">
        <v>0.19500000000000001</v>
      </c>
      <c r="AV5">
        <v>7</v>
      </c>
      <c r="AW5">
        <v>0.2</v>
      </c>
      <c r="AX5">
        <v>7.2</v>
      </c>
      <c r="AY5">
        <v>4.4000000000000004</v>
      </c>
      <c r="AZ5" s="8">
        <v>7.4</v>
      </c>
      <c r="BA5" s="8">
        <v>1.7555846571390612</v>
      </c>
      <c r="BB5" s="3">
        <v>1</v>
      </c>
    </row>
    <row r="6" spans="1:67" x14ac:dyDescent="0.25">
      <c r="A6" t="s">
        <v>357</v>
      </c>
      <c r="B6" s="2">
        <v>2696400</v>
      </c>
      <c r="C6" t="s">
        <v>75</v>
      </c>
      <c r="D6">
        <v>21</v>
      </c>
      <c r="E6" t="s">
        <v>130</v>
      </c>
      <c r="F6">
        <v>74</v>
      </c>
      <c r="G6">
        <v>40</v>
      </c>
      <c r="H6">
        <v>23</v>
      </c>
      <c r="I6">
        <v>4</v>
      </c>
      <c r="J6">
        <v>5.6</v>
      </c>
      <c r="K6">
        <v>0.72</v>
      </c>
      <c r="L6">
        <v>0</v>
      </c>
      <c r="M6">
        <v>0</v>
      </c>
      <c r="N6">
        <v>0.33300000000000002</v>
      </c>
      <c r="O6">
        <v>4</v>
      </c>
      <c r="P6">
        <v>5.6</v>
      </c>
      <c r="Q6">
        <v>0.72299999999999998</v>
      </c>
      <c r="R6">
        <v>0.72099999999999997</v>
      </c>
      <c r="S6">
        <v>1.1000000000000001</v>
      </c>
      <c r="T6">
        <v>2.1</v>
      </c>
      <c r="U6">
        <v>0.51600000000000001</v>
      </c>
      <c r="V6">
        <v>3.1</v>
      </c>
      <c r="W6">
        <v>5.3</v>
      </c>
      <c r="X6">
        <v>8.4</v>
      </c>
      <c r="Y6">
        <v>0.9</v>
      </c>
      <c r="Z6">
        <v>0.4</v>
      </c>
      <c r="AA6">
        <v>2.2999999999999998</v>
      </c>
      <c r="AB6">
        <v>0.8</v>
      </c>
      <c r="AC6">
        <v>2.2999999999999998</v>
      </c>
      <c r="AD6">
        <v>9.1999999999999993</v>
      </c>
      <c r="AE6">
        <v>1703</v>
      </c>
      <c r="AF6">
        <v>21.5</v>
      </c>
      <c r="AG6">
        <v>0.70199999999999996</v>
      </c>
      <c r="AH6">
        <v>7.0000000000000001E-3</v>
      </c>
      <c r="AI6">
        <v>0.38400000000000001</v>
      </c>
      <c r="AJ6">
        <v>14.9</v>
      </c>
      <c r="AK6">
        <v>24.4</v>
      </c>
      <c r="AL6">
        <v>19.7</v>
      </c>
      <c r="AM6">
        <v>5.7</v>
      </c>
      <c r="AN6">
        <v>0.7</v>
      </c>
      <c r="AO6">
        <v>8.6</v>
      </c>
      <c r="AP6">
        <v>10.7</v>
      </c>
      <c r="AQ6">
        <v>13.3</v>
      </c>
      <c r="AR6">
        <v>4.5999999999999996</v>
      </c>
      <c r="AS6">
        <v>2.5</v>
      </c>
      <c r="AT6">
        <v>7.1</v>
      </c>
      <c r="AU6">
        <v>0.2</v>
      </c>
      <c r="AV6">
        <v>1.4</v>
      </c>
      <c r="AW6">
        <v>1.5</v>
      </c>
      <c r="AX6">
        <v>2.9</v>
      </c>
      <c r="AY6">
        <v>2.1</v>
      </c>
      <c r="AZ6" s="8">
        <v>5</v>
      </c>
      <c r="BA6" s="8">
        <v>1.8543242842308263</v>
      </c>
      <c r="BB6" s="3">
        <v>1</v>
      </c>
    </row>
    <row r="7" spans="1:67" x14ac:dyDescent="0.25">
      <c r="A7" t="s">
        <v>374</v>
      </c>
      <c r="B7" s="2">
        <v>2316240</v>
      </c>
      <c r="C7" t="s">
        <v>62</v>
      </c>
      <c r="D7">
        <v>23</v>
      </c>
      <c r="E7" t="s">
        <v>123</v>
      </c>
      <c r="F7">
        <v>81</v>
      </c>
      <c r="G7">
        <v>21</v>
      </c>
      <c r="H7">
        <v>28.9</v>
      </c>
      <c r="I7">
        <v>5.2</v>
      </c>
      <c r="J7">
        <v>11.6</v>
      </c>
      <c r="K7">
        <v>0.44800000000000001</v>
      </c>
      <c r="L7">
        <v>2.1</v>
      </c>
      <c r="M7">
        <v>5.6</v>
      </c>
      <c r="N7">
        <v>0.37</v>
      </c>
      <c r="O7">
        <v>3.1</v>
      </c>
      <c r="P7">
        <v>6</v>
      </c>
      <c r="Q7">
        <v>0.52100000000000002</v>
      </c>
      <c r="R7">
        <v>0.53700000000000003</v>
      </c>
      <c r="S7">
        <v>2.5</v>
      </c>
      <c r="T7">
        <v>3.1</v>
      </c>
      <c r="U7">
        <v>0.81899999999999995</v>
      </c>
      <c r="V7">
        <v>0.7</v>
      </c>
      <c r="W7">
        <v>3.4</v>
      </c>
      <c r="X7">
        <v>4.2</v>
      </c>
      <c r="Y7">
        <v>3.4</v>
      </c>
      <c r="Z7">
        <v>1</v>
      </c>
      <c r="AA7">
        <v>0.2</v>
      </c>
      <c r="AB7">
        <v>1.2</v>
      </c>
      <c r="AC7">
        <v>2</v>
      </c>
      <c r="AD7">
        <v>14.9</v>
      </c>
      <c r="AE7">
        <v>2344</v>
      </c>
      <c r="AF7">
        <v>16.3</v>
      </c>
      <c r="AG7">
        <v>0.57799999999999996</v>
      </c>
      <c r="AH7">
        <v>0.48499999999999999</v>
      </c>
      <c r="AI7">
        <v>0.26500000000000001</v>
      </c>
      <c r="AJ7">
        <v>2.7</v>
      </c>
      <c r="AK7">
        <v>13.1</v>
      </c>
      <c r="AL7">
        <v>7.9</v>
      </c>
      <c r="AM7">
        <v>17.399999999999999</v>
      </c>
      <c r="AN7">
        <v>1.7</v>
      </c>
      <c r="AO7">
        <v>0.6</v>
      </c>
      <c r="AP7">
        <v>8.6999999999999993</v>
      </c>
      <c r="AQ7">
        <v>20.9</v>
      </c>
      <c r="AR7">
        <v>4.4000000000000004</v>
      </c>
      <c r="AS7">
        <v>2.2999999999999998</v>
      </c>
      <c r="AT7">
        <v>6.7</v>
      </c>
      <c r="AU7">
        <v>0.13700000000000001</v>
      </c>
      <c r="AV7">
        <v>1.3</v>
      </c>
      <c r="AW7">
        <v>0.4</v>
      </c>
      <c r="AX7">
        <v>1.7</v>
      </c>
      <c r="AY7">
        <v>2.1</v>
      </c>
      <c r="AZ7" s="8">
        <v>4.2</v>
      </c>
      <c r="BA7" s="8">
        <v>1.8132835975546575</v>
      </c>
      <c r="BB7" s="3">
        <v>1</v>
      </c>
    </row>
    <row r="8" spans="1:67" x14ac:dyDescent="0.25">
      <c r="A8" t="s">
        <v>394</v>
      </c>
      <c r="B8" s="2">
        <v>2130240</v>
      </c>
      <c r="C8" t="s">
        <v>62</v>
      </c>
      <c r="D8">
        <v>24</v>
      </c>
      <c r="E8" t="s">
        <v>150</v>
      </c>
      <c r="F8">
        <v>58</v>
      </c>
      <c r="G8">
        <v>58</v>
      </c>
      <c r="H8">
        <v>31.7</v>
      </c>
      <c r="I8">
        <v>7.8</v>
      </c>
      <c r="J8">
        <v>16.2</v>
      </c>
      <c r="K8">
        <v>0.47899999999999998</v>
      </c>
      <c r="L8">
        <v>2.9</v>
      </c>
      <c r="M8">
        <v>7</v>
      </c>
      <c r="N8">
        <v>0.40799999999999997</v>
      </c>
      <c r="O8">
        <v>4.9000000000000004</v>
      </c>
      <c r="P8">
        <v>9.1999999999999993</v>
      </c>
      <c r="Q8">
        <v>0.53400000000000003</v>
      </c>
      <c r="R8">
        <v>0.56799999999999995</v>
      </c>
      <c r="S8">
        <v>3.1</v>
      </c>
      <c r="T8">
        <v>3.5</v>
      </c>
      <c r="U8">
        <v>0.88300000000000001</v>
      </c>
      <c r="V8">
        <v>0.7</v>
      </c>
      <c r="W8">
        <v>4.3</v>
      </c>
      <c r="X8">
        <v>5</v>
      </c>
      <c r="Y8">
        <v>4.4000000000000004</v>
      </c>
      <c r="Z8">
        <v>1</v>
      </c>
      <c r="AA8">
        <v>0.4</v>
      </c>
      <c r="AB8">
        <v>2.2000000000000002</v>
      </c>
      <c r="AC8">
        <v>2.6</v>
      </c>
      <c r="AD8">
        <v>21.5</v>
      </c>
      <c r="AE8">
        <v>1841</v>
      </c>
      <c r="AF8">
        <v>19.100000000000001</v>
      </c>
      <c r="AG8">
        <v>0.60599999999999998</v>
      </c>
      <c r="AH8">
        <v>0.433</v>
      </c>
      <c r="AI8">
        <v>0.218</v>
      </c>
      <c r="AJ8">
        <v>2.5</v>
      </c>
      <c r="AK8">
        <v>14.3</v>
      </c>
      <c r="AL8">
        <v>8.4</v>
      </c>
      <c r="AM8">
        <v>20.8</v>
      </c>
      <c r="AN8">
        <v>1.4</v>
      </c>
      <c r="AO8">
        <v>1.1000000000000001</v>
      </c>
      <c r="AP8">
        <v>10.9</v>
      </c>
      <c r="AQ8">
        <v>26.1</v>
      </c>
      <c r="AR8">
        <v>3.5</v>
      </c>
      <c r="AS8">
        <v>2.2999999999999998</v>
      </c>
      <c r="AT8">
        <v>5.8</v>
      </c>
      <c r="AU8">
        <v>0.151</v>
      </c>
      <c r="AV8">
        <v>3.3</v>
      </c>
      <c r="AW8">
        <v>0.1</v>
      </c>
      <c r="AX8">
        <v>3.5</v>
      </c>
      <c r="AY8">
        <v>2.5</v>
      </c>
      <c r="AZ8" s="8">
        <v>4.6500000000000004</v>
      </c>
      <c r="BA8" s="8">
        <v>2.1828526363226679</v>
      </c>
      <c r="BB8" s="3">
        <v>1</v>
      </c>
    </row>
    <row r="9" spans="1:67" x14ac:dyDescent="0.25">
      <c r="A9" t="s">
        <v>445</v>
      </c>
      <c r="B9" s="2">
        <v>1637966</v>
      </c>
      <c r="C9" t="s">
        <v>65</v>
      </c>
      <c r="D9">
        <v>25</v>
      </c>
      <c r="E9" t="s">
        <v>113</v>
      </c>
      <c r="F9">
        <v>80</v>
      </c>
      <c r="G9">
        <v>8</v>
      </c>
      <c r="H9">
        <v>16.100000000000001</v>
      </c>
      <c r="I9">
        <v>2.2999999999999998</v>
      </c>
      <c r="J9">
        <v>5</v>
      </c>
      <c r="K9">
        <v>0.45500000000000002</v>
      </c>
      <c r="L9">
        <v>1.8</v>
      </c>
      <c r="M9">
        <v>4.2</v>
      </c>
      <c r="N9">
        <v>0.41799999999999998</v>
      </c>
      <c r="O9">
        <v>0.5</v>
      </c>
      <c r="P9">
        <v>0.8</v>
      </c>
      <c r="Q9">
        <v>0.65600000000000003</v>
      </c>
      <c r="R9">
        <v>0.63100000000000001</v>
      </c>
      <c r="S9">
        <v>0.2</v>
      </c>
      <c r="T9">
        <v>0.2</v>
      </c>
      <c r="U9">
        <v>0.70599999999999996</v>
      </c>
      <c r="V9">
        <v>0.4</v>
      </c>
      <c r="W9">
        <v>2.1</v>
      </c>
      <c r="X9">
        <v>2.6</v>
      </c>
      <c r="Y9">
        <v>0.9</v>
      </c>
      <c r="Z9">
        <v>0.4</v>
      </c>
      <c r="AA9">
        <v>0.3</v>
      </c>
      <c r="AB9">
        <v>0.4</v>
      </c>
      <c r="AC9">
        <v>1.2</v>
      </c>
      <c r="AD9">
        <v>6.4</v>
      </c>
      <c r="AE9">
        <v>1290</v>
      </c>
      <c r="AF9">
        <v>12.7</v>
      </c>
      <c r="AG9">
        <v>0.63400000000000001</v>
      </c>
      <c r="AH9">
        <v>0.84599999999999997</v>
      </c>
      <c r="AI9">
        <v>4.2999999999999997E-2</v>
      </c>
      <c r="AJ9">
        <v>3</v>
      </c>
      <c r="AK9">
        <v>14.1</v>
      </c>
      <c r="AL9">
        <v>8.6</v>
      </c>
      <c r="AM9">
        <v>7.6</v>
      </c>
      <c r="AN9">
        <v>1.1000000000000001</v>
      </c>
      <c r="AO9">
        <v>1.4</v>
      </c>
      <c r="AP9">
        <v>6.9</v>
      </c>
      <c r="AQ9">
        <v>14.7</v>
      </c>
      <c r="AR9">
        <v>1.8</v>
      </c>
      <c r="AS9">
        <v>1.6</v>
      </c>
      <c r="AT9">
        <v>3.4</v>
      </c>
      <c r="AU9">
        <v>0.128</v>
      </c>
      <c r="AV9">
        <v>0.6</v>
      </c>
      <c r="AW9">
        <v>0.4</v>
      </c>
      <c r="AX9">
        <v>1</v>
      </c>
      <c r="AY9">
        <v>1</v>
      </c>
      <c r="AZ9" s="8">
        <v>2.2000000000000002</v>
      </c>
      <c r="BA9" s="8">
        <v>1.3431292224624931</v>
      </c>
      <c r="BB9" s="3">
        <v>1</v>
      </c>
    </row>
    <row r="10" spans="1:67" x14ac:dyDescent="0.25">
      <c r="A10" t="s">
        <v>297</v>
      </c>
      <c r="B10" s="2">
        <v>4343919</v>
      </c>
      <c r="C10" t="s">
        <v>28</v>
      </c>
      <c r="D10">
        <v>26</v>
      </c>
      <c r="E10" t="s">
        <v>150</v>
      </c>
      <c r="F10">
        <v>56</v>
      </c>
      <c r="G10">
        <v>8</v>
      </c>
      <c r="H10">
        <v>19.5</v>
      </c>
      <c r="I10">
        <v>4.0999999999999996</v>
      </c>
      <c r="J10">
        <v>6.2</v>
      </c>
      <c r="K10">
        <v>0.65600000000000003</v>
      </c>
      <c r="L10">
        <v>0</v>
      </c>
      <c r="M10">
        <v>0.1</v>
      </c>
      <c r="N10">
        <v>0.16700000000000001</v>
      </c>
      <c r="O10">
        <v>4.0999999999999996</v>
      </c>
      <c r="P10">
        <v>6.1</v>
      </c>
      <c r="Q10">
        <v>0.66500000000000004</v>
      </c>
      <c r="R10">
        <v>0.65800000000000003</v>
      </c>
      <c r="S10">
        <v>1.8</v>
      </c>
      <c r="T10">
        <v>2.4</v>
      </c>
      <c r="U10">
        <v>0.72299999999999998</v>
      </c>
      <c r="V10">
        <v>1.6</v>
      </c>
      <c r="W10">
        <v>3.9</v>
      </c>
      <c r="X10">
        <v>5.5</v>
      </c>
      <c r="Y10">
        <v>1.3</v>
      </c>
      <c r="Z10">
        <v>0.6</v>
      </c>
      <c r="AA10">
        <v>0.7</v>
      </c>
      <c r="AB10">
        <v>1</v>
      </c>
      <c r="AC10">
        <v>2.2999999999999998</v>
      </c>
      <c r="AD10">
        <v>10</v>
      </c>
      <c r="AE10">
        <v>1090</v>
      </c>
      <c r="AF10">
        <v>20</v>
      </c>
      <c r="AG10">
        <v>0.68200000000000005</v>
      </c>
      <c r="AH10">
        <v>1.7000000000000001E-2</v>
      </c>
      <c r="AI10">
        <v>0.39300000000000002</v>
      </c>
      <c r="AJ10">
        <v>9</v>
      </c>
      <c r="AK10">
        <v>21.2</v>
      </c>
      <c r="AL10">
        <v>15.1</v>
      </c>
      <c r="AM10">
        <v>9.5</v>
      </c>
      <c r="AN10">
        <v>1.5</v>
      </c>
      <c r="AO10">
        <v>3.1</v>
      </c>
      <c r="AP10">
        <v>11.8</v>
      </c>
      <c r="AQ10">
        <v>17.7</v>
      </c>
      <c r="AR10">
        <v>2.7</v>
      </c>
      <c r="AS10">
        <v>1.8</v>
      </c>
      <c r="AT10">
        <v>4.5</v>
      </c>
      <c r="AU10">
        <v>0.19900000000000001</v>
      </c>
      <c r="AV10">
        <v>0.8</v>
      </c>
      <c r="AW10">
        <v>1.8</v>
      </c>
      <c r="AX10">
        <v>2.5</v>
      </c>
      <c r="AY10">
        <v>1.3</v>
      </c>
      <c r="AZ10" s="8">
        <v>3.5</v>
      </c>
      <c r="BA10" s="8">
        <v>0.80572404780107543</v>
      </c>
      <c r="BB10" s="3">
        <v>1</v>
      </c>
    </row>
    <row r="11" spans="1:67" x14ac:dyDescent="0.25">
      <c r="A11" t="s">
        <v>72</v>
      </c>
      <c r="B11" s="2">
        <v>38917057</v>
      </c>
      <c r="C11" t="s">
        <v>62</v>
      </c>
      <c r="D11">
        <v>30</v>
      </c>
      <c r="E11" t="s">
        <v>73</v>
      </c>
      <c r="F11">
        <v>60</v>
      </c>
      <c r="G11">
        <v>60</v>
      </c>
      <c r="H11">
        <v>37.4</v>
      </c>
      <c r="I11">
        <v>9.9</v>
      </c>
      <c r="J11">
        <v>20.100000000000001</v>
      </c>
      <c r="K11">
        <v>0.49399999999999999</v>
      </c>
      <c r="L11">
        <v>3.1</v>
      </c>
      <c r="M11">
        <v>8.3000000000000007</v>
      </c>
      <c r="N11">
        <v>0.379</v>
      </c>
      <c r="O11">
        <v>6.8</v>
      </c>
      <c r="P11">
        <v>11.8</v>
      </c>
      <c r="Q11">
        <v>0.57399999999999995</v>
      </c>
      <c r="R11">
        <v>0.57199999999999995</v>
      </c>
      <c r="S11">
        <v>4.0999999999999996</v>
      </c>
      <c r="T11">
        <v>4.5999999999999996</v>
      </c>
      <c r="U11">
        <v>0.90500000000000003</v>
      </c>
      <c r="V11">
        <v>1</v>
      </c>
      <c r="W11">
        <v>4.0999999999999996</v>
      </c>
      <c r="X11">
        <v>5.0999999999999996</v>
      </c>
      <c r="Y11">
        <v>5.5</v>
      </c>
      <c r="Z11">
        <v>1.1000000000000001</v>
      </c>
      <c r="AA11">
        <v>0.8</v>
      </c>
      <c r="AB11">
        <v>2.1</v>
      </c>
      <c r="AC11">
        <v>2.8</v>
      </c>
      <c r="AD11">
        <v>27.1</v>
      </c>
      <c r="AE11">
        <v>2241</v>
      </c>
      <c r="AF11">
        <v>22.4</v>
      </c>
      <c r="AG11">
        <v>0.61299999999999999</v>
      </c>
      <c r="AH11">
        <v>0.41199999999999998</v>
      </c>
      <c r="AI11">
        <v>0.22700000000000001</v>
      </c>
      <c r="AJ11">
        <v>3</v>
      </c>
      <c r="AK11">
        <v>12.3</v>
      </c>
      <c r="AL11">
        <v>7.7</v>
      </c>
      <c r="AM11">
        <v>25.4</v>
      </c>
      <c r="AN11">
        <v>1.4</v>
      </c>
      <c r="AO11">
        <v>1.7</v>
      </c>
      <c r="AP11">
        <v>8.8000000000000007</v>
      </c>
      <c r="AQ11">
        <v>28.9</v>
      </c>
      <c r="AR11">
        <v>5.4</v>
      </c>
      <c r="AS11">
        <v>2</v>
      </c>
      <c r="AT11">
        <v>7.4</v>
      </c>
      <c r="AU11">
        <v>0.159</v>
      </c>
      <c r="AV11">
        <v>4.8</v>
      </c>
      <c r="AW11">
        <v>-0.7</v>
      </c>
      <c r="AX11">
        <v>4.0999999999999996</v>
      </c>
      <c r="AY11">
        <v>3.5</v>
      </c>
      <c r="AZ11" s="8">
        <v>5.75</v>
      </c>
      <c r="BA11" s="8">
        <v>0.1477501240651368</v>
      </c>
      <c r="BB11" s="3">
        <v>1</v>
      </c>
    </row>
    <row r="12" spans="1:67" x14ac:dyDescent="0.25">
      <c r="A12" t="s">
        <v>580</v>
      </c>
      <c r="B12" s="2">
        <v>37096500</v>
      </c>
      <c r="C12" t="s">
        <v>52</v>
      </c>
      <c r="AT12">
        <v>12.1</v>
      </c>
      <c r="AX12">
        <v>8.1999999999999993</v>
      </c>
      <c r="AZ12" s="8">
        <v>10.149999999999999</v>
      </c>
      <c r="BA12" s="8">
        <v>0.27361071799226339</v>
      </c>
      <c r="BB12" s="3">
        <v>1</v>
      </c>
    </row>
    <row r="13" spans="1:67" x14ac:dyDescent="0.25">
      <c r="A13" t="s">
        <v>112</v>
      </c>
      <c r="B13" s="2">
        <v>30351780</v>
      </c>
      <c r="C13" t="s">
        <v>65</v>
      </c>
      <c r="D13">
        <v>24</v>
      </c>
      <c r="E13" t="s">
        <v>113</v>
      </c>
      <c r="F13">
        <v>74</v>
      </c>
      <c r="G13">
        <v>74</v>
      </c>
      <c r="H13">
        <v>36.9</v>
      </c>
      <c r="I13">
        <v>9.8000000000000007</v>
      </c>
      <c r="J13">
        <v>21.1</v>
      </c>
      <c r="K13">
        <v>0.46600000000000003</v>
      </c>
      <c r="L13">
        <v>3.2</v>
      </c>
      <c r="M13">
        <v>9.3000000000000007</v>
      </c>
      <c r="N13">
        <v>0.35</v>
      </c>
      <c r="O13">
        <v>6.6</v>
      </c>
      <c r="P13">
        <v>11.8</v>
      </c>
      <c r="Q13">
        <v>0.55800000000000005</v>
      </c>
      <c r="R13">
        <v>0.54300000000000004</v>
      </c>
      <c r="S13">
        <v>7.2</v>
      </c>
      <c r="T13">
        <v>8.4</v>
      </c>
      <c r="U13">
        <v>0.85399999999999998</v>
      </c>
      <c r="V13">
        <v>1.1000000000000001</v>
      </c>
      <c r="W13">
        <v>7.7</v>
      </c>
      <c r="X13">
        <v>8.8000000000000007</v>
      </c>
      <c r="Y13">
        <v>4.5999999999999996</v>
      </c>
      <c r="Z13">
        <v>1.1000000000000001</v>
      </c>
      <c r="AA13">
        <v>0.7</v>
      </c>
      <c r="AB13">
        <v>2.9</v>
      </c>
      <c r="AC13">
        <v>2.2000000000000002</v>
      </c>
      <c r="AD13">
        <v>30.1</v>
      </c>
      <c r="AE13">
        <v>2732</v>
      </c>
      <c r="AF13">
        <v>23.7</v>
      </c>
      <c r="AG13">
        <v>0.60699999999999998</v>
      </c>
      <c r="AH13">
        <v>0.44</v>
      </c>
      <c r="AI13">
        <v>0.39900000000000002</v>
      </c>
      <c r="AJ13">
        <v>3.2</v>
      </c>
      <c r="AK13">
        <v>22.5</v>
      </c>
      <c r="AL13">
        <v>13</v>
      </c>
      <c r="AM13">
        <v>20.9</v>
      </c>
      <c r="AN13">
        <v>1.4</v>
      </c>
      <c r="AO13">
        <v>1.6</v>
      </c>
      <c r="AP13">
        <v>10.4</v>
      </c>
      <c r="AQ13">
        <v>32.700000000000003</v>
      </c>
      <c r="AR13">
        <v>6.2</v>
      </c>
      <c r="AS13">
        <v>4.3</v>
      </c>
      <c r="AT13">
        <v>10.5</v>
      </c>
      <c r="AU13">
        <v>0.185</v>
      </c>
      <c r="AV13">
        <v>4.8</v>
      </c>
      <c r="AW13">
        <v>0.7</v>
      </c>
      <c r="AX13">
        <v>5.5</v>
      </c>
      <c r="AY13">
        <v>5.0999999999999996</v>
      </c>
      <c r="AZ13" s="8">
        <v>8</v>
      </c>
      <c r="BA13" s="8">
        <v>0.26357597478632228</v>
      </c>
      <c r="BB13" s="3">
        <v>0.70972793751369867</v>
      </c>
    </row>
    <row r="14" spans="1:67" x14ac:dyDescent="0.25">
      <c r="A14" t="s">
        <v>275</v>
      </c>
      <c r="B14" s="2">
        <v>5258280</v>
      </c>
      <c r="C14" t="s">
        <v>65</v>
      </c>
      <c r="D14">
        <v>21</v>
      </c>
      <c r="E14" t="s">
        <v>152</v>
      </c>
      <c r="F14">
        <v>80</v>
      </c>
      <c r="G14">
        <v>80</v>
      </c>
      <c r="H14">
        <v>32.6</v>
      </c>
      <c r="I14">
        <v>6.8</v>
      </c>
      <c r="J14">
        <v>14</v>
      </c>
      <c r="K14">
        <v>0.48499999999999999</v>
      </c>
      <c r="L14">
        <v>1.6</v>
      </c>
      <c r="M14">
        <v>4.5</v>
      </c>
      <c r="N14">
        <v>0.36099999999999999</v>
      </c>
      <c r="O14">
        <v>5.2</v>
      </c>
      <c r="P14">
        <v>9.5</v>
      </c>
      <c r="Q14">
        <v>0.54400000000000004</v>
      </c>
      <c r="R14">
        <v>0.54300000000000004</v>
      </c>
      <c r="S14">
        <v>3.4</v>
      </c>
      <c r="T14">
        <v>4</v>
      </c>
      <c r="U14">
        <v>0.84199999999999997</v>
      </c>
      <c r="V14">
        <v>0.9</v>
      </c>
      <c r="W14">
        <v>3.2</v>
      </c>
      <c r="X14">
        <v>4.0999999999999996</v>
      </c>
      <c r="Y14">
        <v>3.5</v>
      </c>
      <c r="Z14">
        <v>1</v>
      </c>
      <c r="AA14">
        <v>0.2</v>
      </c>
      <c r="AB14">
        <v>2.1</v>
      </c>
      <c r="AC14">
        <v>2.2999999999999998</v>
      </c>
      <c r="AD14">
        <v>18.600000000000001</v>
      </c>
      <c r="AE14">
        <v>2609</v>
      </c>
      <c r="AF14">
        <v>15.9</v>
      </c>
      <c r="AG14">
        <v>0.58899999999999997</v>
      </c>
      <c r="AH14">
        <v>0.32200000000000001</v>
      </c>
      <c r="AI14">
        <v>0.28799999999999998</v>
      </c>
      <c r="AJ14">
        <v>3</v>
      </c>
      <c r="AK14">
        <v>11.2</v>
      </c>
      <c r="AL14">
        <v>7.1</v>
      </c>
      <c r="AM14">
        <v>17.2</v>
      </c>
      <c r="AN14">
        <v>1.4</v>
      </c>
      <c r="AO14">
        <v>0.6</v>
      </c>
      <c r="AP14">
        <v>11.7</v>
      </c>
      <c r="AQ14">
        <v>23.5</v>
      </c>
      <c r="AR14">
        <v>3.1</v>
      </c>
      <c r="AS14">
        <v>2.2999999999999998</v>
      </c>
      <c r="AT14">
        <v>5.4</v>
      </c>
      <c r="AU14">
        <v>9.9000000000000005E-2</v>
      </c>
      <c r="AV14">
        <v>0.4</v>
      </c>
      <c r="AW14">
        <v>-0.5</v>
      </c>
      <c r="AX14">
        <v>-0.1</v>
      </c>
      <c r="AY14">
        <v>1.3</v>
      </c>
      <c r="AZ14" s="8">
        <v>2.6500000000000004</v>
      </c>
      <c r="BA14" s="8">
        <v>0.50396707668667329</v>
      </c>
      <c r="BB14" s="3">
        <v>0.29027206248630139</v>
      </c>
    </row>
    <row r="15" spans="1:67" x14ac:dyDescent="0.25">
      <c r="A15" t="s">
        <v>98</v>
      </c>
      <c r="B15" s="2">
        <v>33616770</v>
      </c>
      <c r="C15" t="s">
        <v>75</v>
      </c>
      <c r="D15">
        <v>28</v>
      </c>
      <c r="E15" t="s">
        <v>82</v>
      </c>
      <c r="F15">
        <v>66</v>
      </c>
      <c r="G15">
        <v>66</v>
      </c>
      <c r="H15">
        <v>34.6</v>
      </c>
      <c r="I15">
        <v>11</v>
      </c>
      <c r="J15">
        <v>20.100000000000001</v>
      </c>
      <c r="K15">
        <v>0.54800000000000004</v>
      </c>
      <c r="L15">
        <v>1</v>
      </c>
      <c r="M15">
        <v>3</v>
      </c>
      <c r="N15">
        <v>0.33</v>
      </c>
      <c r="O15">
        <v>10</v>
      </c>
      <c r="P15">
        <v>17.100000000000001</v>
      </c>
      <c r="Q15">
        <v>0.58699999999999997</v>
      </c>
      <c r="R15">
        <v>0.57299999999999995</v>
      </c>
      <c r="S15">
        <v>10</v>
      </c>
      <c r="T15">
        <v>11.7</v>
      </c>
      <c r="U15">
        <v>0.85699999999999998</v>
      </c>
      <c r="V15">
        <v>1.7</v>
      </c>
      <c r="W15">
        <v>8.4</v>
      </c>
      <c r="X15">
        <v>10.199999999999999</v>
      </c>
      <c r="Y15">
        <v>4.2</v>
      </c>
      <c r="Z15">
        <v>1</v>
      </c>
      <c r="AA15">
        <v>1.7</v>
      </c>
      <c r="AB15">
        <v>3.4</v>
      </c>
      <c r="AC15">
        <v>3.1</v>
      </c>
      <c r="AD15">
        <v>33.1</v>
      </c>
      <c r="AE15">
        <v>2284</v>
      </c>
      <c r="AF15">
        <v>31.4</v>
      </c>
      <c r="AG15">
        <v>0.65500000000000003</v>
      </c>
      <c r="AH15">
        <v>0.151</v>
      </c>
      <c r="AI15">
        <v>0.58099999999999996</v>
      </c>
      <c r="AJ15">
        <v>5.9</v>
      </c>
      <c r="AK15">
        <v>28.3</v>
      </c>
      <c r="AL15">
        <v>17.3</v>
      </c>
      <c r="AM15">
        <v>22.9</v>
      </c>
      <c r="AN15">
        <v>1.4</v>
      </c>
      <c r="AO15">
        <v>4.5999999999999996</v>
      </c>
      <c r="AP15">
        <v>11.9</v>
      </c>
      <c r="AQ15">
        <v>37</v>
      </c>
      <c r="AR15">
        <v>8.4</v>
      </c>
      <c r="AS15">
        <v>3.9</v>
      </c>
      <c r="AT15">
        <v>12.3</v>
      </c>
      <c r="AU15">
        <v>0.25900000000000001</v>
      </c>
      <c r="AV15">
        <v>6.8</v>
      </c>
      <c r="AW15">
        <v>2.2999999999999998</v>
      </c>
      <c r="AX15">
        <v>9.1999999999999993</v>
      </c>
      <c r="AY15">
        <v>6.4</v>
      </c>
      <c r="AZ15" s="8">
        <v>10.75</v>
      </c>
      <c r="BA15" s="8">
        <v>0.31978087127347454</v>
      </c>
      <c r="BB15" s="3">
        <v>2.2204460492503131E-16</v>
      </c>
    </row>
    <row r="16" spans="1:67" x14ac:dyDescent="0.25">
      <c r="A16" t="s">
        <v>187</v>
      </c>
      <c r="B16" s="2">
        <v>12119440</v>
      </c>
      <c r="C16" t="s">
        <v>52</v>
      </c>
      <c r="D16">
        <v>23</v>
      </c>
      <c r="E16" t="s">
        <v>150</v>
      </c>
      <c r="F16">
        <v>61</v>
      </c>
      <c r="G16">
        <v>59</v>
      </c>
      <c r="H16">
        <v>31.9</v>
      </c>
      <c r="I16">
        <v>9.3000000000000007</v>
      </c>
      <c r="J16">
        <v>19.899999999999999</v>
      </c>
      <c r="K16">
        <v>0.46600000000000003</v>
      </c>
      <c r="L16">
        <v>1.5</v>
      </c>
      <c r="M16">
        <v>4.9000000000000004</v>
      </c>
      <c r="N16">
        <v>0.307</v>
      </c>
      <c r="O16">
        <v>7.8</v>
      </c>
      <c r="P16">
        <v>15</v>
      </c>
      <c r="Q16">
        <v>0.51900000000000002</v>
      </c>
      <c r="R16">
        <v>0.504</v>
      </c>
      <c r="S16">
        <v>6.1</v>
      </c>
      <c r="T16">
        <v>8.1</v>
      </c>
      <c r="U16">
        <v>0.748</v>
      </c>
      <c r="V16">
        <v>1</v>
      </c>
      <c r="W16">
        <v>4.9000000000000004</v>
      </c>
      <c r="X16">
        <v>5.9</v>
      </c>
      <c r="Y16">
        <v>8.1</v>
      </c>
      <c r="Z16">
        <v>1.1000000000000001</v>
      </c>
      <c r="AA16">
        <v>0.3</v>
      </c>
      <c r="AB16">
        <v>3.4</v>
      </c>
      <c r="AC16">
        <v>1.6</v>
      </c>
      <c r="AD16">
        <v>26.2</v>
      </c>
      <c r="AE16">
        <v>1948</v>
      </c>
      <c r="AF16">
        <v>23.3</v>
      </c>
      <c r="AG16">
        <v>0.55700000000000005</v>
      </c>
      <c r="AH16">
        <v>0.247</v>
      </c>
      <c r="AI16">
        <v>0.40899999999999997</v>
      </c>
      <c r="AJ16">
        <v>3.3</v>
      </c>
      <c r="AK16">
        <v>16.100000000000001</v>
      </c>
      <c r="AL16">
        <v>9.6999999999999993</v>
      </c>
      <c r="AM16">
        <v>41.1</v>
      </c>
      <c r="AN16">
        <v>1.6</v>
      </c>
      <c r="AO16">
        <v>0.7</v>
      </c>
      <c r="AP16">
        <v>12.6</v>
      </c>
      <c r="AQ16">
        <v>34.9</v>
      </c>
      <c r="AR16">
        <v>3.4</v>
      </c>
      <c r="AS16">
        <v>2.6</v>
      </c>
      <c r="AT16">
        <v>6</v>
      </c>
      <c r="AU16">
        <v>0.14799999999999999</v>
      </c>
      <c r="AV16">
        <v>5.2</v>
      </c>
      <c r="AW16">
        <v>0.5</v>
      </c>
      <c r="AX16">
        <v>5.7</v>
      </c>
      <c r="AY16">
        <v>3.8</v>
      </c>
      <c r="AZ16" s="8">
        <v>5.85</v>
      </c>
      <c r="BA16" s="8">
        <v>0.48269557009234748</v>
      </c>
      <c r="BB16" s="3">
        <v>0</v>
      </c>
    </row>
    <row r="17" spans="1:54" x14ac:dyDescent="0.25">
      <c r="A17" t="s">
        <v>79</v>
      </c>
      <c r="B17" s="2">
        <v>37653300</v>
      </c>
      <c r="C17" t="s">
        <v>28</v>
      </c>
      <c r="D17">
        <v>33</v>
      </c>
      <c r="E17" t="s">
        <v>80</v>
      </c>
      <c r="F17">
        <v>64</v>
      </c>
      <c r="G17">
        <v>64</v>
      </c>
      <c r="H17">
        <v>33.4</v>
      </c>
      <c r="I17">
        <v>7.5</v>
      </c>
      <c r="J17">
        <v>13.9</v>
      </c>
      <c r="K17">
        <v>0.53900000000000003</v>
      </c>
      <c r="L17">
        <v>0.6</v>
      </c>
      <c r="M17">
        <v>1.6</v>
      </c>
      <c r="N17">
        <v>0.35</v>
      </c>
      <c r="O17">
        <v>6.9</v>
      </c>
      <c r="P17">
        <v>12.3</v>
      </c>
      <c r="Q17">
        <v>0.56399999999999995</v>
      </c>
      <c r="R17">
        <v>0.56000000000000005</v>
      </c>
      <c r="S17">
        <v>7.4</v>
      </c>
      <c r="T17">
        <v>8.6999999999999993</v>
      </c>
      <c r="U17">
        <v>0.85</v>
      </c>
      <c r="V17">
        <v>2.2000000000000002</v>
      </c>
      <c r="W17">
        <v>3.7</v>
      </c>
      <c r="X17">
        <v>5.9</v>
      </c>
      <c r="Y17">
        <v>5.3</v>
      </c>
      <c r="Z17">
        <v>1.8</v>
      </c>
      <c r="AA17">
        <v>0.3</v>
      </c>
      <c r="AB17">
        <v>1.6</v>
      </c>
      <c r="AC17">
        <v>1.3</v>
      </c>
      <c r="AD17">
        <v>22.9</v>
      </c>
      <c r="AE17">
        <v>2138</v>
      </c>
      <c r="AF17">
        <v>27.6</v>
      </c>
      <c r="AG17">
        <v>0.64700000000000002</v>
      </c>
      <c r="AH17">
        <v>0.11600000000000001</v>
      </c>
      <c r="AI17">
        <v>0.625</v>
      </c>
      <c r="AJ17">
        <v>7.5</v>
      </c>
      <c r="AK17">
        <v>13.3</v>
      </c>
      <c r="AL17">
        <v>10.3</v>
      </c>
      <c r="AM17">
        <v>27.1</v>
      </c>
      <c r="AN17">
        <v>2.7</v>
      </c>
      <c r="AO17">
        <v>1</v>
      </c>
      <c r="AP17">
        <v>8.1999999999999993</v>
      </c>
      <c r="AQ17">
        <v>25.6</v>
      </c>
      <c r="AR17">
        <v>9.4</v>
      </c>
      <c r="AS17">
        <v>2.9</v>
      </c>
      <c r="AT17">
        <v>12.3</v>
      </c>
      <c r="AU17">
        <v>0.27700000000000002</v>
      </c>
      <c r="AV17">
        <v>6.7</v>
      </c>
      <c r="AW17">
        <v>2</v>
      </c>
      <c r="AX17">
        <v>8.6999999999999993</v>
      </c>
      <c r="AY17">
        <v>5.8</v>
      </c>
      <c r="AZ17" s="8">
        <v>10.5</v>
      </c>
      <c r="BA17" s="8">
        <v>0.27886002023727002</v>
      </c>
      <c r="BB17" s="3">
        <v>0</v>
      </c>
    </row>
    <row r="18" spans="1:54" x14ac:dyDescent="0.25">
      <c r="A18" t="s">
        <v>455</v>
      </c>
      <c r="B18" s="2">
        <v>1563518</v>
      </c>
      <c r="C18" t="s">
        <v>62</v>
      </c>
      <c r="D18">
        <v>24</v>
      </c>
      <c r="E18" t="s">
        <v>58</v>
      </c>
      <c r="F18">
        <v>64</v>
      </c>
      <c r="G18">
        <v>22</v>
      </c>
      <c r="H18">
        <v>28.8</v>
      </c>
      <c r="I18">
        <v>4</v>
      </c>
      <c r="J18">
        <v>7.7</v>
      </c>
      <c r="K18">
        <v>0.52900000000000003</v>
      </c>
      <c r="L18">
        <v>1.3</v>
      </c>
      <c r="M18">
        <v>3.4</v>
      </c>
      <c r="N18">
        <v>0.39800000000000002</v>
      </c>
      <c r="O18">
        <v>2.7</v>
      </c>
      <c r="P18">
        <v>4.3</v>
      </c>
      <c r="Q18">
        <v>0.63100000000000001</v>
      </c>
      <c r="R18">
        <v>0.61599999999999999</v>
      </c>
      <c r="S18">
        <v>3.6</v>
      </c>
      <c r="T18">
        <v>4.0999999999999996</v>
      </c>
      <c r="U18">
        <v>0.86399999999999999</v>
      </c>
      <c r="V18">
        <v>0.5</v>
      </c>
      <c r="W18">
        <v>2.5</v>
      </c>
      <c r="X18">
        <v>3</v>
      </c>
      <c r="Y18">
        <v>3.4</v>
      </c>
      <c r="Z18">
        <v>0.5</v>
      </c>
      <c r="AA18">
        <v>0.3</v>
      </c>
      <c r="AB18">
        <v>1.5</v>
      </c>
      <c r="AC18">
        <v>1.7</v>
      </c>
      <c r="AD18">
        <v>13</v>
      </c>
      <c r="AE18">
        <v>1843</v>
      </c>
      <c r="AF18">
        <v>14.9</v>
      </c>
      <c r="AG18">
        <v>0.68700000000000006</v>
      </c>
      <c r="AH18">
        <v>0.441</v>
      </c>
      <c r="AI18">
        <v>0.54100000000000004</v>
      </c>
      <c r="AJ18">
        <v>2</v>
      </c>
      <c r="AK18">
        <v>9</v>
      </c>
      <c r="AL18">
        <v>5.6</v>
      </c>
      <c r="AM18">
        <v>15.7</v>
      </c>
      <c r="AN18">
        <v>0.8</v>
      </c>
      <c r="AO18">
        <v>0.9</v>
      </c>
      <c r="AP18">
        <v>14</v>
      </c>
      <c r="AQ18">
        <v>16.2</v>
      </c>
      <c r="AR18">
        <v>4.0999999999999996</v>
      </c>
      <c r="AS18">
        <v>1.4</v>
      </c>
      <c r="AT18">
        <v>5.4</v>
      </c>
      <c r="AU18">
        <v>0.14199999999999999</v>
      </c>
      <c r="AV18">
        <v>0.6</v>
      </c>
      <c r="AW18">
        <v>0.1</v>
      </c>
      <c r="AX18">
        <v>0.7</v>
      </c>
      <c r="AY18">
        <v>1.2</v>
      </c>
      <c r="AZ18" s="8">
        <v>3.0500000000000003</v>
      </c>
      <c r="BA18" s="8">
        <v>1.9507290610021761</v>
      </c>
      <c r="BB18" s="3">
        <v>0</v>
      </c>
    </row>
    <row r="19" spans="1:54" x14ac:dyDescent="0.25">
      <c r="A19" t="s">
        <v>417</v>
      </c>
      <c r="B19" s="2">
        <v>1930681</v>
      </c>
      <c r="C19" t="s">
        <v>75</v>
      </c>
      <c r="D19">
        <v>24</v>
      </c>
      <c r="E19" t="s">
        <v>63</v>
      </c>
      <c r="F19">
        <v>78</v>
      </c>
      <c r="G19">
        <v>47</v>
      </c>
      <c r="H19">
        <v>20.6</v>
      </c>
      <c r="I19">
        <v>3.7</v>
      </c>
      <c r="J19">
        <v>5.0999999999999996</v>
      </c>
      <c r="K19">
        <v>0.73199999999999998</v>
      </c>
      <c r="L19">
        <v>0</v>
      </c>
      <c r="M19">
        <v>0</v>
      </c>
      <c r="O19">
        <v>3.7</v>
      </c>
      <c r="P19">
        <v>5.0999999999999996</v>
      </c>
      <c r="Q19">
        <v>0.73199999999999998</v>
      </c>
      <c r="R19">
        <v>0.73199999999999998</v>
      </c>
      <c r="S19">
        <v>1.6</v>
      </c>
      <c r="T19">
        <v>2.4</v>
      </c>
      <c r="U19">
        <v>0.67900000000000005</v>
      </c>
      <c r="V19">
        <v>2.1</v>
      </c>
      <c r="W19">
        <v>3.5</v>
      </c>
      <c r="X19">
        <v>5.6</v>
      </c>
      <c r="Y19">
        <v>1.1000000000000001</v>
      </c>
      <c r="Z19">
        <v>0.4</v>
      </c>
      <c r="AA19">
        <v>1.3</v>
      </c>
      <c r="AB19">
        <v>1.1000000000000001</v>
      </c>
      <c r="AC19">
        <v>2.4</v>
      </c>
      <c r="AD19">
        <v>9</v>
      </c>
      <c r="AE19">
        <v>1604</v>
      </c>
      <c r="AF19">
        <v>19.7</v>
      </c>
      <c r="AG19">
        <v>0.73899999999999999</v>
      </c>
      <c r="AH19">
        <v>0</v>
      </c>
      <c r="AI19">
        <v>0.47299999999999998</v>
      </c>
      <c r="AJ19">
        <v>11.7</v>
      </c>
      <c r="AK19">
        <v>18</v>
      </c>
      <c r="AL19">
        <v>15</v>
      </c>
      <c r="AM19">
        <v>7.5</v>
      </c>
      <c r="AN19">
        <v>1</v>
      </c>
      <c r="AO19">
        <v>5.2</v>
      </c>
      <c r="AP19">
        <v>15.1</v>
      </c>
      <c r="AQ19">
        <v>15.2</v>
      </c>
      <c r="AR19">
        <v>4.2</v>
      </c>
      <c r="AS19">
        <v>1.9</v>
      </c>
      <c r="AT19">
        <v>6.1</v>
      </c>
      <c r="AU19">
        <v>0.184</v>
      </c>
      <c r="AV19">
        <v>0.4</v>
      </c>
      <c r="AW19">
        <v>0.6</v>
      </c>
      <c r="AX19">
        <v>1</v>
      </c>
      <c r="AY19">
        <v>1.2</v>
      </c>
      <c r="AZ19" s="8">
        <v>3.55</v>
      </c>
      <c r="BA19" s="8">
        <v>1.8387294431343137</v>
      </c>
      <c r="BB19" s="3">
        <v>0</v>
      </c>
    </row>
    <row r="20" spans="1:54" x14ac:dyDescent="0.25">
      <c r="A20" t="s">
        <v>51</v>
      </c>
      <c r="B20" s="2">
        <v>48070014</v>
      </c>
      <c r="C20" t="s">
        <v>52</v>
      </c>
      <c r="D20">
        <v>34</v>
      </c>
      <c r="E20" t="s">
        <v>53</v>
      </c>
      <c r="F20">
        <v>56</v>
      </c>
      <c r="G20">
        <v>56</v>
      </c>
      <c r="H20">
        <v>34.700000000000003</v>
      </c>
      <c r="I20">
        <v>10</v>
      </c>
      <c r="J20">
        <v>20.2</v>
      </c>
      <c r="K20">
        <v>0.49299999999999999</v>
      </c>
      <c r="L20">
        <v>4.9000000000000004</v>
      </c>
      <c r="M20">
        <v>11.4</v>
      </c>
      <c r="N20">
        <v>0.42699999999999999</v>
      </c>
      <c r="O20">
        <v>5.0999999999999996</v>
      </c>
      <c r="P20">
        <v>8.8000000000000007</v>
      </c>
      <c r="Q20">
        <v>0.57899999999999996</v>
      </c>
      <c r="R20">
        <v>0.61399999999999999</v>
      </c>
      <c r="S20">
        <v>4.5999999999999996</v>
      </c>
      <c r="T20">
        <v>5</v>
      </c>
      <c r="U20">
        <v>0.91500000000000004</v>
      </c>
      <c r="V20">
        <v>0.7</v>
      </c>
      <c r="W20">
        <v>5.4</v>
      </c>
      <c r="X20">
        <v>6.1</v>
      </c>
      <c r="Y20">
        <v>6.3</v>
      </c>
      <c r="Z20">
        <v>0.9</v>
      </c>
      <c r="AA20">
        <v>0.4</v>
      </c>
      <c r="AB20">
        <v>3.2</v>
      </c>
      <c r="AC20">
        <v>2.1</v>
      </c>
      <c r="AD20">
        <v>29.4</v>
      </c>
      <c r="AE20">
        <v>1941</v>
      </c>
      <c r="AF20">
        <v>24.1</v>
      </c>
      <c r="AG20">
        <v>0.65600000000000003</v>
      </c>
      <c r="AH20">
        <v>0.56399999999999995</v>
      </c>
      <c r="AI20">
        <v>0.248</v>
      </c>
      <c r="AJ20">
        <v>2.2999999999999998</v>
      </c>
      <c r="AK20">
        <v>16.8</v>
      </c>
      <c r="AL20">
        <v>9.6999999999999993</v>
      </c>
      <c r="AM20">
        <v>30</v>
      </c>
      <c r="AN20">
        <v>1.3</v>
      </c>
      <c r="AO20">
        <v>0.9</v>
      </c>
      <c r="AP20">
        <v>12.5</v>
      </c>
      <c r="AQ20">
        <v>31</v>
      </c>
      <c r="AR20">
        <v>5.8</v>
      </c>
      <c r="AS20">
        <v>2</v>
      </c>
      <c r="AT20">
        <v>7.8</v>
      </c>
      <c r="AU20">
        <v>0.192</v>
      </c>
      <c r="AV20">
        <v>7.5</v>
      </c>
      <c r="AW20">
        <v>0.1</v>
      </c>
      <c r="AX20">
        <v>7.5</v>
      </c>
      <c r="AY20">
        <v>4.7</v>
      </c>
      <c r="AZ20" s="8">
        <v>7.65</v>
      </c>
      <c r="BA20" s="8">
        <v>0.15914287023090945</v>
      </c>
      <c r="BB20" s="3">
        <v>0</v>
      </c>
    </row>
    <row r="21" spans="1:54" x14ac:dyDescent="0.25">
      <c r="A21" t="s">
        <v>56</v>
      </c>
      <c r="B21" s="2">
        <v>47080179</v>
      </c>
      <c r="C21" t="s">
        <v>52</v>
      </c>
      <c r="D21">
        <v>34</v>
      </c>
      <c r="E21" t="s">
        <v>55</v>
      </c>
      <c r="F21">
        <v>73</v>
      </c>
      <c r="G21">
        <v>24</v>
      </c>
      <c r="H21">
        <v>29.1</v>
      </c>
      <c r="I21">
        <v>5.9</v>
      </c>
      <c r="J21">
        <v>13.6</v>
      </c>
      <c r="K21">
        <v>0.436</v>
      </c>
      <c r="L21">
        <v>1.2</v>
      </c>
      <c r="M21">
        <v>3.9</v>
      </c>
      <c r="N21">
        <v>0.311</v>
      </c>
      <c r="O21">
        <v>4.7</v>
      </c>
      <c r="P21">
        <v>9.6999999999999993</v>
      </c>
      <c r="Q21">
        <v>0.48699999999999999</v>
      </c>
      <c r="R21">
        <v>0.48099999999999998</v>
      </c>
      <c r="S21">
        <v>2.8</v>
      </c>
      <c r="T21">
        <v>4.3</v>
      </c>
      <c r="U21">
        <v>0.65600000000000003</v>
      </c>
      <c r="V21">
        <v>1.2</v>
      </c>
      <c r="W21">
        <v>4.5999999999999996</v>
      </c>
      <c r="X21">
        <v>5.8</v>
      </c>
      <c r="Y21">
        <v>7.5</v>
      </c>
      <c r="Z21">
        <v>1</v>
      </c>
      <c r="AA21">
        <v>0.5</v>
      </c>
      <c r="AB21">
        <v>3.5</v>
      </c>
      <c r="AC21">
        <v>2.2000000000000002</v>
      </c>
      <c r="AD21">
        <v>15.9</v>
      </c>
      <c r="AE21">
        <v>2126</v>
      </c>
      <c r="AF21">
        <v>16.100000000000001</v>
      </c>
      <c r="AG21">
        <v>0.51300000000000001</v>
      </c>
      <c r="AH21">
        <v>0.28899999999999998</v>
      </c>
      <c r="AI21">
        <v>0.317</v>
      </c>
      <c r="AJ21">
        <v>4.7</v>
      </c>
      <c r="AK21">
        <v>16.5</v>
      </c>
      <c r="AL21">
        <v>10.8</v>
      </c>
      <c r="AM21">
        <v>38.6</v>
      </c>
      <c r="AN21">
        <v>1.7</v>
      </c>
      <c r="AO21">
        <v>1.3</v>
      </c>
      <c r="AP21">
        <v>18.399999999999999</v>
      </c>
      <c r="AQ21">
        <v>27.7</v>
      </c>
      <c r="AR21">
        <v>-0.6</v>
      </c>
      <c r="AS21">
        <v>2.6</v>
      </c>
      <c r="AT21">
        <v>1.9</v>
      </c>
      <c r="AU21">
        <v>4.3999999999999997E-2</v>
      </c>
      <c r="AV21">
        <v>0.3</v>
      </c>
      <c r="AW21">
        <v>-0.1</v>
      </c>
      <c r="AX21">
        <v>0.2</v>
      </c>
      <c r="AY21">
        <v>1.2</v>
      </c>
      <c r="AZ21" s="8">
        <v>1.05</v>
      </c>
      <c r="BA21" s="8">
        <v>2.2302379096731981E-2</v>
      </c>
      <c r="BB21" s="3">
        <v>0</v>
      </c>
    </row>
    <row r="22" spans="1:54" x14ac:dyDescent="0.25">
      <c r="A22" t="s">
        <v>57</v>
      </c>
      <c r="B22" s="2">
        <v>44474988</v>
      </c>
      <c r="C22" t="s">
        <v>28</v>
      </c>
      <c r="D22">
        <v>38</v>
      </c>
      <c r="E22" t="s">
        <v>58</v>
      </c>
      <c r="F22">
        <v>55</v>
      </c>
      <c r="G22">
        <v>54</v>
      </c>
      <c r="H22">
        <v>35.5</v>
      </c>
      <c r="I22">
        <v>11.1</v>
      </c>
      <c r="J22">
        <v>22.2</v>
      </c>
      <c r="K22">
        <v>0.5</v>
      </c>
      <c r="L22">
        <v>2.2000000000000002</v>
      </c>
      <c r="M22">
        <v>6.9</v>
      </c>
      <c r="N22">
        <v>0.32100000000000001</v>
      </c>
      <c r="O22">
        <v>8.9</v>
      </c>
      <c r="P22">
        <v>15.3</v>
      </c>
      <c r="Q22">
        <v>0.57999999999999996</v>
      </c>
      <c r="R22">
        <v>0.54900000000000004</v>
      </c>
      <c r="S22">
        <v>4.5999999999999996</v>
      </c>
      <c r="T22">
        <v>5.9</v>
      </c>
      <c r="U22">
        <v>0.76800000000000002</v>
      </c>
      <c r="V22">
        <v>1.2</v>
      </c>
      <c r="W22">
        <v>7.1</v>
      </c>
      <c r="X22">
        <v>8.3000000000000007</v>
      </c>
      <c r="Y22">
        <v>6.8</v>
      </c>
      <c r="Z22">
        <v>0.9</v>
      </c>
      <c r="AA22">
        <v>0.6</v>
      </c>
      <c r="AB22">
        <v>3.2</v>
      </c>
      <c r="AC22">
        <v>1.6</v>
      </c>
      <c r="AD22">
        <v>28.9</v>
      </c>
      <c r="AE22">
        <v>1954</v>
      </c>
      <c r="AF22">
        <v>23.9</v>
      </c>
      <c r="AG22">
        <v>0.58299999999999996</v>
      </c>
      <c r="AH22">
        <v>0.309</v>
      </c>
      <c r="AI22">
        <v>0.26800000000000002</v>
      </c>
      <c r="AJ22">
        <v>3.7</v>
      </c>
      <c r="AK22">
        <v>20.8</v>
      </c>
      <c r="AL22">
        <v>12.5</v>
      </c>
      <c r="AM22">
        <v>33.5</v>
      </c>
      <c r="AN22">
        <v>1.2</v>
      </c>
      <c r="AO22">
        <v>1.4</v>
      </c>
      <c r="AP22">
        <v>11.6</v>
      </c>
      <c r="AQ22">
        <v>33.299999999999997</v>
      </c>
      <c r="AR22">
        <v>3.2</v>
      </c>
      <c r="AS22">
        <v>2.4</v>
      </c>
      <c r="AT22">
        <v>5.6</v>
      </c>
      <c r="AU22">
        <v>0.13800000000000001</v>
      </c>
      <c r="AV22">
        <v>5.5</v>
      </c>
      <c r="AW22">
        <v>0.6</v>
      </c>
      <c r="AX22">
        <v>6.1</v>
      </c>
      <c r="AY22">
        <v>4</v>
      </c>
      <c r="AZ22" s="8">
        <v>5.85</v>
      </c>
      <c r="BA22" s="8">
        <v>0.13153460547308074</v>
      </c>
      <c r="BB22" s="3">
        <v>0</v>
      </c>
    </row>
    <row r="23" spans="1:54" x14ac:dyDescent="0.25">
      <c r="A23" t="s">
        <v>59</v>
      </c>
      <c r="B23" s="2">
        <v>44119845</v>
      </c>
      <c r="C23" t="s">
        <v>28</v>
      </c>
      <c r="D23">
        <v>34</v>
      </c>
      <c r="E23" t="s">
        <v>60</v>
      </c>
      <c r="F23">
        <v>47</v>
      </c>
      <c r="G23">
        <v>47</v>
      </c>
      <c r="H23">
        <v>35.6</v>
      </c>
      <c r="I23">
        <v>10.3</v>
      </c>
      <c r="J23">
        <v>18.3</v>
      </c>
      <c r="K23">
        <v>0.56000000000000005</v>
      </c>
      <c r="L23">
        <v>2</v>
      </c>
      <c r="M23">
        <v>4.9000000000000004</v>
      </c>
      <c r="N23">
        <v>0.40400000000000003</v>
      </c>
      <c r="O23">
        <v>8.3000000000000007</v>
      </c>
      <c r="P23">
        <v>13.4</v>
      </c>
      <c r="Q23">
        <v>0.61699999999999999</v>
      </c>
      <c r="R23">
        <v>0.61399999999999999</v>
      </c>
      <c r="S23">
        <v>6.5</v>
      </c>
      <c r="T23">
        <v>7.1</v>
      </c>
      <c r="U23">
        <v>0.91900000000000004</v>
      </c>
      <c r="V23">
        <v>0.4</v>
      </c>
      <c r="W23">
        <v>6.3</v>
      </c>
      <c r="X23">
        <v>6.7</v>
      </c>
      <c r="Y23">
        <v>5</v>
      </c>
      <c r="Z23">
        <v>0.7</v>
      </c>
      <c r="AA23">
        <v>1.4</v>
      </c>
      <c r="AB23">
        <v>3.3</v>
      </c>
      <c r="AC23">
        <v>2.1</v>
      </c>
      <c r="AD23">
        <v>29.1</v>
      </c>
      <c r="AE23">
        <v>1672</v>
      </c>
      <c r="AF23">
        <v>25.9</v>
      </c>
      <c r="AG23">
        <v>0.67700000000000005</v>
      </c>
      <c r="AH23">
        <v>0.26700000000000002</v>
      </c>
      <c r="AI23">
        <v>0.38700000000000001</v>
      </c>
      <c r="AJ23">
        <v>1.2</v>
      </c>
      <c r="AK23">
        <v>19.5</v>
      </c>
      <c r="AL23">
        <v>10.5</v>
      </c>
      <c r="AM23">
        <v>24.5</v>
      </c>
      <c r="AN23">
        <v>1</v>
      </c>
      <c r="AO23">
        <v>3.4</v>
      </c>
      <c r="AP23">
        <v>13.4</v>
      </c>
      <c r="AQ23">
        <v>30.7</v>
      </c>
      <c r="AR23">
        <v>4.7</v>
      </c>
      <c r="AS23">
        <v>2.1</v>
      </c>
      <c r="AT23">
        <v>6.8</v>
      </c>
      <c r="AU23">
        <v>0.19400000000000001</v>
      </c>
      <c r="AV23">
        <v>6</v>
      </c>
      <c r="AW23">
        <v>1.2</v>
      </c>
      <c r="AX23">
        <v>7.1</v>
      </c>
      <c r="AY23">
        <v>3.9</v>
      </c>
      <c r="AZ23" s="8">
        <v>6.9499999999999993</v>
      </c>
      <c r="BA23" s="8">
        <v>0.15752548541365</v>
      </c>
      <c r="BB23" s="3">
        <v>0</v>
      </c>
    </row>
    <row r="24" spans="1:54" x14ac:dyDescent="0.25">
      <c r="A24" t="s">
        <v>61</v>
      </c>
      <c r="B24" s="2">
        <v>43279250</v>
      </c>
      <c r="C24" t="s">
        <v>62</v>
      </c>
      <c r="D24">
        <v>29</v>
      </c>
      <c r="E24" t="s">
        <v>63</v>
      </c>
      <c r="F24">
        <v>50</v>
      </c>
      <c r="G24">
        <v>50</v>
      </c>
      <c r="H24">
        <v>33.5</v>
      </c>
      <c r="I24">
        <v>8.9</v>
      </c>
      <c r="J24">
        <v>17.600000000000001</v>
      </c>
      <c r="K24">
        <v>0.50600000000000001</v>
      </c>
      <c r="L24">
        <v>1.6</v>
      </c>
      <c r="M24">
        <v>4.4000000000000004</v>
      </c>
      <c r="N24">
        <v>0.36499999999999999</v>
      </c>
      <c r="O24">
        <v>7.3</v>
      </c>
      <c r="P24">
        <v>13.2</v>
      </c>
      <c r="Q24">
        <v>0.55200000000000005</v>
      </c>
      <c r="R24">
        <v>0.55100000000000005</v>
      </c>
      <c r="S24">
        <v>3.8</v>
      </c>
      <c r="T24">
        <v>4.5999999999999996</v>
      </c>
      <c r="U24">
        <v>0.84199999999999997</v>
      </c>
      <c r="V24">
        <v>0.8</v>
      </c>
      <c r="W24">
        <v>3.1</v>
      </c>
      <c r="X24">
        <v>3.9</v>
      </c>
      <c r="Y24">
        <v>5.4</v>
      </c>
      <c r="Z24">
        <v>0.9</v>
      </c>
      <c r="AA24">
        <v>0.7</v>
      </c>
      <c r="AB24">
        <v>2.9</v>
      </c>
      <c r="AC24">
        <v>2.1</v>
      </c>
      <c r="AD24">
        <v>23.2</v>
      </c>
      <c r="AE24">
        <v>1673</v>
      </c>
      <c r="AF24">
        <v>19.7</v>
      </c>
      <c r="AG24">
        <v>0.59299999999999997</v>
      </c>
      <c r="AH24">
        <v>0.249</v>
      </c>
      <c r="AI24">
        <v>0.26</v>
      </c>
      <c r="AJ24">
        <v>2.8</v>
      </c>
      <c r="AK24">
        <v>9.9</v>
      </c>
      <c r="AL24">
        <v>6.5</v>
      </c>
      <c r="AM24">
        <v>26.6</v>
      </c>
      <c r="AN24">
        <v>1.3</v>
      </c>
      <c r="AO24">
        <v>1.7</v>
      </c>
      <c r="AP24">
        <v>12.9</v>
      </c>
      <c r="AQ24">
        <v>29.2</v>
      </c>
      <c r="AR24">
        <v>2.2000000000000002</v>
      </c>
      <c r="AS24">
        <v>1.2</v>
      </c>
      <c r="AT24">
        <v>3.4</v>
      </c>
      <c r="AU24">
        <v>9.9000000000000005E-2</v>
      </c>
      <c r="AV24">
        <v>2.9</v>
      </c>
      <c r="AW24">
        <v>-1.2</v>
      </c>
      <c r="AX24">
        <v>1.8</v>
      </c>
      <c r="AY24">
        <v>1.6</v>
      </c>
      <c r="AZ24" s="8">
        <v>2.6</v>
      </c>
      <c r="BA24" s="8">
        <v>6.0074978193938207E-2</v>
      </c>
      <c r="BB24" s="3">
        <v>0</v>
      </c>
    </row>
    <row r="25" spans="1:54" x14ac:dyDescent="0.25">
      <c r="A25" t="s">
        <v>64</v>
      </c>
      <c r="B25" s="2">
        <v>42492492</v>
      </c>
      <c r="C25" t="s">
        <v>65</v>
      </c>
      <c r="D25">
        <v>31</v>
      </c>
      <c r="E25" t="s">
        <v>55</v>
      </c>
      <c r="F25">
        <v>52</v>
      </c>
      <c r="G25">
        <v>50</v>
      </c>
      <c r="H25">
        <v>33.6</v>
      </c>
      <c r="I25">
        <v>8.6</v>
      </c>
      <c r="J25">
        <v>16.8</v>
      </c>
      <c r="K25">
        <v>0.51200000000000001</v>
      </c>
      <c r="L25">
        <v>2</v>
      </c>
      <c r="M25">
        <v>4.8</v>
      </c>
      <c r="N25">
        <v>0.41599999999999998</v>
      </c>
      <c r="O25">
        <v>6.6</v>
      </c>
      <c r="P25">
        <v>11.9</v>
      </c>
      <c r="Q25">
        <v>0.55100000000000005</v>
      </c>
      <c r="R25">
        <v>0.57199999999999995</v>
      </c>
      <c r="S25">
        <v>4.7</v>
      </c>
      <c r="T25">
        <v>5.4</v>
      </c>
      <c r="U25">
        <v>0.871</v>
      </c>
      <c r="V25">
        <v>1.1000000000000001</v>
      </c>
      <c r="W25">
        <v>5.4</v>
      </c>
      <c r="X25">
        <v>6.5</v>
      </c>
      <c r="Y25">
        <v>3.9</v>
      </c>
      <c r="Z25">
        <v>1.4</v>
      </c>
      <c r="AA25">
        <v>0.5</v>
      </c>
      <c r="AB25">
        <v>1.7</v>
      </c>
      <c r="AC25">
        <v>1.6</v>
      </c>
      <c r="AD25">
        <v>23.8</v>
      </c>
      <c r="AE25">
        <v>1748</v>
      </c>
      <c r="AF25">
        <v>23.9</v>
      </c>
      <c r="AG25">
        <v>0.623</v>
      </c>
      <c r="AH25">
        <v>0.28699999999999998</v>
      </c>
      <c r="AI25">
        <v>0.32</v>
      </c>
      <c r="AJ25">
        <v>3.7</v>
      </c>
      <c r="AK25">
        <v>17.8</v>
      </c>
      <c r="AL25">
        <v>10.8</v>
      </c>
      <c r="AM25">
        <v>19.600000000000001</v>
      </c>
      <c r="AN25">
        <v>2</v>
      </c>
      <c r="AO25">
        <v>1.4</v>
      </c>
      <c r="AP25">
        <v>8.1</v>
      </c>
      <c r="AQ25">
        <v>27</v>
      </c>
      <c r="AR25">
        <v>4.9000000000000004</v>
      </c>
      <c r="AS25">
        <v>2.2000000000000002</v>
      </c>
      <c r="AT25">
        <v>7.1</v>
      </c>
      <c r="AU25">
        <v>0.19400000000000001</v>
      </c>
      <c r="AV25">
        <v>5.0999999999999996</v>
      </c>
      <c r="AW25">
        <v>0.9</v>
      </c>
      <c r="AX25">
        <v>6.1</v>
      </c>
      <c r="AY25">
        <v>3.5</v>
      </c>
      <c r="AZ25" s="8">
        <v>6.6</v>
      </c>
      <c r="BA25" s="8">
        <v>0.15532155657051133</v>
      </c>
      <c r="BB25" s="3">
        <v>0</v>
      </c>
    </row>
    <row r="26" spans="1:54" x14ac:dyDescent="0.25">
      <c r="A26" t="s">
        <v>66</v>
      </c>
      <c r="B26" s="2">
        <v>42492492</v>
      </c>
      <c r="C26" t="s">
        <v>65</v>
      </c>
      <c r="D26">
        <v>32</v>
      </c>
      <c r="E26" t="s">
        <v>55</v>
      </c>
      <c r="F26">
        <v>56</v>
      </c>
      <c r="G26">
        <v>56</v>
      </c>
      <c r="H26">
        <v>34.6</v>
      </c>
      <c r="I26">
        <v>8.1999999999999993</v>
      </c>
      <c r="J26">
        <v>17.899999999999999</v>
      </c>
      <c r="K26">
        <v>0.45700000000000002</v>
      </c>
      <c r="L26">
        <v>2.8</v>
      </c>
      <c r="M26">
        <v>7.6</v>
      </c>
      <c r="N26">
        <v>0.371</v>
      </c>
      <c r="O26">
        <v>5.4</v>
      </c>
      <c r="P26">
        <v>10.3</v>
      </c>
      <c r="Q26">
        <v>0.52100000000000002</v>
      </c>
      <c r="R26">
        <v>0.53600000000000003</v>
      </c>
      <c r="S26">
        <v>4.5999999999999996</v>
      </c>
      <c r="T26">
        <v>5.3</v>
      </c>
      <c r="U26">
        <v>0.871</v>
      </c>
      <c r="V26">
        <v>0.8</v>
      </c>
      <c r="W26">
        <v>5.3</v>
      </c>
      <c r="X26">
        <v>6.1</v>
      </c>
      <c r="Y26">
        <v>5.0999999999999996</v>
      </c>
      <c r="Z26">
        <v>1.5</v>
      </c>
      <c r="AA26">
        <v>0.4</v>
      </c>
      <c r="AB26">
        <v>3.1</v>
      </c>
      <c r="AC26">
        <v>2.8</v>
      </c>
      <c r="AD26">
        <v>23.8</v>
      </c>
      <c r="AE26">
        <v>1939</v>
      </c>
      <c r="AF26">
        <v>19.600000000000001</v>
      </c>
      <c r="AG26">
        <v>0.58799999999999997</v>
      </c>
      <c r="AH26">
        <v>0.42399999999999999</v>
      </c>
      <c r="AI26">
        <v>0.29299999999999998</v>
      </c>
      <c r="AJ26">
        <v>2.6</v>
      </c>
      <c r="AK26">
        <v>17</v>
      </c>
      <c r="AL26">
        <v>9.9</v>
      </c>
      <c r="AM26">
        <v>24.2</v>
      </c>
      <c r="AN26">
        <v>2.1</v>
      </c>
      <c r="AO26">
        <v>0.9</v>
      </c>
      <c r="AP26">
        <v>13.4</v>
      </c>
      <c r="AQ26">
        <v>29.5</v>
      </c>
      <c r="AR26">
        <v>2.2999999999999998</v>
      </c>
      <c r="AS26">
        <v>2.2999999999999998</v>
      </c>
      <c r="AT26">
        <v>4.5999999999999996</v>
      </c>
      <c r="AU26">
        <v>0.114</v>
      </c>
      <c r="AV26">
        <v>2.4</v>
      </c>
      <c r="AW26">
        <v>0.3</v>
      </c>
      <c r="AX26">
        <v>2.8</v>
      </c>
      <c r="AY26">
        <v>2.2999999999999998</v>
      </c>
      <c r="AZ26" s="8">
        <v>3.6999999999999997</v>
      </c>
      <c r="BA26" s="8">
        <v>8.7074205956195735E-2</v>
      </c>
      <c r="BB26" s="3">
        <v>0</v>
      </c>
    </row>
    <row r="27" spans="1:54" x14ac:dyDescent="0.25">
      <c r="A27" t="s">
        <v>67</v>
      </c>
      <c r="B27" s="2">
        <v>42492492</v>
      </c>
      <c r="C27" t="s">
        <v>28</v>
      </c>
      <c r="D27">
        <v>28</v>
      </c>
      <c r="E27" t="s">
        <v>68</v>
      </c>
      <c r="F27">
        <v>63</v>
      </c>
      <c r="G27">
        <v>63</v>
      </c>
      <c r="H27">
        <v>32.1</v>
      </c>
      <c r="I27">
        <v>11.2</v>
      </c>
      <c r="J27">
        <v>20.3</v>
      </c>
      <c r="K27">
        <v>0.55300000000000005</v>
      </c>
      <c r="L27">
        <v>0.7</v>
      </c>
      <c r="M27">
        <v>2.7</v>
      </c>
      <c r="N27">
        <v>0.27500000000000002</v>
      </c>
      <c r="O27">
        <v>10.5</v>
      </c>
      <c r="P27">
        <v>17.600000000000001</v>
      </c>
      <c r="Q27">
        <v>0.59599999999999997</v>
      </c>
      <c r="R27">
        <v>0.57199999999999995</v>
      </c>
      <c r="S27">
        <v>7.9</v>
      </c>
      <c r="T27">
        <v>12.3</v>
      </c>
      <c r="U27">
        <v>0.64500000000000002</v>
      </c>
      <c r="V27">
        <v>2.2000000000000002</v>
      </c>
      <c r="W27">
        <v>9.6</v>
      </c>
      <c r="X27">
        <v>11.8</v>
      </c>
      <c r="Y27">
        <v>5.7</v>
      </c>
      <c r="Z27">
        <v>0.8</v>
      </c>
      <c r="AA27">
        <v>0.8</v>
      </c>
      <c r="AB27">
        <v>3.9</v>
      </c>
      <c r="AC27">
        <v>3.1</v>
      </c>
      <c r="AD27">
        <v>31.1</v>
      </c>
      <c r="AE27">
        <v>2024</v>
      </c>
      <c r="AF27">
        <v>29</v>
      </c>
      <c r="AG27">
        <v>0.60499999999999998</v>
      </c>
      <c r="AH27">
        <v>0.13400000000000001</v>
      </c>
      <c r="AI27">
        <v>0.60399999999999998</v>
      </c>
      <c r="AJ27">
        <v>7.3</v>
      </c>
      <c r="AK27">
        <v>30</v>
      </c>
      <c r="AL27">
        <v>19.100000000000001</v>
      </c>
      <c r="AM27">
        <v>33.200000000000003</v>
      </c>
      <c r="AN27">
        <v>1.2</v>
      </c>
      <c r="AO27">
        <v>2.1</v>
      </c>
      <c r="AP27">
        <v>13.2</v>
      </c>
      <c r="AQ27">
        <v>38.799999999999997</v>
      </c>
      <c r="AR27">
        <v>4.9000000000000004</v>
      </c>
      <c r="AS27">
        <v>3.7</v>
      </c>
      <c r="AT27">
        <v>8.6</v>
      </c>
      <c r="AU27">
        <v>0.20399999999999999</v>
      </c>
      <c r="AV27">
        <v>5.8</v>
      </c>
      <c r="AW27">
        <v>2.7</v>
      </c>
      <c r="AX27">
        <v>8.5</v>
      </c>
      <c r="AY27">
        <v>5.4</v>
      </c>
      <c r="AZ27" s="8">
        <v>8.5500000000000007</v>
      </c>
      <c r="BA27" s="8">
        <v>0.20121201646634421</v>
      </c>
      <c r="BB27" s="3">
        <v>0</v>
      </c>
    </row>
    <row r="28" spans="1:54" x14ac:dyDescent="0.25">
      <c r="A28" t="s">
        <v>69</v>
      </c>
      <c r="B28" s="2">
        <v>42492492</v>
      </c>
      <c r="C28" t="s">
        <v>52</v>
      </c>
      <c r="D28">
        <v>32</v>
      </c>
      <c r="E28" t="s">
        <v>70</v>
      </c>
      <c r="F28">
        <v>58</v>
      </c>
      <c r="G28">
        <v>58</v>
      </c>
      <c r="H28">
        <v>36.299999999999997</v>
      </c>
      <c r="I28">
        <v>9.6</v>
      </c>
      <c r="J28">
        <v>20.7</v>
      </c>
      <c r="K28">
        <v>0.46300000000000002</v>
      </c>
      <c r="L28">
        <v>4.2</v>
      </c>
      <c r="M28">
        <v>11.3</v>
      </c>
      <c r="N28">
        <v>0.371</v>
      </c>
      <c r="O28">
        <v>5.4</v>
      </c>
      <c r="P28">
        <v>9.4</v>
      </c>
      <c r="Q28">
        <v>0.57399999999999995</v>
      </c>
      <c r="R28">
        <v>0.56399999999999995</v>
      </c>
      <c r="S28">
        <v>8.8000000000000007</v>
      </c>
      <c r="T28">
        <v>9.6</v>
      </c>
      <c r="U28">
        <v>0.91400000000000003</v>
      </c>
      <c r="V28">
        <v>0.8</v>
      </c>
      <c r="W28">
        <v>4</v>
      </c>
      <c r="X28">
        <v>4.8</v>
      </c>
      <c r="Y28">
        <v>7.3</v>
      </c>
      <c r="Z28">
        <v>0.9</v>
      </c>
      <c r="AA28">
        <v>0.3</v>
      </c>
      <c r="AB28">
        <v>3.3</v>
      </c>
      <c r="AC28">
        <v>1.9</v>
      </c>
      <c r="AD28">
        <v>32.200000000000003</v>
      </c>
      <c r="AE28">
        <v>2107</v>
      </c>
      <c r="AF28">
        <v>26.7</v>
      </c>
      <c r="AG28">
        <v>0.64500000000000002</v>
      </c>
      <c r="AH28">
        <v>0.54700000000000004</v>
      </c>
      <c r="AI28">
        <v>0.46400000000000002</v>
      </c>
      <c r="AJ28">
        <v>2.4</v>
      </c>
      <c r="AK28">
        <v>12.8</v>
      </c>
      <c r="AL28">
        <v>7.6</v>
      </c>
      <c r="AM28">
        <v>35</v>
      </c>
      <c r="AN28">
        <v>1.2</v>
      </c>
      <c r="AO28">
        <v>0.8</v>
      </c>
      <c r="AP28">
        <v>11.7</v>
      </c>
      <c r="AQ28">
        <v>33.799999999999997</v>
      </c>
      <c r="AR28">
        <v>8.1999999999999993</v>
      </c>
      <c r="AS28">
        <v>0.8</v>
      </c>
      <c r="AT28">
        <v>9</v>
      </c>
      <c r="AU28">
        <v>0.20499999999999999</v>
      </c>
      <c r="AV28">
        <v>8.3000000000000007</v>
      </c>
      <c r="AW28">
        <v>-1.2</v>
      </c>
      <c r="AX28">
        <v>7.1</v>
      </c>
      <c r="AY28">
        <v>4.9000000000000004</v>
      </c>
      <c r="AZ28" s="8">
        <v>8.0500000000000007</v>
      </c>
      <c r="BA28" s="8">
        <v>0.18944523187766915</v>
      </c>
      <c r="BB28" s="3">
        <v>0</v>
      </c>
    </row>
    <row r="29" spans="1:54" x14ac:dyDescent="0.25">
      <c r="A29" t="s">
        <v>71</v>
      </c>
      <c r="B29" s="2">
        <v>40600080</v>
      </c>
      <c r="C29" t="s">
        <v>65</v>
      </c>
      <c r="D29">
        <v>32</v>
      </c>
      <c r="E29" t="s">
        <v>53</v>
      </c>
      <c r="F29">
        <v>69</v>
      </c>
      <c r="G29">
        <v>69</v>
      </c>
      <c r="H29">
        <v>33</v>
      </c>
      <c r="I29">
        <v>7.9</v>
      </c>
      <c r="J29">
        <v>18.100000000000001</v>
      </c>
      <c r="K29">
        <v>0.436</v>
      </c>
      <c r="L29">
        <v>4.4000000000000004</v>
      </c>
      <c r="M29">
        <v>10.6</v>
      </c>
      <c r="N29">
        <v>0.41199999999999998</v>
      </c>
      <c r="O29">
        <v>3.6</v>
      </c>
      <c r="P29">
        <v>7.6</v>
      </c>
      <c r="Q29">
        <v>0.47</v>
      </c>
      <c r="R29">
        <v>0.55600000000000005</v>
      </c>
      <c r="S29">
        <v>1.7</v>
      </c>
      <c r="T29">
        <v>1.9</v>
      </c>
      <c r="U29">
        <v>0.879</v>
      </c>
      <c r="V29">
        <v>0.6</v>
      </c>
      <c r="W29">
        <v>3.6</v>
      </c>
      <c r="X29">
        <v>4.0999999999999996</v>
      </c>
      <c r="Y29">
        <v>2.4</v>
      </c>
      <c r="Z29">
        <v>0.7</v>
      </c>
      <c r="AA29">
        <v>0.4</v>
      </c>
      <c r="AB29">
        <v>1.8</v>
      </c>
      <c r="AC29">
        <v>1.9</v>
      </c>
      <c r="AD29">
        <v>21.9</v>
      </c>
      <c r="AE29">
        <v>2279</v>
      </c>
      <c r="AF29">
        <v>14.7</v>
      </c>
      <c r="AG29">
        <v>0.57599999999999996</v>
      </c>
      <c r="AH29">
        <v>0.58399999999999996</v>
      </c>
      <c r="AI29">
        <v>0.105</v>
      </c>
      <c r="AJ29">
        <v>1.9</v>
      </c>
      <c r="AK29">
        <v>11.7</v>
      </c>
      <c r="AL29">
        <v>6.9</v>
      </c>
      <c r="AM29">
        <v>11</v>
      </c>
      <c r="AN29">
        <v>1</v>
      </c>
      <c r="AO29">
        <v>1.1000000000000001</v>
      </c>
      <c r="AP29">
        <v>8.6</v>
      </c>
      <c r="AQ29">
        <v>26.4</v>
      </c>
      <c r="AR29">
        <v>1.2</v>
      </c>
      <c r="AS29">
        <v>1.9</v>
      </c>
      <c r="AT29">
        <v>3.1</v>
      </c>
      <c r="AU29">
        <v>6.6000000000000003E-2</v>
      </c>
      <c r="AV29">
        <v>1.5</v>
      </c>
      <c r="AW29">
        <v>-1.7</v>
      </c>
      <c r="AX29">
        <v>-0.3</v>
      </c>
      <c r="AY29">
        <v>1</v>
      </c>
      <c r="AZ29" s="8">
        <v>1.4000000000000001</v>
      </c>
      <c r="BA29" s="8">
        <v>3.4482690674501139E-2</v>
      </c>
      <c r="BB29" s="3">
        <v>0</v>
      </c>
    </row>
    <row r="30" spans="1:54" x14ac:dyDescent="0.25">
      <c r="A30" t="s">
        <v>74</v>
      </c>
      <c r="B30" s="2">
        <v>38172414</v>
      </c>
      <c r="C30" t="s">
        <v>75</v>
      </c>
      <c r="D30">
        <v>30</v>
      </c>
      <c r="E30" t="s">
        <v>76</v>
      </c>
      <c r="F30">
        <v>70</v>
      </c>
      <c r="G30">
        <v>70</v>
      </c>
      <c r="H30">
        <v>30.7</v>
      </c>
      <c r="I30">
        <v>5.0999999999999996</v>
      </c>
      <c r="J30">
        <v>7.8</v>
      </c>
      <c r="K30">
        <v>0.65900000000000003</v>
      </c>
      <c r="L30">
        <v>0</v>
      </c>
      <c r="M30">
        <v>0</v>
      </c>
      <c r="N30">
        <v>0</v>
      </c>
      <c r="O30">
        <v>5.0999999999999996</v>
      </c>
      <c r="P30">
        <v>7.8</v>
      </c>
      <c r="Q30">
        <v>0.66300000000000003</v>
      </c>
      <c r="R30">
        <v>0.65900000000000003</v>
      </c>
      <c r="S30">
        <v>3.1</v>
      </c>
      <c r="T30">
        <v>4.9000000000000004</v>
      </c>
      <c r="U30">
        <v>0.64400000000000002</v>
      </c>
      <c r="V30">
        <v>3.3</v>
      </c>
      <c r="W30">
        <v>8.3000000000000007</v>
      </c>
      <c r="X30">
        <v>11.6</v>
      </c>
      <c r="Y30">
        <v>1.2</v>
      </c>
      <c r="Z30">
        <v>0.8</v>
      </c>
      <c r="AA30">
        <v>1.4</v>
      </c>
      <c r="AB30">
        <v>1.7</v>
      </c>
      <c r="AC30">
        <v>3</v>
      </c>
      <c r="AD30">
        <v>13.4</v>
      </c>
      <c r="AE30">
        <v>2148</v>
      </c>
      <c r="AF30">
        <v>18.899999999999999</v>
      </c>
      <c r="AG30">
        <v>0.67500000000000004</v>
      </c>
      <c r="AH30">
        <v>5.0000000000000001E-3</v>
      </c>
      <c r="AI30">
        <v>0.623</v>
      </c>
      <c r="AJ30">
        <v>12.2</v>
      </c>
      <c r="AK30">
        <v>29.8</v>
      </c>
      <c r="AL30">
        <v>21.2</v>
      </c>
      <c r="AM30">
        <v>5.6</v>
      </c>
      <c r="AN30">
        <v>1.2</v>
      </c>
      <c r="AO30">
        <v>3.9</v>
      </c>
      <c r="AP30">
        <v>14.9</v>
      </c>
      <c r="AQ30">
        <v>16.3</v>
      </c>
      <c r="AR30">
        <v>4.3</v>
      </c>
      <c r="AS30">
        <v>3.5</v>
      </c>
      <c r="AT30">
        <v>7.8</v>
      </c>
      <c r="AU30">
        <v>0.17399999999999999</v>
      </c>
      <c r="AV30">
        <v>0</v>
      </c>
      <c r="AW30">
        <v>0.7</v>
      </c>
      <c r="AX30">
        <v>0.7</v>
      </c>
      <c r="AY30">
        <v>1.4</v>
      </c>
      <c r="AZ30" s="8">
        <v>4.25</v>
      </c>
      <c r="BA30" s="8">
        <v>0.11133694609934808</v>
      </c>
      <c r="BB30" s="3">
        <v>0</v>
      </c>
    </row>
    <row r="31" spans="1:54" x14ac:dyDescent="0.25">
      <c r="A31" t="s">
        <v>78</v>
      </c>
      <c r="B31" s="2">
        <v>37980720</v>
      </c>
      <c r="C31" t="s">
        <v>75</v>
      </c>
      <c r="D31">
        <v>29</v>
      </c>
      <c r="E31" t="s">
        <v>58</v>
      </c>
      <c r="F31">
        <v>56</v>
      </c>
      <c r="G31">
        <v>54</v>
      </c>
      <c r="H31">
        <v>34</v>
      </c>
      <c r="I31">
        <v>9.6999999999999993</v>
      </c>
      <c r="J31">
        <v>17.2</v>
      </c>
      <c r="K31">
        <v>0.56299999999999994</v>
      </c>
      <c r="L31">
        <v>0.3</v>
      </c>
      <c r="M31">
        <v>1.3</v>
      </c>
      <c r="N31">
        <v>0.25700000000000001</v>
      </c>
      <c r="O31">
        <v>9.3000000000000007</v>
      </c>
      <c r="P31">
        <v>15.9</v>
      </c>
      <c r="Q31">
        <v>0.58899999999999997</v>
      </c>
      <c r="R31">
        <v>0.57299999999999995</v>
      </c>
      <c r="S31">
        <v>6.2</v>
      </c>
      <c r="T31">
        <v>7.9</v>
      </c>
      <c r="U31">
        <v>0.78400000000000003</v>
      </c>
      <c r="V31">
        <v>3.5</v>
      </c>
      <c r="W31">
        <v>9.1</v>
      </c>
      <c r="X31">
        <v>12.5</v>
      </c>
      <c r="Y31">
        <v>2.6</v>
      </c>
      <c r="Z31">
        <v>1.1000000000000001</v>
      </c>
      <c r="AA31">
        <v>2</v>
      </c>
      <c r="AB31">
        <v>2.2000000000000002</v>
      </c>
      <c r="AC31">
        <v>2.6</v>
      </c>
      <c r="AD31">
        <v>25.9</v>
      </c>
      <c r="AE31">
        <v>1904</v>
      </c>
      <c r="AF31">
        <v>27.8</v>
      </c>
      <c r="AG31">
        <v>0.627</v>
      </c>
      <c r="AH31">
        <v>7.6999999999999999E-2</v>
      </c>
      <c r="AI31">
        <v>0.46200000000000002</v>
      </c>
      <c r="AJ31">
        <v>11.3</v>
      </c>
      <c r="AK31">
        <v>27.6</v>
      </c>
      <c r="AL31">
        <v>19.7</v>
      </c>
      <c r="AM31">
        <v>13</v>
      </c>
      <c r="AN31">
        <v>1.5</v>
      </c>
      <c r="AO31">
        <v>5.0999999999999996</v>
      </c>
      <c r="AP31">
        <v>9.5</v>
      </c>
      <c r="AQ31">
        <v>28.4</v>
      </c>
      <c r="AR31">
        <v>5.5</v>
      </c>
      <c r="AS31">
        <v>3.4</v>
      </c>
      <c r="AT31">
        <v>9</v>
      </c>
      <c r="AU31">
        <v>0.22600000000000001</v>
      </c>
      <c r="AV31">
        <v>4.5999999999999996</v>
      </c>
      <c r="AW31">
        <v>1.7</v>
      </c>
      <c r="AX31">
        <v>6.3</v>
      </c>
      <c r="AY31">
        <v>4</v>
      </c>
      <c r="AZ31" s="8">
        <v>7.65</v>
      </c>
      <c r="BA31" s="8">
        <v>0.20141798259748631</v>
      </c>
      <c r="BB31" s="3">
        <v>0</v>
      </c>
    </row>
    <row r="32" spans="1:54" x14ac:dyDescent="0.25">
      <c r="A32" t="s">
        <v>81</v>
      </c>
      <c r="B32" s="2">
        <v>37633050</v>
      </c>
      <c r="C32" t="s">
        <v>65</v>
      </c>
      <c r="D32">
        <v>30</v>
      </c>
      <c r="E32" t="s">
        <v>82</v>
      </c>
      <c r="F32">
        <v>74</v>
      </c>
      <c r="G32">
        <v>74</v>
      </c>
      <c r="H32">
        <v>32.9</v>
      </c>
      <c r="I32">
        <v>5.7</v>
      </c>
      <c r="J32">
        <v>11.4</v>
      </c>
      <c r="K32">
        <v>0.501</v>
      </c>
      <c r="L32">
        <v>1.7</v>
      </c>
      <c r="M32">
        <v>4.4000000000000004</v>
      </c>
      <c r="N32">
        <v>0.38900000000000001</v>
      </c>
      <c r="O32">
        <v>4</v>
      </c>
      <c r="P32">
        <v>7</v>
      </c>
      <c r="Q32">
        <v>0.56999999999999995</v>
      </c>
      <c r="R32">
        <v>0.57499999999999996</v>
      </c>
      <c r="S32">
        <v>1.5</v>
      </c>
      <c r="T32">
        <v>1.7</v>
      </c>
      <c r="U32">
        <v>0.876</v>
      </c>
      <c r="V32">
        <v>0.9</v>
      </c>
      <c r="W32">
        <v>4.8</v>
      </c>
      <c r="X32">
        <v>5.7</v>
      </c>
      <c r="Y32">
        <v>2.5</v>
      </c>
      <c r="Z32">
        <v>0.9</v>
      </c>
      <c r="AA32">
        <v>0.5</v>
      </c>
      <c r="AB32">
        <v>1.2</v>
      </c>
      <c r="AC32">
        <v>2</v>
      </c>
      <c r="AD32">
        <v>14.7</v>
      </c>
      <c r="AE32">
        <v>2436</v>
      </c>
      <c r="AF32">
        <v>14.8</v>
      </c>
      <c r="AG32">
        <v>0.60199999999999998</v>
      </c>
      <c r="AH32">
        <v>0.38300000000000001</v>
      </c>
      <c r="AI32">
        <v>0.153</v>
      </c>
      <c r="AJ32">
        <v>3.3</v>
      </c>
      <c r="AK32">
        <v>17</v>
      </c>
      <c r="AL32">
        <v>10.3</v>
      </c>
      <c r="AM32">
        <v>11.4</v>
      </c>
      <c r="AN32">
        <v>1.4</v>
      </c>
      <c r="AO32">
        <v>1.5</v>
      </c>
      <c r="AP32">
        <v>9</v>
      </c>
      <c r="AQ32">
        <v>18.2</v>
      </c>
      <c r="AR32">
        <v>3.1</v>
      </c>
      <c r="AS32">
        <v>2.8</v>
      </c>
      <c r="AT32">
        <v>5.9</v>
      </c>
      <c r="AU32">
        <v>0.11600000000000001</v>
      </c>
      <c r="AV32">
        <v>0.6</v>
      </c>
      <c r="AW32">
        <v>0.1</v>
      </c>
      <c r="AX32">
        <v>0.7</v>
      </c>
      <c r="AY32">
        <v>1.7</v>
      </c>
      <c r="AZ32" s="8">
        <v>3.3000000000000003</v>
      </c>
      <c r="BA32" s="8">
        <v>8.7688879854277035E-2</v>
      </c>
      <c r="BB32" s="3">
        <v>0</v>
      </c>
    </row>
    <row r="33" spans="1:54" x14ac:dyDescent="0.25">
      <c r="A33" t="s">
        <v>84</v>
      </c>
      <c r="B33" s="2">
        <v>37096500</v>
      </c>
      <c r="C33" t="s">
        <v>52</v>
      </c>
      <c r="D33">
        <v>24</v>
      </c>
      <c r="E33" t="s">
        <v>85</v>
      </c>
      <c r="F33">
        <v>73</v>
      </c>
      <c r="G33">
        <v>73</v>
      </c>
      <c r="H33">
        <v>34.799999999999997</v>
      </c>
      <c r="I33">
        <v>8.1999999999999993</v>
      </c>
      <c r="J33">
        <v>19</v>
      </c>
      <c r="K33">
        <v>0.42899999999999999</v>
      </c>
      <c r="L33">
        <v>2.1</v>
      </c>
      <c r="M33">
        <v>6.3</v>
      </c>
      <c r="N33">
        <v>0.33500000000000002</v>
      </c>
      <c r="O33">
        <v>6.1</v>
      </c>
      <c r="P33">
        <v>12.7</v>
      </c>
      <c r="Q33">
        <v>0.47599999999999998</v>
      </c>
      <c r="R33">
        <v>0.48499999999999999</v>
      </c>
      <c r="S33">
        <v>7.8</v>
      </c>
      <c r="T33">
        <v>8.8000000000000007</v>
      </c>
      <c r="U33">
        <v>0.88600000000000001</v>
      </c>
      <c r="V33">
        <v>0.8</v>
      </c>
      <c r="W33">
        <v>2.2000000000000002</v>
      </c>
      <c r="X33">
        <v>3</v>
      </c>
      <c r="Y33">
        <v>10.199999999999999</v>
      </c>
      <c r="Z33">
        <v>1.1000000000000001</v>
      </c>
      <c r="AA33">
        <v>0.1</v>
      </c>
      <c r="AB33">
        <v>4.0999999999999996</v>
      </c>
      <c r="AC33">
        <v>1.4</v>
      </c>
      <c r="AD33">
        <v>26.2</v>
      </c>
      <c r="AE33">
        <v>2541</v>
      </c>
      <c r="AF33">
        <v>22</v>
      </c>
      <c r="AG33">
        <v>0.57299999999999995</v>
      </c>
      <c r="AH33">
        <v>0.33100000000000002</v>
      </c>
      <c r="AI33">
        <v>0.46</v>
      </c>
      <c r="AJ33">
        <v>2.4</v>
      </c>
      <c r="AK33">
        <v>7</v>
      </c>
      <c r="AL33">
        <v>4.7</v>
      </c>
      <c r="AM33">
        <v>42.5</v>
      </c>
      <c r="AN33">
        <v>1.5</v>
      </c>
      <c r="AO33">
        <v>0.3</v>
      </c>
      <c r="AP33">
        <v>15.2</v>
      </c>
      <c r="AQ33">
        <v>32.6</v>
      </c>
      <c r="AR33">
        <v>5.3</v>
      </c>
      <c r="AS33">
        <v>1.4</v>
      </c>
      <c r="AT33">
        <v>6.7</v>
      </c>
      <c r="AU33">
        <v>0.126</v>
      </c>
      <c r="AV33">
        <v>5.3</v>
      </c>
      <c r="AW33">
        <v>-2</v>
      </c>
      <c r="AX33">
        <v>3.3</v>
      </c>
      <c r="AY33">
        <v>3.4</v>
      </c>
      <c r="AZ33" s="8">
        <v>5</v>
      </c>
      <c r="BA33" s="8">
        <v>0.13478360492229724</v>
      </c>
      <c r="BB33" s="3">
        <v>0</v>
      </c>
    </row>
    <row r="34" spans="1:54" x14ac:dyDescent="0.25">
      <c r="A34" t="s">
        <v>86</v>
      </c>
      <c r="B34" s="2">
        <v>37096500</v>
      </c>
      <c r="C34" t="s">
        <v>62</v>
      </c>
      <c r="D34">
        <v>27</v>
      </c>
      <c r="E34" t="s">
        <v>87</v>
      </c>
      <c r="F34">
        <v>77</v>
      </c>
      <c r="G34">
        <v>77</v>
      </c>
      <c r="H34">
        <v>35.9</v>
      </c>
      <c r="I34">
        <v>8.6999999999999993</v>
      </c>
      <c r="J34">
        <v>18</v>
      </c>
      <c r="K34">
        <v>0.48499999999999999</v>
      </c>
      <c r="L34">
        <v>2.6</v>
      </c>
      <c r="M34">
        <v>7.1</v>
      </c>
      <c r="N34">
        <v>0.375</v>
      </c>
      <c r="O34">
        <v>6.1</v>
      </c>
      <c r="P34">
        <v>11</v>
      </c>
      <c r="Q34">
        <v>0.55600000000000005</v>
      </c>
      <c r="R34">
        <v>0.55800000000000005</v>
      </c>
      <c r="S34">
        <v>4.7</v>
      </c>
      <c r="T34">
        <v>5.6</v>
      </c>
      <c r="U34">
        <v>0.84799999999999998</v>
      </c>
      <c r="V34">
        <v>0.5</v>
      </c>
      <c r="W34">
        <v>3.9</v>
      </c>
      <c r="X34">
        <v>4.5</v>
      </c>
      <c r="Y34">
        <v>4.2</v>
      </c>
      <c r="Z34">
        <v>0.9</v>
      </c>
      <c r="AA34">
        <v>0.2</v>
      </c>
      <c r="AB34">
        <v>2.5</v>
      </c>
      <c r="AC34">
        <v>2.1</v>
      </c>
      <c r="AD34">
        <v>24.8</v>
      </c>
      <c r="AE34">
        <v>2768</v>
      </c>
      <c r="AF34">
        <v>19</v>
      </c>
      <c r="AG34">
        <v>0.60699999999999998</v>
      </c>
      <c r="AH34">
        <v>0.39200000000000002</v>
      </c>
      <c r="AI34">
        <v>0.308</v>
      </c>
      <c r="AJ34">
        <v>1.7</v>
      </c>
      <c r="AK34">
        <v>12.2</v>
      </c>
      <c r="AL34">
        <v>7.1</v>
      </c>
      <c r="AM34">
        <v>18.7</v>
      </c>
      <c r="AN34">
        <v>1.2</v>
      </c>
      <c r="AO34">
        <v>0.6</v>
      </c>
      <c r="AP34">
        <v>11</v>
      </c>
      <c r="AQ34">
        <v>28.3</v>
      </c>
      <c r="AR34">
        <v>4.2</v>
      </c>
      <c r="AS34">
        <v>2.9</v>
      </c>
      <c r="AT34">
        <v>7.1</v>
      </c>
      <c r="AU34">
        <v>0.123</v>
      </c>
      <c r="AV34">
        <v>2.7</v>
      </c>
      <c r="AW34">
        <v>-0.7</v>
      </c>
      <c r="AX34">
        <v>1.9</v>
      </c>
      <c r="AY34">
        <v>2.7</v>
      </c>
      <c r="AZ34" s="8">
        <v>4.5</v>
      </c>
      <c r="BA34" s="8">
        <v>0.12130524443006753</v>
      </c>
      <c r="BB34" s="3">
        <v>0</v>
      </c>
    </row>
    <row r="35" spans="1:54" x14ac:dyDescent="0.25">
      <c r="A35" t="s">
        <v>88</v>
      </c>
      <c r="B35" s="2">
        <v>35448672</v>
      </c>
      <c r="C35" t="s">
        <v>52</v>
      </c>
      <c r="D35">
        <v>26</v>
      </c>
      <c r="E35" t="s">
        <v>89</v>
      </c>
      <c r="F35">
        <v>42</v>
      </c>
      <c r="G35">
        <v>33</v>
      </c>
      <c r="H35">
        <v>26.3</v>
      </c>
      <c r="I35">
        <v>3.2</v>
      </c>
      <c r="J35">
        <v>5.6</v>
      </c>
      <c r="K35">
        <v>0.56599999999999995</v>
      </c>
      <c r="L35">
        <v>0</v>
      </c>
      <c r="M35">
        <v>0</v>
      </c>
      <c r="N35">
        <v>0</v>
      </c>
      <c r="O35">
        <v>3.2</v>
      </c>
      <c r="P35">
        <v>5.5</v>
      </c>
      <c r="Q35">
        <v>0.57099999999999995</v>
      </c>
      <c r="R35">
        <v>0.56599999999999995</v>
      </c>
      <c r="S35">
        <v>0.6</v>
      </c>
      <c r="T35">
        <v>1.4</v>
      </c>
      <c r="U35">
        <v>0.439</v>
      </c>
      <c r="V35">
        <v>1</v>
      </c>
      <c r="W35">
        <v>5.3</v>
      </c>
      <c r="X35">
        <v>6.3</v>
      </c>
      <c r="Y35">
        <v>6.1</v>
      </c>
      <c r="Z35">
        <v>1.3</v>
      </c>
      <c r="AA35">
        <v>0.6</v>
      </c>
      <c r="AB35">
        <v>2.2999999999999998</v>
      </c>
      <c r="AC35">
        <v>3.3</v>
      </c>
      <c r="AD35">
        <v>6.9</v>
      </c>
      <c r="AE35">
        <v>1105</v>
      </c>
      <c r="AF35">
        <v>13.4</v>
      </c>
      <c r="AG35">
        <v>0.55900000000000005</v>
      </c>
      <c r="AH35">
        <v>8.9999999999999993E-3</v>
      </c>
      <c r="AI35">
        <v>0.24299999999999999</v>
      </c>
      <c r="AJ35">
        <v>4.2</v>
      </c>
      <c r="AK35">
        <v>22.2</v>
      </c>
      <c r="AL35">
        <v>13.4</v>
      </c>
      <c r="AM35">
        <v>31.3</v>
      </c>
      <c r="AN35">
        <v>2.4</v>
      </c>
      <c r="AO35">
        <v>1.9</v>
      </c>
      <c r="AP35">
        <v>27.2</v>
      </c>
      <c r="AQ35">
        <v>14.3</v>
      </c>
      <c r="AR35">
        <v>0.5</v>
      </c>
      <c r="AS35">
        <v>1.7</v>
      </c>
      <c r="AT35">
        <v>2.2000000000000002</v>
      </c>
      <c r="AU35">
        <v>9.7000000000000003E-2</v>
      </c>
      <c r="AV35">
        <v>-2.2000000000000002</v>
      </c>
      <c r="AW35">
        <v>2.6</v>
      </c>
      <c r="AX35">
        <v>0.4</v>
      </c>
      <c r="AY35">
        <v>0.7</v>
      </c>
      <c r="AZ35" s="8">
        <v>1.3</v>
      </c>
      <c r="BA35" s="8">
        <v>3.6672741929514314E-2</v>
      </c>
      <c r="BB35" s="3">
        <v>0</v>
      </c>
    </row>
    <row r="36" spans="1:54" x14ac:dyDescent="0.25">
      <c r="A36" t="s">
        <v>90</v>
      </c>
      <c r="B36" s="2">
        <v>35448672</v>
      </c>
      <c r="C36" t="s">
        <v>28</v>
      </c>
      <c r="D36">
        <v>28</v>
      </c>
      <c r="E36" t="s">
        <v>91</v>
      </c>
      <c r="F36">
        <v>71</v>
      </c>
      <c r="G36">
        <v>71</v>
      </c>
      <c r="H36">
        <v>37.4</v>
      </c>
      <c r="I36">
        <v>8.9</v>
      </c>
      <c r="J36">
        <v>18.5</v>
      </c>
      <c r="K36">
        <v>0.48</v>
      </c>
      <c r="L36">
        <v>1.3</v>
      </c>
      <c r="M36">
        <v>4</v>
      </c>
      <c r="N36">
        <v>0.32400000000000001</v>
      </c>
      <c r="O36">
        <v>7.6</v>
      </c>
      <c r="P36">
        <v>14.5</v>
      </c>
      <c r="Q36">
        <v>0.52300000000000002</v>
      </c>
      <c r="R36">
        <v>0.51500000000000001</v>
      </c>
      <c r="S36">
        <v>5.2</v>
      </c>
      <c r="T36">
        <v>6.7</v>
      </c>
      <c r="U36">
        <v>0.77400000000000002</v>
      </c>
      <c r="V36">
        <v>1.8</v>
      </c>
      <c r="W36">
        <v>6</v>
      </c>
      <c r="X36">
        <v>7.8</v>
      </c>
      <c r="Y36">
        <v>5.8</v>
      </c>
      <c r="Z36">
        <v>0.9</v>
      </c>
      <c r="AA36">
        <v>0.5</v>
      </c>
      <c r="AB36">
        <v>2.4</v>
      </c>
      <c r="AC36">
        <v>3.2</v>
      </c>
      <c r="AD36">
        <v>24.2</v>
      </c>
      <c r="AE36">
        <v>2652</v>
      </c>
      <c r="AF36">
        <v>20.3</v>
      </c>
      <c r="AG36">
        <v>0.56499999999999995</v>
      </c>
      <c r="AH36">
        <v>0.219</v>
      </c>
      <c r="AI36">
        <v>0.36099999999999999</v>
      </c>
      <c r="AJ36">
        <v>5.2</v>
      </c>
      <c r="AK36">
        <v>19.600000000000001</v>
      </c>
      <c r="AL36">
        <v>11.9</v>
      </c>
      <c r="AM36">
        <v>24.9</v>
      </c>
      <c r="AN36">
        <v>1.2</v>
      </c>
      <c r="AO36">
        <v>1.3</v>
      </c>
      <c r="AP36">
        <v>10</v>
      </c>
      <c r="AQ36">
        <v>27.2</v>
      </c>
      <c r="AR36">
        <v>5.2</v>
      </c>
      <c r="AS36">
        <v>2.6</v>
      </c>
      <c r="AT36">
        <v>7.8</v>
      </c>
      <c r="AU36">
        <v>0.14099999999999999</v>
      </c>
      <c r="AV36">
        <v>3.3</v>
      </c>
      <c r="AW36">
        <v>-0.1</v>
      </c>
      <c r="AX36">
        <v>3.1</v>
      </c>
      <c r="AY36">
        <v>3.4</v>
      </c>
      <c r="AZ36" s="8">
        <v>5.45</v>
      </c>
      <c r="BA36" s="8">
        <v>0.15374341808911771</v>
      </c>
      <c r="BB36" s="3">
        <v>0</v>
      </c>
    </row>
    <row r="37" spans="1:54" x14ac:dyDescent="0.25">
      <c r="A37" t="s">
        <v>92</v>
      </c>
      <c r="B37" s="2">
        <v>35096500</v>
      </c>
      <c r="C37" t="s">
        <v>75</v>
      </c>
      <c r="D37">
        <v>26</v>
      </c>
      <c r="E37" t="s">
        <v>93</v>
      </c>
      <c r="F37">
        <v>62</v>
      </c>
      <c r="G37">
        <v>62</v>
      </c>
      <c r="H37">
        <v>29.4</v>
      </c>
      <c r="I37">
        <v>6.5</v>
      </c>
      <c r="J37">
        <v>11.8</v>
      </c>
      <c r="K37">
        <v>0.54800000000000004</v>
      </c>
      <c r="L37">
        <v>1.5</v>
      </c>
      <c r="M37">
        <v>4</v>
      </c>
      <c r="N37">
        <v>0.373</v>
      </c>
      <c r="O37">
        <v>5</v>
      </c>
      <c r="P37">
        <v>7.8</v>
      </c>
      <c r="Q37">
        <v>0.63800000000000001</v>
      </c>
      <c r="R37">
        <v>0.61199999999999999</v>
      </c>
      <c r="S37">
        <v>3.5</v>
      </c>
      <c r="T37">
        <v>4.5</v>
      </c>
      <c r="U37">
        <v>0.78300000000000003</v>
      </c>
      <c r="V37">
        <v>1.4</v>
      </c>
      <c r="W37">
        <v>6.1</v>
      </c>
      <c r="X37">
        <v>7.5</v>
      </c>
      <c r="Y37">
        <v>1.4</v>
      </c>
      <c r="Z37">
        <v>0.6</v>
      </c>
      <c r="AA37">
        <v>2.2999999999999998</v>
      </c>
      <c r="AB37">
        <v>1.7</v>
      </c>
      <c r="AC37">
        <v>3.5</v>
      </c>
      <c r="AD37">
        <v>18</v>
      </c>
      <c r="AE37">
        <v>1825</v>
      </c>
      <c r="AF37">
        <v>20</v>
      </c>
      <c r="AG37">
        <v>0.65100000000000002</v>
      </c>
      <c r="AH37">
        <v>0.34</v>
      </c>
      <c r="AI37">
        <v>0.377</v>
      </c>
      <c r="AJ37">
        <v>5.4</v>
      </c>
      <c r="AK37">
        <v>22.9</v>
      </c>
      <c r="AL37">
        <v>14.2</v>
      </c>
      <c r="AM37">
        <v>7.5</v>
      </c>
      <c r="AN37">
        <v>0.9</v>
      </c>
      <c r="AO37">
        <v>6.6</v>
      </c>
      <c r="AP37">
        <v>10.8</v>
      </c>
      <c r="AQ37">
        <v>22</v>
      </c>
      <c r="AR37">
        <v>3.4</v>
      </c>
      <c r="AS37">
        <v>2</v>
      </c>
      <c r="AT37">
        <v>5.4</v>
      </c>
      <c r="AU37">
        <v>0.14199999999999999</v>
      </c>
      <c r="AV37">
        <v>1.4</v>
      </c>
      <c r="AW37">
        <v>0.7</v>
      </c>
      <c r="AX37">
        <v>2.1</v>
      </c>
      <c r="AY37">
        <v>1.9</v>
      </c>
      <c r="AZ37" s="8">
        <v>3.75</v>
      </c>
      <c r="BA37" s="8">
        <v>0.10684826122262904</v>
      </c>
      <c r="BB37" s="3">
        <v>0</v>
      </c>
    </row>
    <row r="38" spans="1:54" x14ac:dyDescent="0.25">
      <c r="A38" t="s">
        <v>94</v>
      </c>
      <c r="B38" s="2">
        <v>34319520</v>
      </c>
      <c r="C38" t="s">
        <v>52</v>
      </c>
      <c r="D38">
        <v>32</v>
      </c>
      <c r="E38" t="s">
        <v>68</v>
      </c>
      <c r="F38">
        <v>67</v>
      </c>
      <c r="G38">
        <v>65</v>
      </c>
      <c r="H38">
        <v>32.6</v>
      </c>
      <c r="I38">
        <v>7.3</v>
      </c>
      <c r="J38">
        <v>15.3</v>
      </c>
      <c r="K38">
        <v>0.47899999999999998</v>
      </c>
      <c r="L38">
        <v>2.4</v>
      </c>
      <c r="M38">
        <v>6.1</v>
      </c>
      <c r="N38">
        <v>0.38400000000000001</v>
      </c>
      <c r="O38">
        <v>5</v>
      </c>
      <c r="P38">
        <v>9.1</v>
      </c>
      <c r="Q38">
        <v>0.54200000000000004</v>
      </c>
      <c r="R38">
        <v>0.55600000000000005</v>
      </c>
      <c r="S38">
        <v>2.2999999999999998</v>
      </c>
      <c r="T38">
        <v>2.6</v>
      </c>
      <c r="U38">
        <v>0.85899999999999999</v>
      </c>
      <c r="V38">
        <v>1.2</v>
      </c>
      <c r="W38">
        <v>3.9</v>
      </c>
      <c r="X38">
        <v>5.0999999999999996</v>
      </c>
      <c r="Y38">
        <v>7.4</v>
      </c>
      <c r="Z38">
        <v>1.2</v>
      </c>
      <c r="AA38">
        <v>0.4</v>
      </c>
      <c r="AB38">
        <v>2.9</v>
      </c>
      <c r="AC38">
        <v>1.7</v>
      </c>
      <c r="AD38">
        <v>19.3</v>
      </c>
      <c r="AE38">
        <v>2183</v>
      </c>
      <c r="AF38">
        <v>19.2</v>
      </c>
      <c r="AG38">
        <v>0.58599999999999997</v>
      </c>
      <c r="AH38">
        <v>0.40200000000000002</v>
      </c>
      <c r="AI38">
        <v>0.17299999999999999</v>
      </c>
      <c r="AJ38">
        <v>3.9</v>
      </c>
      <c r="AK38">
        <v>12</v>
      </c>
      <c r="AL38">
        <v>8.1</v>
      </c>
      <c r="AM38">
        <v>34.4</v>
      </c>
      <c r="AN38">
        <v>1.7</v>
      </c>
      <c r="AO38">
        <v>0.9</v>
      </c>
      <c r="AP38">
        <v>15.2</v>
      </c>
      <c r="AQ38">
        <v>25</v>
      </c>
      <c r="AR38">
        <v>3.9</v>
      </c>
      <c r="AS38">
        <v>2.8</v>
      </c>
      <c r="AT38">
        <v>6.7</v>
      </c>
      <c r="AU38">
        <v>0.14799999999999999</v>
      </c>
      <c r="AV38">
        <v>3</v>
      </c>
      <c r="AW38">
        <v>0.1</v>
      </c>
      <c r="AX38">
        <v>3.1</v>
      </c>
      <c r="AY38">
        <v>2.8</v>
      </c>
      <c r="AZ38" s="8">
        <v>4.9000000000000004</v>
      </c>
      <c r="BA38" s="8">
        <v>0.14277588963948215</v>
      </c>
      <c r="BB38" s="3">
        <v>0</v>
      </c>
    </row>
    <row r="39" spans="1:54" x14ac:dyDescent="0.25">
      <c r="A39" t="s">
        <v>96</v>
      </c>
      <c r="B39" s="2">
        <v>33833400</v>
      </c>
      <c r="C39" t="s">
        <v>62</v>
      </c>
      <c r="D39">
        <v>26</v>
      </c>
      <c r="E39" t="s">
        <v>60</v>
      </c>
      <c r="F39">
        <v>53</v>
      </c>
      <c r="G39">
        <v>53</v>
      </c>
      <c r="H39">
        <v>34.6</v>
      </c>
      <c r="I39">
        <v>9.9</v>
      </c>
      <c r="J39">
        <v>20.100000000000001</v>
      </c>
      <c r="K39">
        <v>0.49399999999999999</v>
      </c>
      <c r="L39">
        <v>2.1</v>
      </c>
      <c r="M39">
        <v>6</v>
      </c>
      <c r="N39">
        <v>0.35099999999999998</v>
      </c>
      <c r="O39">
        <v>7.8</v>
      </c>
      <c r="P39">
        <v>14.2</v>
      </c>
      <c r="Q39">
        <v>0.55400000000000005</v>
      </c>
      <c r="R39">
        <v>0.54600000000000004</v>
      </c>
      <c r="S39">
        <v>5.8</v>
      </c>
      <c r="T39">
        <v>6.8</v>
      </c>
      <c r="U39">
        <v>0.85499999999999998</v>
      </c>
      <c r="V39">
        <v>0.9</v>
      </c>
      <c r="W39">
        <v>3.7</v>
      </c>
      <c r="X39">
        <v>4.5</v>
      </c>
      <c r="Y39">
        <v>5.5</v>
      </c>
      <c r="Z39">
        <v>1</v>
      </c>
      <c r="AA39">
        <v>0.3</v>
      </c>
      <c r="AB39">
        <v>2.7</v>
      </c>
      <c r="AC39">
        <v>3</v>
      </c>
      <c r="AD39">
        <v>27.8</v>
      </c>
      <c r="AE39">
        <v>1835</v>
      </c>
      <c r="AF39">
        <v>22</v>
      </c>
      <c r="AG39">
        <v>0.60099999999999998</v>
      </c>
      <c r="AH39">
        <v>0.29599999999999999</v>
      </c>
      <c r="AI39">
        <v>0.33600000000000002</v>
      </c>
      <c r="AJ39">
        <v>2.7</v>
      </c>
      <c r="AK39">
        <v>12</v>
      </c>
      <c r="AL39">
        <v>7.2</v>
      </c>
      <c r="AM39">
        <v>27.3</v>
      </c>
      <c r="AN39">
        <v>1.4</v>
      </c>
      <c r="AO39">
        <v>0.9</v>
      </c>
      <c r="AP39">
        <v>10.6</v>
      </c>
      <c r="AQ39">
        <v>31.8</v>
      </c>
      <c r="AR39">
        <v>4.2</v>
      </c>
      <c r="AS39">
        <v>1.9</v>
      </c>
      <c r="AT39">
        <v>6</v>
      </c>
      <c r="AU39">
        <v>0.157</v>
      </c>
      <c r="AV39">
        <v>4.5</v>
      </c>
      <c r="AW39">
        <v>-0.3</v>
      </c>
      <c r="AX39">
        <v>4.2</v>
      </c>
      <c r="AY39">
        <v>2.9</v>
      </c>
      <c r="AZ39" s="8">
        <v>5.0999999999999996</v>
      </c>
      <c r="BA39" s="8">
        <v>0.15073861923424781</v>
      </c>
      <c r="BB39" s="3">
        <v>0</v>
      </c>
    </row>
    <row r="40" spans="1:54" x14ac:dyDescent="0.25">
      <c r="A40" t="s">
        <v>97</v>
      </c>
      <c r="B40" s="2">
        <v>33616770</v>
      </c>
      <c r="C40" t="s">
        <v>65</v>
      </c>
      <c r="D40">
        <v>27</v>
      </c>
      <c r="E40" t="s">
        <v>53</v>
      </c>
      <c r="F40">
        <v>37</v>
      </c>
      <c r="G40">
        <v>37</v>
      </c>
      <c r="H40">
        <v>32.200000000000003</v>
      </c>
      <c r="I40">
        <v>6.8</v>
      </c>
      <c r="J40">
        <v>14.3</v>
      </c>
      <c r="K40">
        <v>0.47299999999999998</v>
      </c>
      <c r="L40">
        <v>2.4</v>
      </c>
      <c r="M40">
        <v>6.1</v>
      </c>
      <c r="N40">
        <v>0.39600000000000002</v>
      </c>
      <c r="O40">
        <v>4.4000000000000004</v>
      </c>
      <c r="P40">
        <v>8.1999999999999993</v>
      </c>
      <c r="Q40">
        <v>0.53</v>
      </c>
      <c r="R40">
        <v>0.55700000000000005</v>
      </c>
      <c r="S40">
        <v>1.2</v>
      </c>
      <c r="T40">
        <v>1.9</v>
      </c>
      <c r="U40">
        <v>0.61099999999999999</v>
      </c>
      <c r="V40">
        <v>1.6</v>
      </c>
      <c r="W40">
        <v>3.4</v>
      </c>
      <c r="X40">
        <v>5</v>
      </c>
      <c r="Y40">
        <v>2.2999999999999998</v>
      </c>
      <c r="Z40">
        <v>1.2</v>
      </c>
      <c r="AA40">
        <v>0.8</v>
      </c>
      <c r="AB40">
        <v>1.3</v>
      </c>
      <c r="AC40">
        <v>2.9</v>
      </c>
      <c r="AD40">
        <v>17.100000000000001</v>
      </c>
      <c r="AE40">
        <v>1190</v>
      </c>
      <c r="AF40">
        <v>14.7</v>
      </c>
      <c r="AG40">
        <v>0.56399999999999995</v>
      </c>
      <c r="AH40">
        <v>0.42499999999999999</v>
      </c>
      <c r="AI40">
        <v>0.13600000000000001</v>
      </c>
      <c r="AJ40">
        <v>5.7</v>
      </c>
      <c r="AK40">
        <v>11.3</v>
      </c>
      <c r="AL40">
        <v>8.6</v>
      </c>
      <c r="AM40">
        <v>10.5</v>
      </c>
      <c r="AN40">
        <v>1.8</v>
      </c>
      <c r="AO40">
        <v>2.1</v>
      </c>
      <c r="AP40">
        <v>7.9</v>
      </c>
      <c r="AQ40">
        <v>21.5</v>
      </c>
      <c r="AR40">
        <v>1</v>
      </c>
      <c r="AS40">
        <v>1.3</v>
      </c>
      <c r="AT40">
        <v>2.2999999999999998</v>
      </c>
      <c r="AU40">
        <v>9.0999999999999998E-2</v>
      </c>
      <c r="AV40">
        <v>-0.1</v>
      </c>
      <c r="AW40">
        <v>-0.4</v>
      </c>
      <c r="AX40">
        <v>-0.5</v>
      </c>
      <c r="AY40">
        <v>0.5</v>
      </c>
      <c r="AZ40" s="8">
        <v>0.89999999999999991</v>
      </c>
      <c r="BA40" s="8">
        <v>2.6772352013593213E-2</v>
      </c>
      <c r="BB40" s="3">
        <v>0</v>
      </c>
    </row>
    <row r="41" spans="1:54" x14ac:dyDescent="0.25">
      <c r="A41" t="s">
        <v>99</v>
      </c>
      <c r="B41" s="2">
        <v>33333333</v>
      </c>
      <c r="C41" t="s">
        <v>62</v>
      </c>
      <c r="D41">
        <v>31</v>
      </c>
      <c r="E41" t="s">
        <v>100</v>
      </c>
      <c r="F41">
        <v>75</v>
      </c>
      <c r="G41">
        <v>75</v>
      </c>
      <c r="H41">
        <v>35.299999999999997</v>
      </c>
      <c r="I41">
        <v>7.8</v>
      </c>
      <c r="J41">
        <v>17.899999999999999</v>
      </c>
      <c r="K41">
        <v>0.437</v>
      </c>
      <c r="L41">
        <v>2.8</v>
      </c>
      <c r="M41">
        <v>7.2</v>
      </c>
      <c r="N41">
        <v>0.38900000000000001</v>
      </c>
      <c r="O41">
        <v>5</v>
      </c>
      <c r="P41">
        <v>10.7</v>
      </c>
      <c r="Q41">
        <v>0.46899999999999997</v>
      </c>
      <c r="R41">
        <v>0.51500000000000001</v>
      </c>
      <c r="S41">
        <v>2.4</v>
      </c>
      <c r="T41">
        <v>3.2</v>
      </c>
      <c r="U41">
        <v>0.76900000000000002</v>
      </c>
      <c r="V41">
        <v>0.7</v>
      </c>
      <c r="W41">
        <v>3.6</v>
      </c>
      <c r="X41">
        <v>4.4000000000000004</v>
      </c>
      <c r="Y41">
        <v>5.7</v>
      </c>
      <c r="Z41">
        <v>0.9</v>
      </c>
      <c r="AA41">
        <v>0.5</v>
      </c>
      <c r="AB41">
        <v>2.4</v>
      </c>
      <c r="AC41">
        <v>2</v>
      </c>
      <c r="AD41">
        <v>20.9</v>
      </c>
      <c r="AE41">
        <v>2649</v>
      </c>
      <c r="AF41">
        <v>15.6</v>
      </c>
      <c r="AG41">
        <v>0.54100000000000004</v>
      </c>
      <c r="AH41">
        <v>0.40400000000000003</v>
      </c>
      <c r="AI41">
        <v>0.17699999999999999</v>
      </c>
      <c r="AJ41">
        <v>2.4</v>
      </c>
      <c r="AK41">
        <v>11.7</v>
      </c>
      <c r="AL41">
        <v>7</v>
      </c>
      <c r="AM41">
        <v>25.1</v>
      </c>
      <c r="AN41">
        <v>1.3</v>
      </c>
      <c r="AO41">
        <v>1.4</v>
      </c>
      <c r="AP41">
        <v>11.2</v>
      </c>
      <c r="AQ41">
        <v>26.4</v>
      </c>
      <c r="AR41">
        <v>1.5</v>
      </c>
      <c r="AS41">
        <v>2.8</v>
      </c>
      <c r="AT41">
        <v>4.3</v>
      </c>
      <c r="AU41">
        <v>7.8E-2</v>
      </c>
      <c r="AV41">
        <v>1.5</v>
      </c>
      <c r="AW41">
        <v>-0.7</v>
      </c>
      <c r="AX41">
        <v>0.8</v>
      </c>
      <c r="AY41">
        <v>1.9</v>
      </c>
      <c r="AZ41" s="8">
        <v>2.5499999999999998</v>
      </c>
      <c r="BA41" s="8">
        <v>7.6500000765000006E-2</v>
      </c>
      <c r="BB41" s="3">
        <v>0</v>
      </c>
    </row>
    <row r="42" spans="1:54" x14ac:dyDescent="0.25">
      <c r="A42" t="s">
        <v>101</v>
      </c>
      <c r="B42" s="2">
        <v>33000000</v>
      </c>
      <c r="C42" t="s">
        <v>52</v>
      </c>
      <c r="D42">
        <v>33</v>
      </c>
      <c r="E42" t="s">
        <v>82</v>
      </c>
      <c r="F42">
        <v>58</v>
      </c>
      <c r="G42">
        <v>58</v>
      </c>
      <c r="H42">
        <v>36.799999999999997</v>
      </c>
      <c r="I42">
        <v>6.4</v>
      </c>
      <c r="J42">
        <v>14.5</v>
      </c>
      <c r="K42">
        <v>0.441</v>
      </c>
      <c r="L42">
        <v>2.8</v>
      </c>
      <c r="M42">
        <v>7.2</v>
      </c>
      <c r="N42">
        <v>0.38500000000000001</v>
      </c>
      <c r="O42">
        <v>3.6</v>
      </c>
      <c r="P42">
        <v>7.3</v>
      </c>
      <c r="Q42">
        <v>0.495</v>
      </c>
      <c r="R42">
        <v>0.53600000000000003</v>
      </c>
      <c r="S42">
        <v>5.4</v>
      </c>
      <c r="T42">
        <v>6.2</v>
      </c>
      <c r="U42">
        <v>0.86699999999999999</v>
      </c>
      <c r="V42">
        <v>0.7</v>
      </c>
      <c r="W42">
        <v>5.4</v>
      </c>
      <c r="X42">
        <v>6.1</v>
      </c>
      <c r="Y42">
        <v>10.7</v>
      </c>
      <c r="Z42">
        <v>1.2</v>
      </c>
      <c r="AA42">
        <v>0.5</v>
      </c>
      <c r="AB42">
        <v>3.4</v>
      </c>
      <c r="AC42">
        <v>1.9</v>
      </c>
      <c r="AD42">
        <v>21</v>
      </c>
      <c r="AE42">
        <v>2135</v>
      </c>
      <c r="AF42">
        <v>21.6</v>
      </c>
      <c r="AG42">
        <v>0.60699999999999998</v>
      </c>
      <c r="AH42">
        <v>0.496</v>
      </c>
      <c r="AI42">
        <v>0.42899999999999999</v>
      </c>
      <c r="AJ42">
        <v>2.2999999999999998</v>
      </c>
      <c r="AK42">
        <v>17.100000000000001</v>
      </c>
      <c r="AL42">
        <v>9.8000000000000007</v>
      </c>
      <c r="AM42">
        <v>43.3</v>
      </c>
      <c r="AN42">
        <v>1.6</v>
      </c>
      <c r="AO42">
        <v>1.4</v>
      </c>
      <c r="AP42">
        <v>16.3</v>
      </c>
      <c r="AQ42">
        <v>25</v>
      </c>
      <c r="AR42">
        <v>5.8</v>
      </c>
      <c r="AS42">
        <v>2.6</v>
      </c>
      <c r="AT42">
        <v>8.4</v>
      </c>
      <c r="AU42">
        <v>0.188</v>
      </c>
      <c r="AV42">
        <v>5.0999999999999996</v>
      </c>
      <c r="AW42">
        <v>0.3</v>
      </c>
      <c r="AX42">
        <v>5.4</v>
      </c>
      <c r="AY42">
        <v>4</v>
      </c>
      <c r="AZ42" s="8">
        <v>6.9</v>
      </c>
      <c r="BA42" s="8">
        <v>0.20909090909090908</v>
      </c>
      <c r="BB42" s="3">
        <v>0</v>
      </c>
    </row>
    <row r="43" spans="1:54" x14ac:dyDescent="0.25">
      <c r="A43" t="s">
        <v>102</v>
      </c>
      <c r="B43" s="2">
        <v>31650600</v>
      </c>
      <c r="C43" t="s">
        <v>52</v>
      </c>
      <c r="D43">
        <v>25</v>
      </c>
      <c r="E43" t="s">
        <v>103</v>
      </c>
      <c r="F43">
        <v>65</v>
      </c>
      <c r="G43">
        <v>65</v>
      </c>
      <c r="H43">
        <v>32.799999999999997</v>
      </c>
      <c r="I43">
        <v>7.3</v>
      </c>
      <c r="J43">
        <v>16</v>
      </c>
      <c r="K43">
        <v>0.45400000000000001</v>
      </c>
      <c r="L43">
        <v>2.6</v>
      </c>
      <c r="M43">
        <v>6.6</v>
      </c>
      <c r="N43">
        <v>0.39800000000000002</v>
      </c>
      <c r="O43">
        <v>4.5999999999999996</v>
      </c>
      <c r="P43">
        <v>9.4</v>
      </c>
      <c r="Q43">
        <v>0.49399999999999999</v>
      </c>
      <c r="R43">
        <v>0.53700000000000003</v>
      </c>
      <c r="S43">
        <v>2.8</v>
      </c>
      <c r="T43">
        <v>3.3</v>
      </c>
      <c r="U43">
        <v>0.83299999999999996</v>
      </c>
      <c r="V43">
        <v>0.7</v>
      </c>
      <c r="W43">
        <v>3.2</v>
      </c>
      <c r="X43">
        <v>4</v>
      </c>
      <c r="Y43">
        <v>6.2</v>
      </c>
      <c r="Z43">
        <v>1</v>
      </c>
      <c r="AA43">
        <v>0.2</v>
      </c>
      <c r="AB43">
        <v>2.2000000000000002</v>
      </c>
      <c r="AC43">
        <v>1.6</v>
      </c>
      <c r="AD43">
        <v>20</v>
      </c>
      <c r="AE43">
        <v>2133</v>
      </c>
      <c r="AF43">
        <v>18</v>
      </c>
      <c r="AG43">
        <v>0.57099999999999995</v>
      </c>
      <c r="AH43">
        <v>0.41499999999999998</v>
      </c>
      <c r="AI43">
        <v>0.20699999999999999</v>
      </c>
      <c r="AJ43">
        <v>2.7</v>
      </c>
      <c r="AK43">
        <v>11</v>
      </c>
      <c r="AL43">
        <v>6.9</v>
      </c>
      <c r="AM43">
        <v>27.5</v>
      </c>
      <c r="AN43">
        <v>1.5</v>
      </c>
      <c r="AO43">
        <v>0.7</v>
      </c>
      <c r="AP43">
        <v>11.3</v>
      </c>
      <c r="AQ43">
        <v>26.1</v>
      </c>
      <c r="AR43">
        <v>3.3</v>
      </c>
      <c r="AS43">
        <v>1.9</v>
      </c>
      <c r="AT43">
        <v>5.0999999999999996</v>
      </c>
      <c r="AU43">
        <v>0.11600000000000001</v>
      </c>
      <c r="AV43">
        <v>2.6</v>
      </c>
      <c r="AW43">
        <v>-1.3</v>
      </c>
      <c r="AX43">
        <v>1.3</v>
      </c>
      <c r="AY43">
        <v>1.8</v>
      </c>
      <c r="AZ43" s="8">
        <v>3.1999999999999997</v>
      </c>
      <c r="BA43" s="8">
        <v>0.10110392851952252</v>
      </c>
      <c r="BB43" s="3">
        <v>0</v>
      </c>
    </row>
    <row r="44" spans="1:54" x14ac:dyDescent="0.25">
      <c r="A44" t="s">
        <v>104</v>
      </c>
      <c r="B44" s="2">
        <v>31650600</v>
      </c>
      <c r="C44" t="s">
        <v>65</v>
      </c>
      <c r="D44">
        <v>25</v>
      </c>
      <c r="E44" t="s">
        <v>100</v>
      </c>
      <c r="F44">
        <v>45</v>
      </c>
      <c r="G44">
        <v>45</v>
      </c>
      <c r="H44">
        <v>34.200000000000003</v>
      </c>
      <c r="I44">
        <v>9</v>
      </c>
      <c r="J44">
        <v>18.600000000000001</v>
      </c>
      <c r="K44">
        <v>0.48399999999999999</v>
      </c>
      <c r="L44">
        <v>1.4</v>
      </c>
      <c r="M44">
        <v>3.6</v>
      </c>
      <c r="N44">
        <v>0.39</v>
      </c>
      <c r="O44">
        <v>7.6</v>
      </c>
      <c r="P44">
        <v>14.9</v>
      </c>
      <c r="Q44">
        <v>0.50700000000000001</v>
      </c>
      <c r="R44">
        <v>0.52200000000000002</v>
      </c>
      <c r="S44">
        <v>5.3</v>
      </c>
      <c r="T44">
        <v>6</v>
      </c>
      <c r="U44">
        <v>0.88200000000000001</v>
      </c>
      <c r="V44">
        <v>0.5</v>
      </c>
      <c r="W44">
        <v>5</v>
      </c>
      <c r="X44">
        <v>5.5</v>
      </c>
      <c r="Y44">
        <v>5.8</v>
      </c>
      <c r="Z44">
        <v>0.7</v>
      </c>
      <c r="AA44">
        <v>0.4</v>
      </c>
      <c r="AB44">
        <v>3.3</v>
      </c>
      <c r="AC44">
        <v>2.6</v>
      </c>
      <c r="AD44">
        <v>24.7</v>
      </c>
      <c r="AE44">
        <v>1538</v>
      </c>
      <c r="AF44">
        <v>19.2</v>
      </c>
      <c r="AG44">
        <v>0.58199999999999996</v>
      </c>
      <c r="AH44">
        <v>0.19600000000000001</v>
      </c>
      <c r="AI44">
        <v>0.32600000000000001</v>
      </c>
      <c r="AJ44">
        <v>1.7</v>
      </c>
      <c r="AK44">
        <v>16.399999999999999</v>
      </c>
      <c r="AL44">
        <v>9.1</v>
      </c>
      <c r="AM44">
        <v>28.1</v>
      </c>
      <c r="AN44">
        <v>1</v>
      </c>
      <c r="AO44">
        <v>1.2</v>
      </c>
      <c r="AP44">
        <v>13.4</v>
      </c>
      <c r="AQ44">
        <v>30.8</v>
      </c>
      <c r="AR44">
        <v>1.8</v>
      </c>
      <c r="AS44">
        <v>1.7</v>
      </c>
      <c r="AT44">
        <v>3.5</v>
      </c>
      <c r="AU44">
        <v>0.108</v>
      </c>
      <c r="AV44">
        <v>2.2000000000000002</v>
      </c>
      <c r="AW44">
        <v>-0.4</v>
      </c>
      <c r="AX44">
        <v>1.7</v>
      </c>
      <c r="AY44">
        <v>1.4</v>
      </c>
      <c r="AZ44" s="8">
        <v>2.6</v>
      </c>
      <c r="BA44" s="8">
        <v>8.2146941922112054E-2</v>
      </c>
      <c r="BB44" s="3">
        <v>0</v>
      </c>
    </row>
    <row r="45" spans="1:54" x14ac:dyDescent="0.25">
      <c r="A45" t="s">
        <v>105</v>
      </c>
      <c r="B45" s="2">
        <v>31377750</v>
      </c>
      <c r="C45" t="s">
        <v>52</v>
      </c>
      <c r="D45">
        <v>26</v>
      </c>
      <c r="E45" t="s">
        <v>76</v>
      </c>
      <c r="F45">
        <v>71</v>
      </c>
      <c r="G45">
        <v>71</v>
      </c>
      <c r="H45">
        <v>32.5</v>
      </c>
      <c r="I45">
        <v>6.3</v>
      </c>
      <c r="J45">
        <v>13.4</v>
      </c>
      <c r="K45">
        <v>0.46899999999999997</v>
      </c>
      <c r="L45">
        <v>2.7</v>
      </c>
      <c r="M45">
        <v>6.9</v>
      </c>
      <c r="N45">
        <v>0.39600000000000002</v>
      </c>
      <c r="O45">
        <v>3.5</v>
      </c>
      <c r="P45">
        <v>6.5</v>
      </c>
      <c r="Q45">
        <v>0.54800000000000004</v>
      </c>
      <c r="R45">
        <v>0.57199999999999995</v>
      </c>
      <c r="S45">
        <v>2.5</v>
      </c>
      <c r="T45">
        <v>3</v>
      </c>
      <c r="U45">
        <v>0.82899999999999996</v>
      </c>
      <c r="V45">
        <v>0.5</v>
      </c>
      <c r="W45">
        <v>2.5</v>
      </c>
      <c r="X45">
        <v>3</v>
      </c>
      <c r="Y45">
        <v>6.2</v>
      </c>
      <c r="Z45">
        <v>1</v>
      </c>
      <c r="AA45">
        <v>0.4</v>
      </c>
      <c r="AB45">
        <v>2.6</v>
      </c>
      <c r="AC45">
        <v>2</v>
      </c>
      <c r="AD45">
        <v>17.8</v>
      </c>
      <c r="AE45">
        <v>2304</v>
      </c>
      <c r="AF45">
        <v>16.3</v>
      </c>
      <c r="AG45">
        <v>0.60499999999999998</v>
      </c>
      <c r="AH45">
        <v>0.51700000000000002</v>
      </c>
      <c r="AI45">
        <v>0.22800000000000001</v>
      </c>
      <c r="AJ45">
        <v>1.7</v>
      </c>
      <c r="AK45">
        <v>8.5</v>
      </c>
      <c r="AL45">
        <v>5.2</v>
      </c>
      <c r="AM45">
        <v>27.4</v>
      </c>
      <c r="AN45">
        <v>1.4</v>
      </c>
      <c r="AO45">
        <v>1.1000000000000001</v>
      </c>
      <c r="AP45">
        <v>15.1</v>
      </c>
      <c r="AQ45">
        <v>22.7</v>
      </c>
      <c r="AR45">
        <v>3.1</v>
      </c>
      <c r="AS45">
        <v>1.9</v>
      </c>
      <c r="AT45">
        <v>5.0999999999999996</v>
      </c>
      <c r="AU45">
        <v>0.106</v>
      </c>
      <c r="AV45">
        <v>2.1</v>
      </c>
      <c r="AW45">
        <v>-0.7</v>
      </c>
      <c r="AX45">
        <v>1.5</v>
      </c>
      <c r="AY45">
        <v>2</v>
      </c>
      <c r="AZ45" s="8">
        <v>3.3</v>
      </c>
      <c r="BA45" s="8">
        <v>0.10517006477519898</v>
      </c>
      <c r="BB45" s="3">
        <v>0</v>
      </c>
    </row>
    <row r="46" spans="1:54" x14ac:dyDescent="0.25">
      <c r="A46" t="s">
        <v>106</v>
      </c>
      <c r="B46" s="2">
        <v>30913750</v>
      </c>
      <c r="C46" t="s">
        <v>62</v>
      </c>
      <c r="D46">
        <v>26</v>
      </c>
      <c r="E46" t="s">
        <v>107</v>
      </c>
      <c r="F46">
        <v>68</v>
      </c>
      <c r="G46">
        <v>68</v>
      </c>
      <c r="H46">
        <v>35.799999999999997</v>
      </c>
      <c r="I46">
        <v>10</v>
      </c>
      <c r="J46">
        <v>20.6</v>
      </c>
      <c r="K46">
        <v>0.48399999999999999</v>
      </c>
      <c r="L46">
        <v>3.6</v>
      </c>
      <c r="M46">
        <v>9.3000000000000007</v>
      </c>
      <c r="N46">
        <v>0.38600000000000001</v>
      </c>
      <c r="O46">
        <v>6.4</v>
      </c>
      <c r="P46">
        <v>11.3</v>
      </c>
      <c r="Q46">
        <v>0.56599999999999995</v>
      </c>
      <c r="R46">
        <v>0.57199999999999995</v>
      </c>
      <c r="S46">
        <v>4.7</v>
      </c>
      <c r="T46">
        <v>5.4</v>
      </c>
      <c r="U46">
        <v>0.86699999999999999</v>
      </c>
      <c r="V46">
        <v>0.9</v>
      </c>
      <c r="W46">
        <v>3.3</v>
      </c>
      <c r="X46">
        <v>4.3</v>
      </c>
      <c r="Y46">
        <v>4.4000000000000004</v>
      </c>
      <c r="Z46">
        <v>1.5</v>
      </c>
      <c r="AA46">
        <v>0.4</v>
      </c>
      <c r="AB46">
        <v>2.6</v>
      </c>
      <c r="AC46">
        <v>2.5</v>
      </c>
      <c r="AD46">
        <v>28.3</v>
      </c>
      <c r="AE46">
        <v>2432</v>
      </c>
      <c r="AF46">
        <v>22.9</v>
      </c>
      <c r="AG46">
        <v>0.61399999999999999</v>
      </c>
      <c r="AH46">
        <v>0.45300000000000001</v>
      </c>
      <c r="AI46">
        <v>0.26200000000000001</v>
      </c>
      <c r="AJ46">
        <v>3.1</v>
      </c>
      <c r="AK46">
        <v>10.9</v>
      </c>
      <c r="AL46">
        <v>7</v>
      </c>
      <c r="AM46">
        <v>21.4</v>
      </c>
      <c r="AN46">
        <v>2</v>
      </c>
      <c r="AO46">
        <v>1</v>
      </c>
      <c r="AP46">
        <v>10.3</v>
      </c>
      <c r="AQ46">
        <v>32.1</v>
      </c>
      <c r="AR46">
        <v>5.4</v>
      </c>
      <c r="AS46">
        <v>3.5</v>
      </c>
      <c r="AT46">
        <v>8.9</v>
      </c>
      <c r="AU46">
        <v>0.17599999999999999</v>
      </c>
      <c r="AV46">
        <v>5.6</v>
      </c>
      <c r="AW46">
        <v>0.6</v>
      </c>
      <c r="AX46">
        <v>6.3</v>
      </c>
      <c r="AY46">
        <v>5</v>
      </c>
      <c r="AZ46" s="8">
        <v>7.6</v>
      </c>
      <c r="BA46" s="8">
        <v>0.24584529537827018</v>
      </c>
      <c r="BB46" s="3">
        <v>0</v>
      </c>
    </row>
    <row r="47" spans="1:54" x14ac:dyDescent="0.25">
      <c r="A47" t="s">
        <v>108</v>
      </c>
      <c r="B47" s="2">
        <v>30913750</v>
      </c>
      <c r="C47" t="s">
        <v>52</v>
      </c>
      <c r="D47">
        <v>24</v>
      </c>
      <c r="E47" t="s">
        <v>109</v>
      </c>
      <c r="F47">
        <v>68</v>
      </c>
      <c r="G47">
        <v>68</v>
      </c>
      <c r="H47">
        <v>35.5</v>
      </c>
      <c r="I47">
        <v>10.4</v>
      </c>
      <c r="J47">
        <v>20.3</v>
      </c>
      <c r="K47">
        <v>0.51</v>
      </c>
      <c r="L47">
        <v>0.9</v>
      </c>
      <c r="M47">
        <v>2.5</v>
      </c>
      <c r="N47">
        <v>0.34499999999999997</v>
      </c>
      <c r="O47">
        <v>9.5</v>
      </c>
      <c r="P47">
        <v>17.8</v>
      </c>
      <c r="Q47">
        <v>0.53300000000000003</v>
      </c>
      <c r="R47">
        <v>0.53100000000000003</v>
      </c>
      <c r="S47">
        <v>9.8000000000000007</v>
      </c>
      <c r="T47">
        <v>10.9</v>
      </c>
      <c r="U47">
        <v>0.90500000000000003</v>
      </c>
      <c r="V47">
        <v>0.9</v>
      </c>
      <c r="W47">
        <v>4</v>
      </c>
      <c r="X47">
        <v>4.8</v>
      </c>
      <c r="Y47">
        <v>5.5</v>
      </c>
      <c r="Z47">
        <v>1.6</v>
      </c>
      <c r="AA47">
        <v>1</v>
      </c>
      <c r="AB47">
        <v>2.8</v>
      </c>
      <c r="AC47">
        <v>2.8</v>
      </c>
      <c r="AD47">
        <v>31.4</v>
      </c>
      <c r="AE47">
        <v>2416</v>
      </c>
      <c r="AF47">
        <v>27.2</v>
      </c>
      <c r="AG47">
        <v>0.626</v>
      </c>
      <c r="AH47">
        <v>0.122</v>
      </c>
      <c r="AI47">
        <v>0.53500000000000003</v>
      </c>
      <c r="AJ47">
        <v>2.6</v>
      </c>
      <c r="AK47">
        <v>12.2</v>
      </c>
      <c r="AL47">
        <v>7.3</v>
      </c>
      <c r="AM47">
        <v>25.7</v>
      </c>
      <c r="AN47">
        <v>2.2000000000000002</v>
      </c>
      <c r="AO47">
        <v>2.5</v>
      </c>
      <c r="AP47">
        <v>10.1</v>
      </c>
      <c r="AQ47">
        <v>32.799999999999997</v>
      </c>
      <c r="AR47">
        <v>8.4</v>
      </c>
      <c r="AS47">
        <v>3</v>
      </c>
      <c r="AT47">
        <v>11.4</v>
      </c>
      <c r="AU47">
        <v>0.22600000000000001</v>
      </c>
      <c r="AV47">
        <v>5.7</v>
      </c>
      <c r="AW47">
        <v>1.5</v>
      </c>
      <c r="AX47">
        <v>7.3</v>
      </c>
      <c r="AY47">
        <v>5.6</v>
      </c>
      <c r="AZ47" s="8">
        <v>9.35</v>
      </c>
      <c r="BA47" s="8">
        <v>0.30245440944563501</v>
      </c>
      <c r="BB47" s="3">
        <v>0</v>
      </c>
    </row>
    <row r="48" spans="1:54" x14ac:dyDescent="0.25">
      <c r="A48" t="s">
        <v>110</v>
      </c>
      <c r="B48" s="2">
        <v>30913750</v>
      </c>
      <c r="C48" t="s">
        <v>75</v>
      </c>
      <c r="D48">
        <v>24</v>
      </c>
      <c r="E48" t="s">
        <v>60</v>
      </c>
      <c r="F48">
        <v>67</v>
      </c>
      <c r="G48">
        <v>67</v>
      </c>
      <c r="H48">
        <v>30.4</v>
      </c>
      <c r="I48">
        <v>7.8</v>
      </c>
      <c r="J48">
        <v>13.2</v>
      </c>
      <c r="K48">
        <v>0.58899999999999997</v>
      </c>
      <c r="L48">
        <v>0.1</v>
      </c>
      <c r="M48">
        <v>0.4</v>
      </c>
      <c r="N48">
        <v>0.29199999999999998</v>
      </c>
      <c r="O48">
        <v>7.7</v>
      </c>
      <c r="P48">
        <v>12.9</v>
      </c>
      <c r="Q48">
        <v>0.59699999999999998</v>
      </c>
      <c r="R48">
        <v>0.59199999999999997</v>
      </c>
      <c r="S48">
        <v>2.2999999999999998</v>
      </c>
      <c r="T48">
        <v>3</v>
      </c>
      <c r="U48">
        <v>0.76</v>
      </c>
      <c r="V48">
        <v>2.6</v>
      </c>
      <c r="W48">
        <v>7.4</v>
      </c>
      <c r="X48">
        <v>10</v>
      </c>
      <c r="Y48">
        <v>1.7</v>
      </c>
      <c r="Z48">
        <v>0.6</v>
      </c>
      <c r="AA48">
        <v>0.8</v>
      </c>
      <c r="AB48">
        <v>1.8</v>
      </c>
      <c r="AC48">
        <v>2.8</v>
      </c>
      <c r="AD48">
        <v>18</v>
      </c>
      <c r="AE48">
        <v>2035</v>
      </c>
      <c r="AF48">
        <v>19.899999999999999</v>
      </c>
      <c r="AG48">
        <v>0.61699999999999999</v>
      </c>
      <c r="AH48">
        <v>2.7E-2</v>
      </c>
      <c r="AI48">
        <v>0.22500000000000001</v>
      </c>
      <c r="AJ48">
        <v>9.1999999999999993</v>
      </c>
      <c r="AK48">
        <v>27.5</v>
      </c>
      <c r="AL48">
        <v>18.100000000000001</v>
      </c>
      <c r="AM48">
        <v>9.1999999999999993</v>
      </c>
      <c r="AN48">
        <v>0.9</v>
      </c>
      <c r="AO48">
        <v>2.2999999999999998</v>
      </c>
      <c r="AP48">
        <v>11</v>
      </c>
      <c r="AQ48">
        <v>22.9</v>
      </c>
      <c r="AR48">
        <v>3.3</v>
      </c>
      <c r="AS48">
        <v>3</v>
      </c>
      <c r="AT48">
        <v>6.2</v>
      </c>
      <c r="AU48">
        <v>0.14699999999999999</v>
      </c>
      <c r="AV48">
        <v>0.9</v>
      </c>
      <c r="AW48">
        <v>0</v>
      </c>
      <c r="AX48">
        <v>0.9</v>
      </c>
      <c r="AY48">
        <v>1.5</v>
      </c>
      <c r="AZ48" s="8">
        <v>3.5500000000000003</v>
      </c>
      <c r="BA48" s="8">
        <v>0.11483563139379728</v>
      </c>
      <c r="BB48" s="3">
        <v>0</v>
      </c>
    </row>
    <row r="49" spans="1:54" x14ac:dyDescent="0.25">
      <c r="A49" t="s">
        <v>111</v>
      </c>
      <c r="B49" s="2">
        <v>30556968</v>
      </c>
      <c r="C49" t="s">
        <v>28</v>
      </c>
      <c r="D49">
        <v>34</v>
      </c>
      <c r="E49" t="s">
        <v>80</v>
      </c>
      <c r="F49">
        <v>62</v>
      </c>
      <c r="G49">
        <v>20</v>
      </c>
      <c r="H49">
        <v>20</v>
      </c>
      <c r="I49">
        <v>2.7</v>
      </c>
      <c r="J49">
        <v>6.8</v>
      </c>
      <c r="K49">
        <v>0.38900000000000001</v>
      </c>
      <c r="L49">
        <v>1.6</v>
      </c>
      <c r="M49">
        <v>4.8</v>
      </c>
      <c r="N49">
        <v>0.33400000000000002</v>
      </c>
      <c r="O49">
        <v>1.1000000000000001</v>
      </c>
      <c r="P49">
        <v>2.1</v>
      </c>
      <c r="Q49">
        <v>0.51600000000000001</v>
      </c>
      <c r="R49">
        <v>0.50600000000000001</v>
      </c>
      <c r="S49">
        <v>1.3</v>
      </c>
      <c r="T49">
        <v>1.5</v>
      </c>
      <c r="U49">
        <v>0.879</v>
      </c>
      <c r="V49">
        <v>1</v>
      </c>
      <c r="W49">
        <v>5.5</v>
      </c>
      <c r="X49">
        <v>6.4</v>
      </c>
      <c r="Y49">
        <v>1.9</v>
      </c>
      <c r="Z49">
        <v>0.3</v>
      </c>
      <c r="AA49">
        <v>0.2</v>
      </c>
      <c r="AB49">
        <v>1.1000000000000001</v>
      </c>
      <c r="AC49">
        <v>1.6</v>
      </c>
      <c r="AD49">
        <v>8.1999999999999993</v>
      </c>
      <c r="AE49">
        <v>1240</v>
      </c>
      <c r="AF49">
        <v>13.1</v>
      </c>
      <c r="AG49">
        <v>0.54800000000000004</v>
      </c>
      <c r="AH49">
        <v>0.69799999999999995</v>
      </c>
      <c r="AI49">
        <v>0.215</v>
      </c>
      <c r="AJ49">
        <v>5.5</v>
      </c>
      <c r="AK49">
        <v>32.6</v>
      </c>
      <c r="AL49">
        <v>18.899999999999999</v>
      </c>
      <c r="AM49">
        <v>13.2</v>
      </c>
      <c r="AN49">
        <v>0.6</v>
      </c>
      <c r="AO49">
        <v>0.9</v>
      </c>
      <c r="AP49">
        <v>13.1</v>
      </c>
      <c r="AQ49">
        <v>19.2</v>
      </c>
      <c r="AR49">
        <v>0.6</v>
      </c>
      <c r="AS49">
        <v>2</v>
      </c>
      <c r="AT49">
        <v>2.6</v>
      </c>
      <c r="AU49">
        <v>9.9000000000000005E-2</v>
      </c>
      <c r="AV49">
        <v>0.2</v>
      </c>
      <c r="AW49">
        <v>0.4</v>
      </c>
      <c r="AX49">
        <v>0.6</v>
      </c>
      <c r="AY49">
        <v>0.8</v>
      </c>
      <c r="AZ49" s="8">
        <v>1.6</v>
      </c>
      <c r="BA49" s="8">
        <v>5.236121594262886E-2</v>
      </c>
      <c r="BB49" s="3">
        <v>0</v>
      </c>
    </row>
    <row r="50" spans="1:54" x14ac:dyDescent="0.25">
      <c r="A50" t="s">
        <v>114</v>
      </c>
      <c r="B50" s="2">
        <v>30351780</v>
      </c>
      <c r="C50" t="s">
        <v>75</v>
      </c>
      <c r="D50">
        <v>25</v>
      </c>
      <c r="E50" t="s">
        <v>80</v>
      </c>
      <c r="F50">
        <v>75</v>
      </c>
      <c r="G50">
        <v>75</v>
      </c>
      <c r="H50">
        <v>34.6</v>
      </c>
      <c r="I50">
        <v>8</v>
      </c>
      <c r="J50">
        <v>14.9</v>
      </c>
      <c r="K50">
        <v>0.54</v>
      </c>
      <c r="L50">
        <v>0</v>
      </c>
      <c r="M50">
        <v>0.2</v>
      </c>
      <c r="N50">
        <v>8.3000000000000004E-2</v>
      </c>
      <c r="O50">
        <v>8</v>
      </c>
      <c r="P50">
        <v>14.7</v>
      </c>
      <c r="Q50">
        <v>0.54500000000000004</v>
      </c>
      <c r="R50">
        <v>0.54100000000000004</v>
      </c>
      <c r="S50">
        <v>4.3</v>
      </c>
      <c r="T50">
        <v>5.4</v>
      </c>
      <c r="U50">
        <v>0.80600000000000005</v>
      </c>
      <c r="V50">
        <v>2.5</v>
      </c>
      <c r="W50">
        <v>6.7</v>
      </c>
      <c r="X50">
        <v>9.1999999999999993</v>
      </c>
      <c r="Y50">
        <v>3.2</v>
      </c>
      <c r="Z50">
        <v>1.2</v>
      </c>
      <c r="AA50">
        <v>0.8</v>
      </c>
      <c r="AB50">
        <v>2.5</v>
      </c>
      <c r="AC50">
        <v>2.8</v>
      </c>
      <c r="AD50">
        <v>20.399999999999999</v>
      </c>
      <c r="AE50">
        <v>2598</v>
      </c>
      <c r="AF50">
        <v>20.100000000000001</v>
      </c>
      <c r="AG50">
        <v>0.59199999999999997</v>
      </c>
      <c r="AH50">
        <v>1.0999999999999999E-2</v>
      </c>
      <c r="AI50">
        <v>0.36099999999999999</v>
      </c>
      <c r="AJ50">
        <v>8</v>
      </c>
      <c r="AK50">
        <v>23.6</v>
      </c>
      <c r="AL50">
        <v>15.5</v>
      </c>
      <c r="AM50">
        <v>15.9</v>
      </c>
      <c r="AN50">
        <v>1.7</v>
      </c>
      <c r="AO50">
        <v>2.4</v>
      </c>
      <c r="AP50">
        <v>12.7</v>
      </c>
      <c r="AQ50">
        <v>25.2</v>
      </c>
      <c r="AR50">
        <v>3.6</v>
      </c>
      <c r="AS50">
        <v>3.8</v>
      </c>
      <c r="AT50">
        <v>7.4</v>
      </c>
      <c r="AU50">
        <v>0.13700000000000001</v>
      </c>
      <c r="AV50">
        <v>0.8</v>
      </c>
      <c r="AW50">
        <v>0.8</v>
      </c>
      <c r="AX50">
        <v>1.5</v>
      </c>
      <c r="AY50">
        <v>2.2999999999999998</v>
      </c>
      <c r="AZ50" s="8">
        <v>4.45</v>
      </c>
      <c r="BA50" s="8">
        <v>0.14661413597489176</v>
      </c>
      <c r="BB50" s="3">
        <v>0</v>
      </c>
    </row>
    <row r="51" spans="1:54" x14ac:dyDescent="0.25">
      <c r="A51" t="s">
        <v>115</v>
      </c>
      <c r="B51" s="2">
        <v>30351780</v>
      </c>
      <c r="C51" t="s">
        <v>52</v>
      </c>
      <c r="D51">
        <v>25</v>
      </c>
      <c r="E51" t="s">
        <v>116</v>
      </c>
      <c r="F51">
        <v>73</v>
      </c>
      <c r="G51">
        <v>73</v>
      </c>
      <c r="H51">
        <v>33.4</v>
      </c>
      <c r="I51">
        <v>9.3000000000000007</v>
      </c>
      <c r="J51">
        <v>18.2</v>
      </c>
      <c r="K51">
        <v>0.51200000000000001</v>
      </c>
      <c r="L51">
        <v>1.6</v>
      </c>
      <c r="M51">
        <v>5</v>
      </c>
      <c r="N51">
        <v>0.32400000000000001</v>
      </c>
      <c r="O51">
        <v>7.7</v>
      </c>
      <c r="P51">
        <v>13.2</v>
      </c>
      <c r="Q51">
        <v>0.58399999999999996</v>
      </c>
      <c r="R51">
        <v>0.55700000000000005</v>
      </c>
      <c r="S51">
        <v>4.7</v>
      </c>
      <c r="T51">
        <v>6</v>
      </c>
      <c r="U51">
        <v>0.78</v>
      </c>
      <c r="V51">
        <v>0.5</v>
      </c>
      <c r="W51">
        <v>3.6</v>
      </c>
      <c r="X51">
        <v>4.2</v>
      </c>
      <c r="Y51">
        <v>6.1</v>
      </c>
      <c r="Z51">
        <v>1.1000000000000001</v>
      </c>
      <c r="AA51">
        <v>0.3</v>
      </c>
      <c r="AB51">
        <v>2.5</v>
      </c>
      <c r="AC51">
        <v>2.4</v>
      </c>
      <c r="AD51">
        <v>25</v>
      </c>
      <c r="AE51">
        <v>2435</v>
      </c>
      <c r="AF51">
        <v>21.8</v>
      </c>
      <c r="AG51">
        <v>0.59899999999999998</v>
      </c>
      <c r="AH51">
        <v>0.27600000000000002</v>
      </c>
      <c r="AI51">
        <v>0.33100000000000002</v>
      </c>
      <c r="AJ51">
        <v>1.9</v>
      </c>
      <c r="AK51">
        <v>12.4</v>
      </c>
      <c r="AL51">
        <v>7.2</v>
      </c>
      <c r="AM51">
        <v>29.6</v>
      </c>
      <c r="AN51">
        <v>1.6</v>
      </c>
      <c r="AO51">
        <v>0.8</v>
      </c>
      <c r="AP51">
        <v>10.6</v>
      </c>
      <c r="AQ51">
        <v>30.1</v>
      </c>
      <c r="AR51">
        <v>5.5</v>
      </c>
      <c r="AS51">
        <v>1.8</v>
      </c>
      <c r="AT51">
        <v>7.4</v>
      </c>
      <c r="AU51">
        <v>0.14599999999999999</v>
      </c>
      <c r="AV51">
        <v>3.4</v>
      </c>
      <c r="AW51">
        <v>-0.9</v>
      </c>
      <c r="AX51">
        <v>2.5</v>
      </c>
      <c r="AY51">
        <v>2.7</v>
      </c>
      <c r="AZ51" s="8">
        <v>4.95</v>
      </c>
      <c r="BA51" s="8">
        <v>0.1630876343990369</v>
      </c>
      <c r="BB51" s="3">
        <v>0</v>
      </c>
    </row>
    <row r="52" spans="1:54" x14ac:dyDescent="0.25">
      <c r="A52" t="s">
        <v>117</v>
      </c>
      <c r="B52" s="2">
        <v>30075000</v>
      </c>
      <c r="C52" t="s">
        <v>65</v>
      </c>
      <c r="D52">
        <v>32</v>
      </c>
      <c r="E52" t="s">
        <v>118</v>
      </c>
      <c r="F52">
        <v>50</v>
      </c>
      <c r="G52">
        <v>50</v>
      </c>
      <c r="H52">
        <v>31.5</v>
      </c>
      <c r="I52">
        <v>5.5</v>
      </c>
      <c r="J52">
        <v>11.6</v>
      </c>
      <c r="K52">
        <v>0.47499999999999998</v>
      </c>
      <c r="L52">
        <v>1</v>
      </c>
      <c r="M52">
        <v>3.2</v>
      </c>
      <c r="N52">
        <v>0.32500000000000001</v>
      </c>
      <c r="O52">
        <v>4.5</v>
      </c>
      <c r="P52">
        <v>8.4</v>
      </c>
      <c r="Q52">
        <v>0.53200000000000003</v>
      </c>
      <c r="R52">
        <v>0.52</v>
      </c>
      <c r="S52">
        <v>2.6</v>
      </c>
      <c r="T52">
        <v>3.2</v>
      </c>
      <c r="U52">
        <v>0.81100000000000005</v>
      </c>
      <c r="V52">
        <v>0.7</v>
      </c>
      <c r="W52">
        <v>3.6</v>
      </c>
      <c r="X52">
        <v>4.3</v>
      </c>
      <c r="Y52">
        <v>4.0999999999999996</v>
      </c>
      <c r="Z52">
        <v>0.8</v>
      </c>
      <c r="AA52">
        <v>0.2</v>
      </c>
      <c r="AB52">
        <v>2</v>
      </c>
      <c r="AC52">
        <v>1.4</v>
      </c>
      <c r="AD52">
        <v>14.7</v>
      </c>
      <c r="AE52">
        <v>1577</v>
      </c>
      <c r="AF52">
        <v>13.5</v>
      </c>
      <c r="AG52">
        <v>0.56299999999999994</v>
      </c>
      <c r="AH52">
        <v>0.27500000000000002</v>
      </c>
      <c r="AI52">
        <v>0.27400000000000002</v>
      </c>
      <c r="AJ52">
        <v>2.2000000000000002</v>
      </c>
      <c r="AK52">
        <v>12.6</v>
      </c>
      <c r="AL52">
        <v>7.3</v>
      </c>
      <c r="AM52">
        <v>19.3</v>
      </c>
      <c r="AN52">
        <v>1.3</v>
      </c>
      <c r="AO52">
        <v>0.7</v>
      </c>
      <c r="AP52">
        <v>13.2</v>
      </c>
      <c r="AQ52">
        <v>20</v>
      </c>
      <c r="AR52">
        <v>0.8</v>
      </c>
      <c r="AS52">
        <v>1.1000000000000001</v>
      </c>
      <c r="AT52">
        <v>2</v>
      </c>
      <c r="AU52">
        <v>5.8999999999999997E-2</v>
      </c>
      <c r="AV52">
        <v>-1.1000000000000001</v>
      </c>
      <c r="AW52">
        <v>-0.3</v>
      </c>
      <c r="AX52">
        <v>-1.4</v>
      </c>
      <c r="AY52">
        <v>0.2</v>
      </c>
      <c r="AZ52" s="8">
        <v>0.30000000000000004</v>
      </c>
      <c r="BA52" s="8">
        <v>9.9750623441396524E-3</v>
      </c>
      <c r="BB52" s="3">
        <v>0</v>
      </c>
    </row>
    <row r="53" spans="1:54" x14ac:dyDescent="0.25">
      <c r="A53" t="s">
        <v>119</v>
      </c>
      <c r="B53" s="2">
        <v>29776785</v>
      </c>
      <c r="C53" t="s">
        <v>65</v>
      </c>
      <c r="D53">
        <v>26</v>
      </c>
      <c r="E53" t="s">
        <v>113</v>
      </c>
      <c r="F53">
        <v>67</v>
      </c>
      <c r="G53">
        <v>67</v>
      </c>
      <c r="H53">
        <v>35.9</v>
      </c>
      <c r="I53">
        <v>10.1</v>
      </c>
      <c r="J53">
        <v>20.6</v>
      </c>
      <c r="K53">
        <v>0.49099999999999999</v>
      </c>
      <c r="L53">
        <v>2.4</v>
      </c>
      <c r="M53">
        <v>7.3</v>
      </c>
      <c r="N53">
        <v>0.33500000000000002</v>
      </c>
      <c r="O53">
        <v>7.7</v>
      </c>
      <c r="P53">
        <v>13.4</v>
      </c>
      <c r="Q53">
        <v>0.57599999999999996</v>
      </c>
      <c r="R53">
        <v>0.55000000000000004</v>
      </c>
      <c r="S53">
        <v>3.9</v>
      </c>
      <c r="T53">
        <v>5.0999999999999996</v>
      </c>
      <c r="U53">
        <v>0.76500000000000001</v>
      </c>
      <c r="V53">
        <v>1.2</v>
      </c>
      <c r="W53">
        <v>5.7</v>
      </c>
      <c r="X53">
        <v>6.9</v>
      </c>
      <c r="Y53">
        <v>3.5</v>
      </c>
      <c r="Z53">
        <v>1.1000000000000001</v>
      </c>
      <c r="AA53">
        <v>0.4</v>
      </c>
      <c r="AB53">
        <v>2.9</v>
      </c>
      <c r="AC53">
        <v>2.6</v>
      </c>
      <c r="AD53">
        <v>26.6</v>
      </c>
      <c r="AE53">
        <v>2405</v>
      </c>
      <c r="AF53">
        <v>19.100000000000001</v>
      </c>
      <c r="AG53">
        <v>0.58099999999999996</v>
      </c>
      <c r="AH53">
        <v>0.35199999999999998</v>
      </c>
      <c r="AI53">
        <v>0.249</v>
      </c>
      <c r="AJ53">
        <v>3.6</v>
      </c>
      <c r="AK53">
        <v>17</v>
      </c>
      <c r="AL53">
        <v>10.4</v>
      </c>
      <c r="AM53">
        <v>16.5</v>
      </c>
      <c r="AN53">
        <v>1.5</v>
      </c>
      <c r="AO53">
        <v>0.9</v>
      </c>
      <c r="AP53">
        <v>11.4</v>
      </c>
      <c r="AQ53">
        <v>31.4</v>
      </c>
      <c r="AR53">
        <v>1.6</v>
      </c>
      <c r="AS53">
        <v>3.4</v>
      </c>
      <c r="AT53">
        <v>5</v>
      </c>
      <c r="AU53">
        <v>0.1</v>
      </c>
      <c r="AV53">
        <v>1.5</v>
      </c>
      <c r="AW53">
        <v>-0.2</v>
      </c>
      <c r="AX53">
        <v>1.3</v>
      </c>
      <c r="AY53">
        <v>2</v>
      </c>
      <c r="AZ53" s="8">
        <v>3.15</v>
      </c>
      <c r="BA53" s="8">
        <v>0.10578710898439841</v>
      </c>
      <c r="BB53" s="3">
        <v>0</v>
      </c>
    </row>
    <row r="54" spans="1:54" x14ac:dyDescent="0.25">
      <c r="A54" t="s">
        <v>120</v>
      </c>
      <c r="B54" s="2">
        <v>28400000</v>
      </c>
      <c r="C54" t="s">
        <v>52</v>
      </c>
      <c r="D54">
        <v>37</v>
      </c>
      <c r="E54" t="s">
        <v>60</v>
      </c>
      <c r="F54">
        <v>59</v>
      </c>
      <c r="G54">
        <v>59</v>
      </c>
      <c r="H54">
        <v>32</v>
      </c>
      <c r="I54">
        <v>5</v>
      </c>
      <c r="J54">
        <v>11.3</v>
      </c>
      <c r="K54">
        <v>0.44</v>
      </c>
      <c r="L54">
        <v>1.7</v>
      </c>
      <c r="M54">
        <v>4.4000000000000004</v>
      </c>
      <c r="N54">
        <v>0.375</v>
      </c>
      <c r="O54">
        <v>3.3</v>
      </c>
      <c r="P54">
        <v>6.9</v>
      </c>
      <c r="Q54">
        <v>0.48199999999999998</v>
      </c>
      <c r="R54">
        <v>0.51300000000000001</v>
      </c>
      <c r="S54">
        <v>2.2999999999999998</v>
      </c>
      <c r="T54">
        <v>2.7</v>
      </c>
      <c r="U54">
        <v>0.83099999999999996</v>
      </c>
      <c r="V54">
        <v>0.5</v>
      </c>
      <c r="W54">
        <v>3.8</v>
      </c>
      <c r="X54">
        <v>4.3</v>
      </c>
      <c r="Y54">
        <v>8.9</v>
      </c>
      <c r="Z54">
        <v>1.5</v>
      </c>
      <c r="AA54">
        <v>0.4</v>
      </c>
      <c r="AB54">
        <v>1.9</v>
      </c>
      <c r="AC54">
        <v>2.1</v>
      </c>
      <c r="AD54">
        <v>13.9</v>
      </c>
      <c r="AE54">
        <v>1889</v>
      </c>
      <c r="AF54">
        <v>17.7</v>
      </c>
      <c r="AG54">
        <v>0.55500000000000005</v>
      </c>
      <c r="AH54">
        <v>0.39100000000000001</v>
      </c>
      <c r="AI54">
        <v>0.24</v>
      </c>
      <c r="AJ54">
        <v>1.6</v>
      </c>
      <c r="AK54">
        <v>13.4</v>
      </c>
      <c r="AL54">
        <v>7.4</v>
      </c>
      <c r="AM54">
        <v>38.700000000000003</v>
      </c>
      <c r="AN54">
        <v>2.4</v>
      </c>
      <c r="AO54">
        <v>1</v>
      </c>
      <c r="AP54">
        <v>13.4</v>
      </c>
      <c r="AQ54">
        <v>19.2</v>
      </c>
      <c r="AR54">
        <v>3.7</v>
      </c>
      <c r="AS54">
        <v>2.5</v>
      </c>
      <c r="AT54">
        <v>6.2</v>
      </c>
      <c r="AU54">
        <v>0.156</v>
      </c>
      <c r="AV54">
        <v>2</v>
      </c>
      <c r="AW54">
        <v>1.2</v>
      </c>
      <c r="AX54">
        <v>3.2</v>
      </c>
      <c r="AY54">
        <v>2.5</v>
      </c>
      <c r="AZ54" s="8">
        <v>4.7</v>
      </c>
      <c r="BA54" s="8">
        <v>0.16549295774647887</v>
      </c>
      <c r="BB54" s="3">
        <v>0</v>
      </c>
    </row>
    <row r="55" spans="1:54" x14ac:dyDescent="0.25">
      <c r="A55" t="s">
        <v>121</v>
      </c>
      <c r="B55" s="2">
        <v>28333334</v>
      </c>
      <c r="C55" t="s">
        <v>52</v>
      </c>
      <c r="D55">
        <v>36</v>
      </c>
      <c r="E55" t="s">
        <v>80</v>
      </c>
      <c r="F55">
        <v>55</v>
      </c>
      <c r="G55">
        <v>44</v>
      </c>
      <c r="H55">
        <v>31.2</v>
      </c>
      <c r="I55">
        <v>3.6</v>
      </c>
      <c r="J55">
        <v>8.8000000000000007</v>
      </c>
      <c r="K55">
        <v>0.40400000000000003</v>
      </c>
      <c r="L55">
        <v>1.9</v>
      </c>
      <c r="M55">
        <v>5.6</v>
      </c>
      <c r="N55">
        <v>0.34499999999999997</v>
      </c>
      <c r="O55">
        <v>1.6</v>
      </c>
      <c r="P55">
        <v>3.2</v>
      </c>
      <c r="Q55">
        <v>0.50900000000000001</v>
      </c>
      <c r="R55">
        <v>0.51400000000000001</v>
      </c>
      <c r="S55">
        <v>2.1</v>
      </c>
      <c r="T55">
        <v>2.5</v>
      </c>
      <c r="U55">
        <v>0.85899999999999999</v>
      </c>
      <c r="V55">
        <v>0.8</v>
      </c>
      <c r="W55">
        <v>3.3</v>
      </c>
      <c r="X55">
        <v>4.0999999999999996</v>
      </c>
      <c r="Y55">
        <v>5.0999999999999996</v>
      </c>
      <c r="Z55">
        <v>1</v>
      </c>
      <c r="AA55">
        <v>0.4</v>
      </c>
      <c r="AB55">
        <v>1.9</v>
      </c>
      <c r="AC55">
        <v>2.6</v>
      </c>
      <c r="AD55">
        <v>11.2</v>
      </c>
      <c r="AE55">
        <v>1718</v>
      </c>
      <c r="AF55">
        <v>12.6</v>
      </c>
      <c r="AG55">
        <v>0.56499999999999995</v>
      </c>
      <c r="AH55">
        <v>0.63900000000000001</v>
      </c>
      <c r="AI55">
        <v>0.27800000000000002</v>
      </c>
      <c r="AJ55">
        <v>2.8</v>
      </c>
      <c r="AK55">
        <v>12.9</v>
      </c>
      <c r="AL55">
        <v>7.7</v>
      </c>
      <c r="AM55">
        <v>23.4</v>
      </c>
      <c r="AN55">
        <v>1.7</v>
      </c>
      <c r="AO55">
        <v>1.2</v>
      </c>
      <c r="AP55">
        <v>15.9</v>
      </c>
      <c r="AQ55">
        <v>16.7</v>
      </c>
      <c r="AR55">
        <v>1.5</v>
      </c>
      <c r="AS55">
        <v>1.9</v>
      </c>
      <c r="AT55">
        <v>3.4</v>
      </c>
      <c r="AU55">
        <v>9.6000000000000002E-2</v>
      </c>
      <c r="AV55">
        <v>-0.7</v>
      </c>
      <c r="AW55">
        <v>0.8</v>
      </c>
      <c r="AX55">
        <v>0.2</v>
      </c>
      <c r="AY55">
        <v>0.9</v>
      </c>
      <c r="AZ55" s="8">
        <v>1.8</v>
      </c>
      <c r="BA55" s="8">
        <v>6.3529410269896225E-2</v>
      </c>
      <c r="BB55" s="3">
        <v>0</v>
      </c>
    </row>
    <row r="56" spans="1:54" x14ac:dyDescent="0.25">
      <c r="A56" t="s">
        <v>122</v>
      </c>
      <c r="B56" s="2">
        <v>27733332</v>
      </c>
      <c r="C56" t="s">
        <v>52</v>
      </c>
      <c r="D56">
        <v>26</v>
      </c>
      <c r="E56" t="s">
        <v>123</v>
      </c>
      <c r="F56">
        <v>68</v>
      </c>
      <c r="G56">
        <v>68</v>
      </c>
      <c r="H56">
        <v>35</v>
      </c>
      <c r="I56">
        <v>8.6</v>
      </c>
      <c r="J56">
        <v>17.600000000000001</v>
      </c>
      <c r="K56">
        <v>0.49099999999999999</v>
      </c>
      <c r="L56">
        <v>2</v>
      </c>
      <c r="M56">
        <v>4.7</v>
      </c>
      <c r="N56">
        <v>0.41599999999999998</v>
      </c>
      <c r="O56">
        <v>6.7</v>
      </c>
      <c r="P56">
        <v>12.8</v>
      </c>
      <c r="Q56">
        <v>0.51900000000000002</v>
      </c>
      <c r="R56">
        <v>0.54700000000000004</v>
      </c>
      <c r="S56">
        <v>4.8</v>
      </c>
      <c r="T56">
        <v>5.8</v>
      </c>
      <c r="U56">
        <v>0.82899999999999996</v>
      </c>
      <c r="V56">
        <v>0.6</v>
      </c>
      <c r="W56">
        <v>3</v>
      </c>
      <c r="X56">
        <v>3.5</v>
      </c>
      <c r="Y56">
        <v>6.2</v>
      </c>
      <c r="Z56">
        <v>0.9</v>
      </c>
      <c r="AA56">
        <v>0.2</v>
      </c>
      <c r="AB56">
        <v>2.1</v>
      </c>
      <c r="AC56">
        <v>2.2000000000000002</v>
      </c>
      <c r="AD56">
        <v>24</v>
      </c>
      <c r="AE56">
        <v>2379</v>
      </c>
      <c r="AF56">
        <v>21.2</v>
      </c>
      <c r="AG56">
        <v>0.59699999999999998</v>
      </c>
      <c r="AH56">
        <v>0.26900000000000002</v>
      </c>
      <c r="AI56">
        <v>0.32800000000000001</v>
      </c>
      <c r="AJ56">
        <v>1.8</v>
      </c>
      <c r="AK56">
        <v>9.3000000000000007</v>
      </c>
      <c r="AL56">
        <v>5.6</v>
      </c>
      <c r="AM56">
        <v>28.7</v>
      </c>
      <c r="AN56">
        <v>1.3</v>
      </c>
      <c r="AO56">
        <v>0.6</v>
      </c>
      <c r="AP56">
        <v>9.4</v>
      </c>
      <c r="AQ56">
        <v>27.2</v>
      </c>
      <c r="AR56">
        <v>6.9</v>
      </c>
      <c r="AS56">
        <v>1.8</v>
      </c>
      <c r="AT56">
        <v>8.6999999999999993</v>
      </c>
      <c r="AU56">
        <v>0.17499999999999999</v>
      </c>
      <c r="AV56">
        <v>4.4000000000000004</v>
      </c>
      <c r="AW56">
        <v>-0.5</v>
      </c>
      <c r="AX56">
        <v>3.9</v>
      </c>
      <c r="AY56">
        <v>3.5</v>
      </c>
      <c r="AZ56" s="8">
        <v>6.3</v>
      </c>
      <c r="BA56" s="8">
        <v>0.22716347245978233</v>
      </c>
      <c r="BB56" s="3">
        <v>0</v>
      </c>
    </row>
    <row r="57" spans="1:54" x14ac:dyDescent="0.25">
      <c r="A57" t="s">
        <v>124</v>
      </c>
      <c r="B57" s="2">
        <v>27300000</v>
      </c>
      <c r="C57" t="s">
        <v>65</v>
      </c>
      <c r="D57">
        <v>33</v>
      </c>
      <c r="E57" t="s">
        <v>87</v>
      </c>
      <c r="F57">
        <v>74</v>
      </c>
      <c r="G57">
        <v>74</v>
      </c>
      <c r="H57">
        <v>36.200000000000003</v>
      </c>
      <c r="I57">
        <v>8.9</v>
      </c>
      <c r="J57">
        <v>17.600000000000001</v>
      </c>
      <c r="K57">
        <v>0.504</v>
      </c>
      <c r="L57">
        <v>0.6</v>
      </c>
      <c r="M57">
        <v>1.9</v>
      </c>
      <c r="N57">
        <v>0.32400000000000001</v>
      </c>
      <c r="O57">
        <v>8.3000000000000007</v>
      </c>
      <c r="P57">
        <v>15.7</v>
      </c>
      <c r="Q57">
        <v>0.52600000000000002</v>
      </c>
      <c r="R57">
        <v>0.52200000000000002</v>
      </c>
      <c r="S57">
        <v>6.2</v>
      </c>
      <c r="T57">
        <v>7.1</v>
      </c>
      <c r="U57">
        <v>0.872</v>
      </c>
      <c r="V57">
        <v>0.5</v>
      </c>
      <c r="W57">
        <v>4.2</v>
      </c>
      <c r="X57">
        <v>4.5999999999999996</v>
      </c>
      <c r="Y57">
        <v>5.0999999999999996</v>
      </c>
      <c r="Z57">
        <v>1.1000000000000001</v>
      </c>
      <c r="AA57">
        <v>0.5</v>
      </c>
      <c r="AB57">
        <v>2.1</v>
      </c>
      <c r="AC57">
        <v>2.5</v>
      </c>
      <c r="AD57">
        <v>24.5</v>
      </c>
      <c r="AE57">
        <v>2682</v>
      </c>
      <c r="AF57">
        <v>20.6</v>
      </c>
      <c r="AG57">
        <v>0.59199999999999997</v>
      </c>
      <c r="AH57">
        <v>0.109</v>
      </c>
      <c r="AI57">
        <v>0.40100000000000002</v>
      </c>
      <c r="AJ57">
        <v>1.5</v>
      </c>
      <c r="AK57">
        <v>12.8</v>
      </c>
      <c r="AL57">
        <v>7.2</v>
      </c>
      <c r="AM57">
        <v>22.3</v>
      </c>
      <c r="AN57">
        <v>1.5</v>
      </c>
      <c r="AO57">
        <v>1.3</v>
      </c>
      <c r="AP57">
        <v>9.1</v>
      </c>
      <c r="AQ57">
        <v>27.8</v>
      </c>
      <c r="AR57">
        <v>5.4</v>
      </c>
      <c r="AS57">
        <v>3.2</v>
      </c>
      <c r="AT57">
        <v>8.5</v>
      </c>
      <c r="AU57">
        <v>0.153</v>
      </c>
      <c r="AV57">
        <v>1.7</v>
      </c>
      <c r="AW57">
        <v>0.3</v>
      </c>
      <c r="AX57">
        <v>2</v>
      </c>
      <c r="AY57">
        <v>2.6</v>
      </c>
      <c r="AZ57" s="8">
        <v>5.25</v>
      </c>
      <c r="BA57" s="8">
        <v>0.19230769230769232</v>
      </c>
      <c r="BB57" s="3">
        <v>0</v>
      </c>
    </row>
    <row r="58" spans="1:54" x14ac:dyDescent="0.25">
      <c r="A58" t="s">
        <v>125</v>
      </c>
      <c r="B58" s="2">
        <v>26500000</v>
      </c>
      <c r="C58" t="s">
        <v>75</v>
      </c>
      <c r="D58">
        <v>36</v>
      </c>
      <c r="E58" t="s">
        <v>113</v>
      </c>
      <c r="F58">
        <v>63</v>
      </c>
      <c r="G58">
        <v>63</v>
      </c>
      <c r="H58">
        <v>30.5</v>
      </c>
      <c r="I58">
        <v>3.6</v>
      </c>
      <c r="J58">
        <v>7.6</v>
      </c>
      <c r="K58">
        <v>0.47599999999999998</v>
      </c>
      <c r="L58">
        <v>2.2999999999999998</v>
      </c>
      <c r="M58">
        <v>5.2</v>
      </c>
      <c r="N58">
        <v>0.44600000000000001</v>
      </c>
      <c r="O58">
        <v>1.3</v>
      </c>
      <c r="P58">
        <v>2.4</v>
      </c>
      <c r="Q58">
        <v>0.53900000000000003</v>
      </c>
      <c r="R58">
        <v>0.627</v>
      </c>
      <c r="S58">
        <v>0.2</v>
      </c>
      <c r="T58">
        <v>0.3</v>
      </c>
      <c r="U58">
        <v>0.71399999999999997</v>
      </c>
      <c r="V58">
        <v>1.2</v>
      </c>
      <c r="W58">
        <v>5</v>
      </c>
      <c r="X58">
        <v>6.2</v>
      </c>
      <c r="Y58">
        <v>3</v>
      </c>
      <c r="Z58">
        <v>0.5</v>
      </c>
      <c r="AA58">
        <v>1</v>
      </c>
      <c r="AB58">
        <v>0.6</v>
      </c>
      <c r="AC58">
        <v>1.9</v>
      </c>
      <c r="AD58">
        <v>9.8000000000000007</v>
      </c>
      <c r="AE58">
        <v>1922</v>
      </c>
      <c r="AF58">
        <v>13.8</v>
      </c>
      <c r="AG58">
        <v>0.63100000000000001</v>
      </c>
      <c r="AH58">
        <v>0.67800000000000005</v>
      </c>
      <c r="AI58">
        <v>4.3999999999999997E-2</v>
      </c>
      <c r="AJ58">
        <v>4.2</v>
      </c>
      <c r="AK58">
        <v>17.7</v>
      </c>
      <c r="AL58">
        <v>11.1</v>
      </c>
      <c r="AM58">
        <v>13.2</v>
      </c>
      <c r="AN58">
        <v>0.8</v>
      </c>
      <c r="AO58">
        <v>2.7</v>
      </c>
      <c r="AP58">
        <v>7</v>
      </c>
      <c r="AQ58">
        <v>11.9</v>
      </c>
      <c r="AR58">
        <v>3.6</v>
      </c>
      <c r="AS58">
        <v>2.7</v>
      </c>
      <c r="AT58">
        <v>6.3</v>
      </c>
      <c r="AU58">
        <v>0.157</v>
      </c>
      <c r="AV58">
        <v>1.6</v>
      </c>
      <c r="AW58">
        <v>1.7</v>
      </c>
      <c r="AX58">
        <v>3.3</v>
      </c>
      <c r="AY58">
        <v>2.5</v>
      </c>
      <c r="AZ58" s="8">
        <v>4.8</v>
      </c>
      <c r="BA58" s="8">
        <v>0.1811320754716981</v>
      </c>
      <c r="BB58" s="3">
        <v>0</v>
      </c>
    </row>
    <row r="59" spans="1:54" x14ac:dyDescent="0.25">
      <c r="A59" t="s">
        <v>126</v>
      </c>
      <c r="B59" s="2">
        <v>25806468</v>
      </c>
      <c r="C59" t="s">
        <v>28</v>
      </c>
      <c r="D59">
        <v>32</v>
      </c>
      <c r="E59" t="s">
        <v>53</v>
      </c>
      <c r="F59">
        <v>73</v>
      </c>
      <c r="G59">
        <v>73</v>
      </c>
      <c r="H59">
        <v>31.5</v>
      </c>
      <c r="I59">
        <v>3.4</v>
      </c>
      <c r="J59">
        <v>6.5</v>
      </c>
      <c r="K59">
        <v>0.52700000000000002</v>
      </c>
      <c r="L59">
        <v>0.5</v>
      </c>
      <c r="M59">
        <v>1.8</v>
      </c>
      <c r="N59">
        <v>0.30499999999999999</v>
      </c>
      <c r="O59">
        <v>2.9</v>
      </c>
      <c r="P59">
        <v>4.7</v>
      </c>
      <c r="Q59">
        <v>0.61199999999999999</v>
      </c>
      <c r="R59">
        <v>0.56999999999999995</v>
      </c>
      <c r="S59">
        <v>1.1000000000000001</v>
      </c>
      <c r="T59">
        <v>1.5</v>
      </c>
      <c r="U59">
        <v>0.71299999999999997</v>
      </c>
      <c r="V59">
        <v>0.9</v>
      </c>
      <c r="W59">
        <v>6.3</v>
      </c>
      <c r="X59">
        <v>7.2</v>
      </c>
      <c r="Y59">
        <v>6.8</v>
      </c>
      <c r="Z59">
        <v>1</v>
      </c>
      <c r="AA59">
        <v>0.8</v>
      </c>
      <c r="AB59">
        <v>2.8</v>
      </c>
      <c r="AC59">
        <v>3.1</v>
      </c>
      <c r="AD59">
        <v>8.5</v>
      </c>
      <c r="AE59">
        <v>2297</v>
      </c>
      <c r="AF59">
        <v>12.2</v>
      </c>
      <c r="AG59">
        <v>0.59199999999999997</v>
      </c>
      <c r="AH59">
        <v>0.27600000000000002</v>
      </c>
      <c r="AI59">
        <v>0.22800000000000001</v>
      </c>
      <c r="AJ59">
        <v>3.2</v>
      </c>
      <c r="AK59">
        <v>21.6</v>
      </c>
      <c r="AL59">
        <v>12.6</v>
      </c>
      <c r="AM59">
        <v>27.8</v>
      </c>
      <c r="AN59">
        <v>1.5</v>
      </c>
      <c r="AO59">
        <v>2.2999999999999998</v>
      </c>
      <c r="AP59">
        <v>28.1</v>
      </c>
      <c r="AQ59">
        <v>13.2</v>
      </c>
      <c r="AR59">
        <v>1.6</v>
      </c>
      <c r="AS59">
        <v>3.1</v>
      </c>
      <c r="AT59">
        <v>4.7</v>
      </c>
      <c r="AU59">
        <v>9.8000000000000004E-2</v>
      </c>
      <c r="AV59">
        <v>-1.8</v>
      </c>
      <c r="AW59">
        <v>2.6</v>
      </c>
      <c r="AX59">
        <v>0.8</v>
      </c>
      <c r="AY59">
        <v>1.6</v>
      </c>
      <c r="AZ59" s="8">
        <v>2.75</v>
      </c>
      <c r="BA59" s="8">
        <v>0.10656243233285546</v>
      </c>
      <c r="BB59" s="3">
        <v>0</v>
      </c>
    </row>
    <row r="60" spans="1:54" x14ac:dyDescent="0.25">
      <c r="A60" t="s">
        <v>127</v>
      </c>
      <c r="B60" s="2">
        <v>23760000</v>
      </c>
      <c r="C60" t="s">
        <v>28</v>
      </c>
      <c r="D60">
        <v>28</v>
      </c>
      <c r="E60" t="s">
        <v>123</v>
      </c>
      <c r="F60">
        <v>77</v>
      </c>
      <c r="G60">
        <v>77</v>
      </c>
      <c r="H60">
        <v>35.5</v>
      </c>
      <c r="I60">
        <v>8.5</v>
      </c>
      <c r="J60">
        <v>18.600000000000001</v>
      </c>
      <c r="K60">
        <v>0.45900000000000002</v>
      </c>
      <c r="L60">
        <v>2.8</v>
      </c>
      <c r="M60">
        <v>8.3000000000000007</v>
      </c>
      <c r="N60">
        <v>0.34300000000000003</v>
      </c>
      <c r="O60">
        <v>5.7</v>
      </c>
      <c r="P60">
        <v>10.3</v>
      </c>
      <c r="Q60">
        <v>0.55300000000000005</v>
      </c>
      <c r="R60">
        <v>0.53600000000000003</v>
      </c>
      <c r="S60">
        <v>5.2</v>
      </c>
      <c r="T60">
        <v>6.9</v>
      </c>
      <c r="U60">
        <v>0.75700000000000001</v>
      </c>
      <c r="V60">
        <v>1.8</v>
      </c>
      <c r="W60">
        <v>8.1</v>
      </c>
      <c r="X60">
        <v>10</v>
      </c>
      <c r="Y60">
        <v>4.0999999999999996</v>
      </c>
      <c r="Z60">
        <v>0.6</v>
      </c>
      <c r="AA60">
        <v>0.3</v>
      </c>
      <c r="AB60">
        <v>2.8</v>
      </c>
      <c r="AC60">
        <v>3</v>
      </c>
      <c r="AD60">
        <v>25.1</v>
      </c>
      <c r="AE60">
        <v>2737</v>
      </c>
      <c r="AF60">
        <v>20.3</v>
      </c>
      <c r="AG60">
        <v>0.58099999999999996</v>
      </c>
      <c r="AH60">
        <v>0.44400000000000001</v>
      </c>
      <c r="AI60">
        <v>0.371</v>
      </c>
      <c r="AJ60">
        <v>5.6</v>
      </c>
      <c r="AK60">
        <v>25.2</v>
      </c>
      <c r="AL60">
        <v>15.4</v>
      </c>
      <c r="AM60">
        <v>18.5</v>
      </c>
      <c r="AN60">
        <v>0.9</v>
      </c>
      <c r="AO60">
        <v>0.7</v>
      </c>
      <c r="AP60">
        <v>11.5</v>
      </c>
      <c r="AQ60">
        <v>29.5</v>
      </c>
      <c r="AR60">
        <v>5</v>
      </c>
      <c r="AS60">
        <v>3.1</v>
      </c>
      <c r="AT60">
        <v>8.1</v>
      </c>
      <c r="AU60">
        <v>0.14199999999999999</v>
      </c>
      <c r="AV60">
        <v>3.9</v>
      </c>
      <c r="AW60">
        <v>-0.2</v>
      </c>
      <c r="AX60">
        <v>3.7</v>
      </c>
      <c r="AY60">
        <v>3.9</v>
      </c>
      <c r="AZ60" s="8">
        <v>5.9</v>
      </c>
      <c r="BA60" s="8">
        <v>0.24831649831649832</v>
      </c>
      <c r="BB60" s="3">
        <v>0</v>
      </c>
    </row>
    <row r="61" spans="1:54" x14ac:dyDescent="0.25">
      <c r="A61" t="s">
        <v>128</v>
      </c>
      <c r="B61" s="2">
        <v>23500000</v>
      </c>
      <c r="C61" t="s">
        <v>28</v>
      </c>
      <c r="D61">
        <v>25</v>
      </c>
      <c r="E61" t="s">
        <v>85</v>
      </c>
      <c r="F61">
        <v>71</v>
      </c>
      <c r="G61">
        <v>71</v>
      </c>
      <c r="H61">
        <v>30</v>
      </c>
      <c r="I61">
        <v>5.0999999999999996</v>
      </c>
      <c r="J61">
        <v>10</v>
      </c>
      <c r="K61">
        <v>0.50800000000000001</v>
      </c>
      <c r="L61">
        <v>1</v>
      </c>
      <c r="M61">
        <v>3.4</v>
      </c>
      <c r="N61">
        <v>0.29199999999999998</v>
      </c>
      <c r="O61">
        <v>4.0999999999999996</v>
      </c>
      <c r="P61">
        <v>6.6</v>
      </c>
      <c r="Q61">
        <v>0.61899999999999999</v>
      </c>
      <c r="R61">
        <v>0.55700000000000005</v>
      </c>
      <c r="S61">
        <v>2</v>
      </c>
      <c r="T61">
        <v>2.5</v>
      </c>
      <c r="U61">
        <v>0.80300000000000005</v>
      </c>
      <c r="V61">
        <v>1.1000000000000001</v>
      </c>
      <c r="W61">
        <v>5.4</v>
      </c>
      <c r="X61">
        <v>6.5</v>
      </c>
      <c r="Y61">
        <v>1.2</v>
      </c>
      <c r="Z61">
        <v>0.6</v>
      </c>
      <c r="AA61">
        <v>1</v>
      </c>
      <c r="AB61">
        <v>1.1000000000000001</v>
      </c>
      <c r="AC61">
        <v>3.1</v>
      </c>
      <c r="AD61">
        <v>13.1</v>
      </c>
      <c r="AE61">
        <v>2130</v>
      </c>
      <c r="AF61">
        <v>13.6</v>
      </c>
      <c r="AG61">
        <v>0.59299999999999997</v>
      </c>
      <c r="AH61">
        <v>0.33900000000000002</v>
      </c>
      <c r="AI61">
        <v>0.252</v>
      </c>
      <c r="AJ61">
        <v>3.9</v>
      </c>
      <c r="AK61">
        <v>20</v>
      </c>
      <c r="AL61">
        <v>11.9</v>
      </c>
      <c r="AM61">
        <v>5.3</v>
      </c>
      <c r="AN61">
        <v>0.9</v>
      </c>
      <c r="AO61">
        <v>2.9</v>
      </c>
      <c r="AP61">
        <v>9.1</v>
      </c>
      <c r="AQ61">
        <v>17.100000000000001</v>
      </c>
      <c r="AR61">
        <v>2.1</v>
      </c>
      <c r="AS61">
        <v>2.1</v>
      </c>
      <c r="AT61">
        <v>4.2</v>
      </c>
      <c r="AU61">
        <v>9.5000000000000001E-2</v>
      </c>
      <c r="AV61">
        <v>-1.4</v>
      </c>
      <c r="AW61">
        <v>0.2</v>
      </c>
      <c r="AX61">
        <v>-1.3</v>
      </c>
      <c r="AY61">
        <v>0.4</v>
      </c>
      <c r="AZ61" s="8">
        <v>1.4500000000000002</v>
      </c>
      <c r="BA61" s="8">
        <v>6.1702127659574481E-2</v>
      </c>
      <c r="BB61" s="3">
        <v>0</v>
      </c>
    </row>
    <row r="62" spans="1:54" x14ac:dyDescent="0.25">
      <c r="A62" t="s">
        <v>129</v>
      </c>
      <c r="B62" s="2">
        <v>22680000</v>
      </c>
      <c r="C62" t="s">
        <v>52</v>
      </c>
      <c r="D62">
        <v>35</v>
      </c>
      <c r="E62" t="s">
        <v>130</v>
      </c>
      <c r="F62">
        <v>67</v>
      </c>
      <c r="G62">
        <v>66</v>
      </c>
      <c r="H62">
        <v>30.3</v>
      </c>
      <c r="I62">
        <v>3.9</v>
      </c>
      <c r="J62">
        <v>9.1</v>
      </c>
      <c r="K62">
        <v>0.42799999999999999</v>
      </c>
      <c r="L62">
        <v>2</v>
      </c>
      <c r="M62">
        <v>5.2</v>
      </c>
      <c r="N62">
        <v>0.38500000000000001</v>
      </c>
      <c r="O62">
        <v>1.9</v>
      </c>
      <c r="P62">
        <v>3.9</v>
      </c>
      <c r="Q62">
        <v>0.48599999999999999</v>
      </c>
      <c r="R62">
        <v>0.53900000000000003</v>
      </c>
      <c r="S62">
        <v>2.1</v>
      </c>
      <c r="T62">
        <v>2.5</v>
      </c>
      <c r="U62">
        <v>0.83399999999999996</v>
      </c>
      <c r="V62">
        <v>0.5</v>
      </c>
      <c r="W62">
        <v>2.2000000000000002</v>
      </c>
      <c r="X62">
        <v>2.7</v>
      </c>
      <c r="Y62">
        <v>6.7</v>
      </c>
      <c r="Z62">
        <v>1.1000000000000001</v>
      </c>
      <c r="AA62">
        <v>0.2</v>
      </c>
      <c r="AB62">
        <v>1.5</v>
      </c>
      <c r="AC62">
        <v>2.1</v>
      </c>
      <c r="AD62">
        <v>11.9</v>
      </c>
      <c r="AE62">
        <v>2029</v>
      </c>
      <c r="AF62">
        <v>14.7</v>
      </c>
      <c r="AG62">
        <v>0.58299999999999996</v>
      </c>
      <c r="AH62">
        <v>0.57499999999999996</v>
      </c>
      <c r="AI62">
        <v>0.27700000000000002</v>
      </c>
      <c r="AJ62">
        <v>1.8</v>
      </c>
      <c r="AK62">
        <v>7.9</v>
      </c>
      <c r="AL62">
        <v>4.9000000000000004</v>
      </c>
      <c r="AM62">
        <v>29.4</v>
      </c>
      <c r="AN62">
        <v>1.7</v>
      </c>
      <c r="AO62">
        <v>0.6</v>
      </c>
      <c r="AP62">
        <v>13.1</v>
      </c>
      <c r="AQ62">
        <v>16.3</v>
      </c>
      <c r="AR62">
        <v>4.0999999999999996</v>
      </c>
      <c r="AS62">
        <v>1.4</v>
      </c>
      <c r="AT62">
        <v>5.5</v>
      </c>
      <c r="AU62">
        <v>0.13</v>
      </c>
      <c r="AV62">
        <v>1</v>
      </c>
      <c r="AW62">
        <v>-0.1</v>
      </c>
      <c r="AX62">
        <v>0.9</v>
      </c>
      <c r="AY62">
        <v>1.5</v>
      </c>
      <c r="AZ62" s="8">
        <v>3.2</v>
      </c>
      <c r="BA62" s="8">
        <v>0.14109347442680775</v>
      </c>
      <c r="BB62" s="3">
        <v>0</v>
      </c>
    </row>
    <row r="63" spans="1:54" x14ac:dyDescent="0.25">
      <c r="A63" t="s">
        <v>131</v>
      </c>
      <c r="B63" s="2">
        <v>22600000</v>
      </c>
      <c r="C63" t="s">
        <v>52</v>
      </c>
      <c r="D63">
        <v>30</v>
      </c>
      <c r="E63" t="s">
        <v>113</v>
      </c>
      <c r="F63">
        <v>67</v>
      </c>
      <c r="G63">
        <v>0</v>
      </c>
      <c r="H63">
        <v>26</v>
      </c>
      <c r="I63">
        <v>5.3</v>
      </c>
      <c r="J63">
        <v>10.9</v>
      </c>
      <c r="K63">
        <v>0.48399999999999999</v>
      </c>
      <c r="L63">
        <v>2</v>
      </c>
      <c r="M63">
        <v>4.4000000000000004</v>
      </c>
      <c r="N63">
        <v>0.44400000000000001</v>
      </c>
      <c r="O63">
        <v>3.3</v>
      </c>
      <c r="P63">
        <v>6.5</v>
      </c>
      <c r="Q63">
        <v>0.51</v>
      </c>
      <c r="R63">
        <v>0.57399999999999995</v>
      </c>
      <c r="S63">
        <v>2.4</v>
      </c>
      <c r="T63">
        <v>2.7</v>
      </c>
      <c r="U63">
        <v>0.87</v>
      </c>
      <c r="V63">
        <v>0.6</v>
      </c>
      <c r="W63">
        <v>3.6</v>
      </c>
      <c r="X63">
        <v>4.2</v>
      </c>
      <c r="Y63">
        <v>3.7</v>
      </c>
      <c r="Z63">
        <v>0.7</v>
      </c>
      <c r="AA63">
        <v>0.3</v>
      </c>
      <c r="AB63">
        <v>1.5</v>
      </c>
      <c r="AC63">
        <v>1.6</v>
      </c>
      <c r="AD63">
        <v>14.9</v>
      </c>
      <c r="AE63">
        <v>1744</v>
      </c>
      <c r="AF63">
        <v>18.2</v>
      </c>
      <c r="AG63">
        <v>0.61499999999999999</v>
      </c>
      <c r="AH63">
        <v>0.40600000000000003</v>
      </c>
      <c r="AI63">
        <v>0.251</v>
      </c>
      <c r="AJ63">
        <v>2.7</v>
      </c>
      <c r="AK63">
        <v>14.7</v>
      </c>
      <c r="AL63">
        <v>8.8000000000000007</v>
      </c>
      <c r="AM63">
        <v>21.5</v>
      </c>
      <c r="AN63">
        <v>1.3</v>
      </c>
      <c r="AO63">
        <v>0.9</v>
      </c>
      <c r="AP63">
        <v>10.8</v>
      </c>
      <c r="AQ63">
        <v>22.8</v>
      </c>
      <c r="AR63">
        <v>3.6</v>
      </c>
      <c r="AS63">
        <v>2.2000000000000002</v>
      </c>
      <c r="AT63">
        <v>5.8</v>
      </c>
      <c r="AU63">
        <v>0.161</v>
      </c>
      <c r="AV63">
        <v>2.2999999999999998</v>
      </c>
      <c r="AW63">
        <v>0.6</v>
      </c>
      <c r="AX63">
        <v>2.8</v>
      </c>
      <c r="AY63">
        <v>2.1</v>
      </c>
      <c r="AZ63" s="8">
        <v>4.3</v>
      </c>
      <c r="BA63" s="8">
        <v>0.19026548672566371</v>
      </c>
      <c r="BB63" s="3">
        <v>0</v>
      </c>
    </row>
    <row r="64" spans="1:54" x14ac:dyDescent="0.25">
      <c r="A64" t="s">
        <v>132</v>
      </c>
      <c r="B64" s="2">
        <v>22321429</v>
      </c>
      <c r="C64" t="s">
        <v>62</v>
      </c>
      <c r="D64">
        <v>23</v>
      </c>
      <c r="E64" t="s">
        <v>70</v>
      </c>
      <c r="F64">
        <v>62</v>
      </c>
      <c r="G64">
        <v>62</v>
      </c>
      <c r="H64">
        <v>35</v>
      </c>
      <c r="I64">
        <v>7.5</v>
      </c>
      <c r="J64">
        <v>16.899999999999999</v>
      </c>
      <c r="K64">
        <v>0.44700000000000001</v>
      </c>
      <c r="L64">
        <v>3.4</v>
      </c>
      <c r="M64">
        <v>9.1</v>
      </c>
      <c r="N64">
        <v>0.377</v>
      </c>
      <c r="O64">
        <v>4.0999999999999996</v>
      </c>
      <c r="P64">
        <v>7.8</v>
      </c>
      <c r="Q64">
        <v>0.52800000000000002</v>
      </c>
      <c r="R64">
        <v>0.54800000000000004</v>
      </c>
      <c r="S64">
        <v>2.6</v>
      </c>
      <c r="T64">
        <v>2.9</v>
      </c>
      <c r="U64">
        <v>0.89400000000000002</v>
      </c>
      <c r="V64">
        <v>0.3</v>
      </c>
      <c r="W64">
        <v>2.2999999999999998</v>
      </c>
      <c r="X64">
        <v>2.6</v>
      </c>
      <c r="Y64">
        <v>4.0999999999999996</v>
      </c>
      <c r="Z64">
        <v>0.7</v>
      </c>
      <c r="AA64">
        <v>0.2</v>
      </c>
      <c r="AB64">
        <v>2.1</v>
      </c>
      <c r="AC64">
        <v>2.2999999999999998</v>
      </c>
      <c r="AD64">
        <v>21.1</v>
      </c>
      <c r="AE64">
        <v>2171</v>
      </c>
      <c r="AF64">
        <v>14.8</v>
      </c>
      <c r="AG64">
        <v>0.58099999999999996</v>
      </c>
      <c r="AH64">
        <v>0.53800000000000003</v>
      </c>
      <c r="AI64">
        <v>0.17100000000000001</v>
      </c>
      <c r="AJ64">
        <v>0.9</v>
      </c>
      <c r="AK64">
        <v>7.6</v>
      </c>
      <c r="AL64">
        <v>4.3</v>
      </c>
      <c r="AM64">
        <v>18.600000000000001</v>
      </c>
      <c r="AN64">
        <v>0.9</v>
      </c>
      <c r="AO64">
        <v>0.6</v>
      </c>
      <c r="AP64">
        <v>10.199999999999999</v>
      </c>
      <c r="AQ64">
        <v>25.1</v>
      </c>
      <c r="AR64">
        <v>2.1</v>
      </c>
      <c r="AS64">
        <v>0.3</v>
      </c>
      <c r="AT64">
        <v>2.5</v>
      </c>
      <c r="AU64">
        <v>5.3999999999999999E-2</v>
      </c>
      <c r="AV64">
        <v>1.3</v>
      </c>
      <c r="AW64">
        <v>-2.5</v>
      </c>
      <c r="AX64">
        <v>-1.1000000000000001</v>
      </c>
      <c r="AY64">
        <v>0.5</v>
      </c>
      <c r="AZ64" s="8">
        <v>0.7</v>
      </c>
      <c r="BA64" s="8">
        <v>3.1359999397888014E-2</v>
      </c>
      <c r="BB64" s="3">
        <v>0</v>
      </c>
    </row>
    <row r="65" spans="1:54" x14ac:dyDescent="0.25">
      <c r="A65" t="s">
        <v>133</v>
      </c>
      <c r="B65" s="2">
        <v>21486316</v>
      </c>
      <c r="C65" t="s">
        <v>62</v>
      </c>
      <c r="D65">
        <v>28</v>
      </c>
      <c r="E65" t="s">
        <v>118</v>
      </c>
      <c r="F65">
        <v>63</v>
      </c>
      <c r="G65">
        <v>63</v>
      </c>
      <c r="H65">
        <v>35.299999999999997</v>
      </c>
      <c r="I65">
        <v>7.8</v>
      </c>
      <c r="J65">
        <v>18.899999999999999</v>
      </c>
      <c r="K65">
        <v>0.41499999999999998</v>
      </c>
      <c r="L65">
        <v>2.6</v>
      </c>
      <c r="M65">
        <v>8</v>
      </c>
      <c r="N65">
        <v>0.32700000000000001</v>
      </c>
      <c r="O65">
        <v>5.2</v>
      </c>
      <c r="P65">
        <v>10.8</v>
      </c>
      <c r="Q65">
        <v>0.48</v>
      </c>
      <c r="R65">
        <v>0.48399999999999999</v>
      </c>
      <c r="S65">
        <v>2.8</v>
      </c>
      <c r="T65">
        <v>3.5</v>
      </c>
      <c r="U65">
        <v>0.80900000000000005</v>
      </c>
      <c r="V65">
        <v>0.8</v>
      </c>
      <c r="W65">
        <v>3.3</v>
      </c>
      <c r="X65">
        <v>4.0999999999999996</v>
      </c>
      <c r="Y65">
        <v>5.0999999999999996</v>
      </c>
      <c r="Z65">
        <v>1.2</v>
      </c>
      <c r="AA65">
        <v>0.3</v>
      </c>
      <c r="AB65">
        <v>2.1</v>
      </c>
      <c r="AC65">
        <v>1.9</v>
      </c>
      <c r="AD65">
        <v>21.1</v>
      </c>
      <c r="AE65">
        <v>2221</v>
      </c>
      <c r="AF65">
        <v>14.7</v>
      </c>
      <c r="AG65">
        <v>0.51700000000000002</v>
      </c>
      <c r="AH65">
        <v>0.42499999999999999</v>
      </c>
      <c r="AI65">
        <v>0.185</v>
      </c>
      <c r="AJ65">
        <v>2.4</v>
      </c>
      <c r="AK65">
        <v>10.199999999999999</v>
      </c>
      <c r="AL65">
        <v>6.2</v>
      </c>
      <c r="AM65">
        <v>22.7</v>
      </c>
      <c r="AN65">
        <v>1.6</v>
      </c>
      <c r="AO65">
        <v>0.6</v>
      </c>
      <c r="AP65">
        <v>9.4</v>
      </c>
      <c r="AQ65">
        <v>26.9</v>
      </c>
      <c r="AR65">
        <v>0.1</v>
      </c>
      <c r="AS65">
        <v>1.6</v>
      </c>
      <c r="AT65">
        <v>1.7</v>
      </c>
      <c r="AU65">
        <v>3.6999999999999998E-2</v>
      </c>
      <c r="AV65">
        <v>0.6</v>
      </c>
      <c r="AW65">
        <v>-1.1000000000000001</v>
      </c>
      <c r="AX65">
        <v>-0.6</v>
      </c>
      <c r="AY65">
        <v>0.8</v>
      </c>
      <c r="AZ65" s="8">
        <v>0.55000000000000004</v>
      </c>
      <c r="BA65" s="8">
        <v>2.5597687383914488E-2</v>
      </c>
      <c r="BB65" s="3">
        <v>0</v>
      </c>
    </row>
    <row r="66" spans="1:54" x14ac:dyDescent="0.25">
      <c r="A66" t="s">
        <v>134</v>
      </c>
      <c r="B66" s="2">
        <v>21250000</v>
      </c>
      <c r="C66" t="s">
        <v>52</v>
      </c>
      <c r="D66">
        <v>28</v>
      </c>
      <c r="E66" t="s">
        <v>91</v>
      </c>
      <c r="F66">
        <v>69</v>
      </c>
      <c r="G66">
        <v>69</v>
      </c>
      <c r="H66">
        <v>36.700000000000003</v>
      </c>
      <c r="I66">
        <v>6.3</v>
      </c>
      <c r="J66">
        <v>16.100000000000001</v>
      </c>
      <c r="K66">
        <v>0.39300000000000002</v>
      </c>
      <c r="L66">
        <v>3</v>
      </c>
      <c r="M66">
        <v>8.8000000000000007</v>
      </c>
      <c r="N66">
        <v>0.34200000000000003</v>
      </c>
      <c r="O66">
        <v>3.3</v>
      </c>
      <c r="P66">
        <v>7.3</v>
      </c>
      <c r="Q66">
        <v>0.45500000000000002</v>
      </c>
      <c r="R66">
        <v>0.48599999999999999</v>
      </c>
      <c r="S66">
        <v>3.7</v>
      </c>
      <c r="T66">
        <v>4.0999999999999996</v>
      </c>
      <c r="U66">
        <v>0.89800000000000002</v>
      </c>
      <c r="V66">
        <v>0.4</v>
      </c>
      <c r="W66">
        <v>3.6</v>
      </c>
      <c r="X66">
        <v>4.0999999999999996</v>
      </c>
      <c r="Y66">
        <v>7.2</v>
      </c>
      <c r="Z66">
        <v>1.8</v>
      </c>
      <c r="AA66">
        <v>0.6</v>
      </c>
      <c r="AB66">
        <v>2</v>
      </c>
      <c r="AC66">
        <v>2.8</v>
      </c>
      <c r="AD66">
        <v>19.3</v>
      </c>
      <c r="AE66">
        <v>2535</v>
      </c>
      <c r="AF66">
        <v>17</v>
      </c>
      <c r="AG66">
        <v>0.54</v>
      </c>
      <c r="AH66">
        <v>0.54500000000000004</v>
      </c>
      <c r="AI66">
        <v>0.254</v>
      </c>
      <c r="AJ66">
        <v>1.2</v>
      </c>
      <c r="AK66">
        <v>12</v>
      </c>
      <c r="AL66">
        <v>6.3</v>
      </c>
      <c r="AM66">
        <v>28.1</v>
      </c>
      <c r="AN66">
        <v>2.4</v>
      </c>
      <c r="AO66">
        <v>1.5</v>
      </c>
      <c r="AP66">
        <v>10.199999999999999</v>
      </c>
      <c r="AQ66">
        <v>23.2</v>
      </c>
      <c r="AR66">
        <v>3.7</v>
      </c>
      <c r="AS66">
        <v>2.8</v>
      </c>
      <c r="AT66">
        <v>6.5</v>
      </c>
      <c r="AU66">
        <v>0.123</v>
      </c>
      <c r="AV66">
        <v>2</v>
      </c>
      <c r="AW66">
        <v>0.5</v>
      </c>
      <c r="AX66">
        <v>2.5</v>
      </c>
      <c r="AY66">
        <v>2.9</v>
      </c>
      <c r="AZ66" s="8">
        <v>4.5</v>
      </c>
      <c r="BA66" s="8">
        <v>0.21176470588235294</v>
      </c>
      <c r="BB66" s="3">
        <v>0</v>
      </c>
    </row>
    <row r="67" spans="1:54" x14ac:dyDescent="0.25">
      <c r="A67" t="s">
        <v>135</v>
      </c>
      <c r="B67" s="2">
        <v>21177750</v>
      </c>
      <c r="C67" t="s">
        <v>65</v>
      </c>
      <c r="D67">
        <v>30</v>
      </c>
      <c r="E67" t="s">
        <v>93</v>
      </c>
      <c r="F67">
        <v>80</v>
      </c>
      <c r="G67">
        <v>73</v>
      </c>
      <c r="H67">
        <v>31</v>
      </c>
      <c r="I67">
        <v>5.9</v>
      </c>
      <c r="J67">
        <v>13</v>
      </c>
      <c r="K67">
        <v>0.45800000000000002</v>
      </c>
      <c r="L67">
        <v>3.6</v>
      </c>
      <c r="M67">
        <v>8.5</v>
      </c>
      <c r="N67">
        <v>0.42499999999999999</v>
      </c>
      <c r="O67">
        <v>2.2999999999999998</v>
      </c>
      <c r="P67">
        <v>4.5</v>
      </c>
      <c r="Q67">
        <v>0.51800000000000002</v>
      </c>
      <c r="R67">
        <v>0.59599999999999997</v>
      </c>
      <c r="S67">
        <v>1.3</v>
      </c>
      <c r="T67">
        <v>1.6</v>
      </c>
      <c r="U67">
        <v>0.82199999999999995</v>
      </c>
      <c r="V67">
        <v>0.8</v>
      </c>
      <c r="W67">
        <v>4.2</v>
      </c>
      <c r="X67">
        <v>5</v>
      </c>
      <c r="Y67">
        <v>2.8</v>
      </c>
      <c r="Z67">
        <v>1.2</v>
      </c>
      <c r="AA67">
        <v>0.3</v>
      </c>
      <c r="AB67">
        <v>1.7</v>
      </c>
      <c r="AC67">
        <v>2</v>
      </c>
      <c r="AD67">
        <v>16.8</v>
      </c>
      <c r="AE67">
        <v>2482</v>
      </c>
      <c r="AF67">
        <v>15.4</v>
      </c>
      <c r="AG67">
        <v>0.61399999999999999</v>
      </c>
      <c r="AH67">
        <v>0.65200000000000002</v>
      </c>
      <c r="AI67">
        <v>0.124</v>
      </c>
      <c r="AJ67">
        <v>3</v>
      </c>
      <c r="AK67">
        <v>14.9</v>
      </c>
      <c r="AL67">
        <v>8.9</v>
      </c>
      <c r="AM67">
        <v>13.3</v>
      </c>
      <c r="AN67">
        <v>1.8</v>
      </c>
      <c r="AO67">
        <v>0.9</v>
      </c>
      <c r="AP67">
        <v>11.3</v>
      </c>
      <c r="AQ67">
        <v>20.8</v>
      </c>
      <c r="AR67">
        <v>2.7</v>
      </c>
      <c r="AS67">
        <v>1.6</v>
      </c>
      <c r="AT67">
        <v>4.4000000000000004</v>
      </c>
      <c r="AU67">
        <v>8.5000000000000006E-2</v>
      </c>
      <c r="AV67">
        <v>2.5</v>
      </c>
      <c r="AW67">
        <v>-0.6</v>
      </c>
      <c r="AX67">
        <v>1.9</v>
      </c>
      <c r="AY67">
        <v>2.4</v>
      </c>
      <c r="AZ67" s="8">
        <v>3.1500000000000004</v>
      </c>
      <c r="BA67" s="8">
        <v>0.14874101356376387</v>
      </c>
      <c r="BB67" s="3">
        <v>0</v>
      </c>
    </row>
    <row r="68" spans="1:54" x14ac:dyDescent="0.25">
      <c r="A68" t="s">
        <v>137</v>
      </c>
      <c r="B68" s="2">
        <v>20955000</v>
      </c>
      <c r="C68" t="s">
        <v>28</v>
      </c>
      <c r="D68">
        <v>28</v>
      </c>
      <c r="E68" t="s">
        <v>70</v>
      </c>
      <c r="F68">
        <v>63</v>
      </c>
      <c r="G68">
        <v>63</v>
      </c>
      <c r="H68">
        <v>35.700000000000003</v>
      </c>
      <c r="I68">
        <v>6.9</v>
      </c>
      <c r="J68">
        <v>14.5</v>
      </c>
      <c r="K68">
        <v>0.47499999999999998</v>
      </c>
      <c r="L68">
        <v>2.2999999999999998</v>
      </c>
      <c r="M68">
        <v>5.7</v>
      </c>
      <c r="N68">
        <v>0.40100000000000002</v>
      </c>
      <c r="O68">
        <v>4.5999999999999996</v>
      </c>
      <c r="P68">
        <v>8.8000000000000007</v>
      </c>
      <c r="Q68">
        <v>0.52300000000000002</v>
      </c>
      <c r="R68">
        <v>0.55400000000000005</v>
      </c>
      <c r="S68">
        <v>4.4000000000000004</v>
      </c>
      <c r="T68">
        <v>5.4</v>
      </c>
      <c r="U68">
        <v>0.81299999999999994</v>
      </c>
      <c r="V68">
        <v>0.8</v>
      </c>
      <c r="W68">
        <v>3.7</v>
      </c>
      <c r="X68">
        <v>4.5</v>
      </c>
      <c r="Y68">
        <v>2.4</v>
      </c>
      <c r="Z68">
        <v>0.8</v>
      </c>
      <c r="AA68">
        <v>0.8</v>
      </c>
      <c r="AB68">
        <v>1.8</v>
      </c>
      <c r="AC68">
        <v>2.4</v>
      </c>
      <c r="AD68">
        <v>20.5</v>
      </c>
      <c r="AE68">
        <v>2246</v>
      </c>
      <c r="AF68">
        <v>16</v>
      </c>
      <c r="AG68">
        <v>0.60599999999999998</v>
      </c>
      <c r="AH68">
        <v>0.39300000000000002</v>
      </c>
      <c r="AI68">
        <v>0.375</v>
      </c>
      <c r="AJ68">
        <v>2.7</v>
      </c>
      <c r="AK68">
        <v>11.9</v>
      </c>
      <c r="AL68">
        <v>7.2</v>
      </c>
      <c r="AM68">
        <v>10.3</v>
      </c>
      <c r="AN68">
        <v>1.1000000000000001</v>
      </c>
      <c r="AO68">
        <v>2.1</v>
      </c>
      <c r="AP68">
        <v>9.8000000000000007</v>
      </c>
      <c r="AQ68">
        <v>22.8</v>
      </c>
      <c r="AR68">
        <v>3.1</v>
      </c>
      <c r="AS68">
        <v>1</v>
      </c>
      <c r="AT68">
        <v>4.0999999999999996</v>
      </c>
      <c r="AU68">
        <v>8.6999999999999994E-2</v>
      </c>
      <c r="AV68">
        <v>1.2</v>
      </c>
      <c r="AW68">
        <v>-1.4</v>
      </c>
      <c r="AX68">
        <v>-0.2</v>
      </c>
      <c r="AY68">
        <v>1</v>
      </c>
      <c r="AZ68" s="8">
        <v>1.9499999999999997</v>
      </c>
      <c r="BA68" s="8">
        <v>9.3056549749463119E-2</v>
      </c>
      <c r="BB68" s="3">
        <v>0</v>
      </c>
    </row>
    <row r="69" spans="1:54" x14ac:dyDescent="0.25">
      <c r="A69" t="s">
        <v>138</v>
      </c>
      <c r="B69" s="2">
        <v>20690909</v>
      </c>
      <c r="C69" t="s">
        <v>28</v>
      </c>
      <c r="D69">
        <v>27</v>
      </c>
      <c r="E69" t="s">
        <v>103</v>
      </c>
      <c r="F69">
        <v>68</v>
      </c>
      <c r="G69">
        <v>68</v>
      </c>
      <c r="H69">
        <v>30.2</v>
      </c>
      <c r="I69">
        <v>6.3</v>
      </c>
      <c r="J69">
        <v>11.2</v>
      </c>
      <c r="K69">
        <v>0.56399999999999995</v>
      </c>
      <c r="L69">
        <v>0.9</v>
      </c>
      <c r="M69">
        <v>2.5</v>
      </c>
      <c r="N69">
        <v>0.34699999999999998</v>
      </c>
      <c r="O69">
        <v>5.4</v>
      </c>
      <c r="P69">
        <v>8.6</v>
      </c>
      <c r="Q69">
        <v>0.628</v>
      </c>
      <c r="R69">
        <v>0.60299999999999998</v>
      </c>
      <c r="S69">
        <v>2.8</v>
      </c>
      <c r="T69">
        <v>4.5999999999999996</v>
      </c>
      <c r="U69">
        <v>0.60799999999999998</v>
      </c>
      <c r="V69">
        <v>2.4</v>
      </c>
      <c r="W69">
        <v>4.0999999999999996</v>
      </c>
      <c r="X69">
        <v>6.6</v>
      </c>
      <c r="Y69">
        <v>3</v>
      </c>
      <c r="Z69">
        <v>0.8</v>
      </c>
      <c r="AA69">
        <v>0.8</v>
      </c>
      <c r="AB69">
        <v>1.4</v>
      </c>
      <c r="AC69">
        <v>1.9</v>
      </c>
      <c r="AD69">
        <v>16.3</v>
      </c>
      <c r="AE69">
        <v>2055</v>
      </c>
      <c r="AF69">
        <v>19.5</v>
      </c>
      <c r="AG69">
        <v>0.61699999999999999</v>
      </c>
      <c r="AH69">
        <v>0.22700000000000001</v>
      </c>
      <c r="AI69">
        <v>0.41299999999999998</v>
      </c>
      <c r="AJ69">
        <v>9.4</v>
      </c>
      <c r="AK69">
        <v>15.4</v>
      </c>
      <c r="AL69">
        <v>12.5</v>
      </c>
      <c r="AM69">
        <v>14.2</v>
      </c>
      <c r="AN69">
        <v>1.3</v>
      </c>
      <c r="AO69">
        <v>2.2000000000000002</v>
      </c>
      <c r="AP69">
        <v>9.8000000000000007</v>
      </c>
      <c r="AQ69">
        <v>21.1</v>
      </c>
      <c r="AR69">
        <v>4.5999999999999996</v>
      </c>
      <c r="AS69">
        <v>2.2000000000000002</v>
      </c>
      <c r="AT69">
        <v>6.8</v>
      </c>
      <c r="AU69">
        <v>0.158</v>
      </c>
      <c r="AV69">
        <v>2.4</v>
      </c>
      <c r="AW69">
        <v>-0.3</v>
      </c>
      <c r="AX69">
        <v>2.1</v>
      </c>
      <c r="AY69">
        <v>2.1</v>
      </c>
      <c r="AZ69" s="8">
        <v>4.45</v>
      </c>
      <c r="BA69" s="8">
        <v>0.21507029971472011</v>
      </c>
      <c r="BB69" s="3">
        <v>0</v>
      </c>
    </row>
    <row r="70" spans="1:54" x14ac:dyDescent="0.25">
      <c r="A70" t="s">
        <v>139</v>
      </c>
      <c r="B70" s="2">
        <v>20100000</v>
      </c>
      <c r="C70" t="s">
        <v>62</v>
      </c>
      <c r="D70">
        <v>26</v>
      </c>
      <c r="E70" t="s">
        <v>60</v>
      </c>
      <c r="F70">
        <v>83</v>
      </c>
      <c r="G70">
        <v>83</v>
      </c>
      <c r="H70">
        <v>35.700000000000003</v>
      </c>
      <c r="I70">
        <v>7.1</v>
      </c>
      <c r="J70">
        <v>15.3</v>
      </c>
      <c r="K70">
        <v>0.46800000000000003</v>
      </c>
      <c r="L70">
        <v>2</v>
      </c>
      <c r="M70">
        <v>5.3</v>
      </c>
      <c r="N70">
        <v>0.38200000000000001</v>
      </c>
      <c r="O70">
        <v>5.0999999999999996</v>
      </c>
      <c r="P70">
        <v>9.9</v>
      </c>
      <c r="Q70">
        <v>0.51400000000000001</v>
      </c>
      <c r="R70">
        <v>0.53500000000000003</v>
      </c>
      <c r="S70">
        <v>3.8</v>
      </c>
      <c r="T70">
        <v>4.3</v>
      </c>
      <c r="U70">
        <v>0.89500000000000002</v>
      </c>
      <c r="V70">
        <v>1</v>
      </c>
      <c r="W70">
        <v>3.4</v>
      </c>
      <c r="X70">
        <v>4.4000000000000004</v>
      </c>
      <c r="Y70">
        <v>3.3</v>
      </c>
      <c r="Z70">
        <v>1.1000000000000001</v>
      </c>
      <c r="AA70">
        <v>0.7</v>
      </c>
      <c r="AB70">
        <v>1.5</v>
      </c>
      <c r="AC70">
        <v>1.9</v>
      </c>
      <c r="AD70">
        <v>20.100000000000001</v>
      </c>
      <c r="AE70">
        <v>2963</v>
      </c>
      <c r="AF70">
        <v>16.8</v>
      </c>
      <c r="AG70">
        <v>0.58699999999999997</v>
      </c>
      <c r="AH70">
        <v>0.34899999999999998</v>
      </c>
      <c r="AI70">
        <v>0.27900000000000003</v>
      </c>
      <c r="AJ70">
        <v>2.9</v>
      </c>
      <c r="AK70">
        <v>10.8</v>
      </c>
      <c r="AL70">
        <v>6.8</v>
      </c>
      <c r="AM70">
        <v>13.7</v>
      </c>
      <c r="AN70">
        <v>1.5</v>
      </c>
      <c r="AO70">
        <v>1.8</v>
      </c>
      <c r="AP70">
        <v>8.1999999999999993</v>
      </c>
      <c r="AQ70">
        <v>22.6</v>
      </c>
      <c r="AR70">
        <v>4.4000000000000004</v>
      </c>
      <c r="AS70">
        <v>3.1</v>
      </c>
      <c r="AT70">
        <v>7.5</v>
      </c>
      <c r="AU70">
        <v>0.121</v>
      </c>
      <c r="AV70">
        <v>1.5</v>
      </c>
      <c r="AW70">
        <v>0.2</v>
      </c>
      <c r="AX70">
        <v>1.7</v>
      </c>
      <c r="AY70">
        <v>2.8</v>
      </c>
      <c r="AZ70" s="8">
        <v>4.5999999999999996</v>
      </c>
      <c r="BA70" s="8">
        <v>0.22885572139303484</v>
      </c>
      <c r="BB70" s="3">
        <v>0</v>
      </c>
    </row>
    <row r="71" spans="1:54" x14ac:dyDescent="0.25">
      <c r="A71" t="s">
        <v>140</v>
      </c>
      <c r="B71" s="2">
        <v>20000000</v>
      </c>
      <c r="C71" t="s">
        <v>75</v>
      </c>
      <c r="D71">
        <v>24</v>
      </c>
      <c r="E71" t="s">
        <v>107</v>
      </c>
      <c r="F71">
        <v>68</v>
      </c>
      <c r="G71">
        <v>68</v>
      </c>
      <c r="H71">
        <v>32.6</v>
      </c>
      <c r="I71">
        <v>5.9</v>
      </c>
      <c r="J71">
        <v>9.1999999999999993</v>
      </c>
      <c r="K71">
        <v>0.64400000000000002</v>
      </c>
      <c r="L71">
        <v>0</v>
      </c>
      <c r="M71">
        <v>0.1</v>
      </c>
      <c r="N71">
        <v>0.1</v>
      </c>
      <c r="O71">
        <v>5.9</v>
      </c>
      <c r="P71">
        <v>9.1</v>
      </c>
      <c r="Q71">
        <v>0.65300000000000002</v>
      </c>
      <c r="R71">
        <v>0.64500000000000002</v>
      </c>
      <c r="S71">
        <v>2.4</v>
      </c>
      <c r="T71">
        <v>3.3</v>
      </c>
      <c r="U71">
        <v>0.73299999999999998</v>
      </c>
      <c r="V71">
        <v>3.3</v>
      </c>
      <c r="W71">
        <v>6.5</v>
      </c>
      <c r="X71">
        <v>9.8000000000000007</v>
      </c>
      <c r="Y71">
        <v>1.7</v>
      </c>
      <c r="Z71">
        <v>0.8</v>
      </c>
      <c r="AA71">
        <v>1.2</v>
      </c>
      <c r="AB71">
        <v>1.4</v>
      </c>
      <c r="AC71">
        <v>2.2999999999999998</v>
      </c>
      <c r="AD71">
        <v>14.3</v>
      </c>
      <c r="AE71">
        <v>2220</v>
      </c>
      <c r="AF71">
        <v>19.899999999999999</v>
      </c>
      <c r="AG71">
        <v>0.67</v>
      </c>
      <c r="AH71">
        <v>1.6E-2</v>
      </c>
      <c r="AI71">
        <v>0.35299999999999998</v>
      </c>
      <c r="AJ71">
        <v>11.7</v>
      </c>
      <c r="AK71">
        <v>23.6</v>
      </c>
      <c r="AL71">
        <v>17.7</v>
      </c>
      <c r="AM71">
        <v>7.5</v>
      </c>
      <c r="AN71">
        <v>1.2</v>
      </c>
      <c r="AO71">
        <v>3.5</v>
      </c>
      <c r="AP71">
        <v>11.4</v>
      </c>
      <c r="AQ71">
        <v>16.399999999999999</v>
      </c>
      <c r="AR71">
        <v>5.5</v>
      </c>
      <c r="AS71">
        <v>4</v>
      </c>
      <c r="AT71">
        <v>9.5</v>
      </c>
      <c r="AU71">
        <v>0.20499999999999999</v>
      </c>
      <c r="AV71">
        <v>1.3</v>
      </c>
      <c r="AW71">
        <v>1</v>
      </c>
      <c r="AX71">
        <v>2.4</v>
      </c>
      <c r="AY71">
        <v>2.4</v>
      </c>
      <c r="AZ71" s="8">
        <v>5.95</v>
      </c>
      <c r="BA71" s="8">
        <v>0.29749999999999999</v>
      </c>
      <c r="BB71" s="3">
        <v>0</v>
      </c>
    </row>
    <row r="72" spans="1:54" x14ac:dyDescent="0.25">
      <c r="A72" t="s">
        <v>141</v>
      </c>
      <c r="B72" s="2">
        <v>19700319</v>
      </c>
      <c r="C72" t="s">
        <v>28</v>
      </c>
      <c r="D72">
        <v>34</v>
      </c>
      <c r="E72" t="s">
        <v>55</v>
      </c>
      <c r="F72">
        <v>78</v>
      </c>
      <c r="G72">
        <v>19</v>
      </c>
      <c r="H72">
        <v>21.9</v>
      </c>
      <c r="I72">
        <v>2.1</v>
      </c>
      <c r="J72">
        <v>4.9000000000000004</v>
      </c>
      <c r="K72">
        <v>0.42</v>
      </c>
      <c r="L72">
        <v>1.6</v>
      </c>
      <c r="M72">
        <v>4.0999999999999996</v>
      </c>
      <c r="N72">
        <v>0.39100000000000001</v>
      </c>
      <c r="O72">
        <v>0.5</v>
      </c>
      <c r="P72">
        <v>0.8</v>
      </c>
      <c r="Q72">
        <v>0.56299999999999994</v>
      </c>
      <c r="R72">
        <v>0.58299999999999996</v>
      </c>
      <c r="S72">
        <v>0.4</v>
      </c>
      <c r="T72">
        <v>0.6</v>
      </c>
      <c r="U72">
        <v>0.70799999999999996</v>
      </c>
      <c r="V72">
        <v>0.8</v>
      </c>
      <c r="W72">
        <v>3</v>
      </c>
      <c r="X72">
        <v>3.8</v>
      </c>
      <c r="Y72">
        <v>1.6</v>
      </c>
      <c r="Z72">
        <v>0.7</v>
      </c>
      <c r="AA72">
        <v>0.6</v>
      </c>
      <c r="AB72">
        <v>0.6</v>
      </c>
      <c r="AC72">
        <v>1.9</v>
      </c>
      <c r="AD72">
        <v>6.1</v>
      </c>
      <c r="AE72">
        <v>1709</v>
      </c>
      <c r="AF72">
        <v>11</v>
      </c>
      <c r="AG72">
        <v>0.59399999999999997</v>
      </c>
      <c r="AH72">
        <v>0.83199999999999996</v>
      </c>
      <c r="AI72">
        <v>0.126</v>
      </c>
      <c r="AJ72">
        <v>4.0999999999999996</v>
      </c>
      <c r="AK72">
        <v>15.4</v>
      </c>
      <c r="AL72">
        <v>9.8000000000000007</v>
      </c>
      <c r="AM72">
        <v>9.4</v>
      </c>
      <c r="AN72">
        <v>1.5</v>
      </c>
      <c r="AO72">
        <v>2.2999999999999998</v>
      </c>
      <c r="AP72">
        <v>11.1</v>
      </c>
      <c r="AQ72">
        <v>11.5</v>
      </c>
      <c r="AR72">
        <v>1.7</v>
      </c>
      <c r="AS72">
        <v>1.9</v>
      </c>
      <c r="AT72">
        <v>3.6</v>
      </c>
      <c r="AU72">
        <v>0.10100000000000001</v>
      </c>
      <c r="AV72">
        <v>-0.8</v>
      </c>
      <c r="AW72">
        <v>1.2</v>
      </c>
      <c r="AX72">
        <v>0.5</v>
      </c>
      <c r="AY72">
        <v>1</v>
      </c>
      <c r="AZ72" s="8">
        <v>2.0499999999999998</v>
      </c>
      <c r="BA72" s="8">
        <v>0.10405922868558624</v>
      </c>
      <c r="BB72" s="3">
        <v>0</v>
      </c>
    </row>
    <row r="73" spans="1:54" x14ac:dyDescent="0.25">
      <c r="A73" t="s">
        <v>142</v>
      </c>
      <c r="B73" s="2">
        <v>19568360</v>
      </c>
      <c r="C73" t="s">
        <v>62</v>
      </c>
      <c r="D73">
        <v>34</v>
      </c>
      <c r="E73" t="s">
        <v>55</v>
      </c>
      <c r="F73">
        <v>69</v>
      </c>
      <c r="G73">
        <v>58</v>
      </c>
      <c r="H73">
        <v>28.5</v>
      </c>
      <c r="I73">
        <v>4.2</v>
      </c>
      <c r="J73">
        <v>9.5</v>
      </c>
      <c r="K73">
        <v>0.44600000000000001</v>
      </c>
      <c r="L73">
        <v>1.9</v>
      </c>
      <c r="M73">
        <v>5.2</v>
      </c>
      <c r="N73">
        <v>0.371</v>
      </c>
      <c r="O73">
        <v>2.2999999999999998</v>
      </c>
      <c r="P73">
        <v>4.3</v>
      </c>
      <c r="Q73">
        <v>0.53500000000000003</v>
      </c>
      <c r="R73">
        <v>0.54700000000000004</v>
      </c>
      <c r="S73">
        <v>2.1</v>
      </c>
      <c r="T73">
        <v>2.5</v>
      </c>
      <c r="U73">
        <v>0.82099999999999995</v>
      </c>
      <c r="V73">
        <v>0.2</v>
      </c>
      <c r="W73">
        <v>1.7</v>
      </c>
      <c r="X73">
        <v>1.9</v>
      </c>
      <c r="Y73">
        <v>2.7</v>
      </c>
      <c r="Z73">
        <v>0.6</v>
      </c>
      <c r="AA73">
        <v>0.4</v>
      </c>
      <c r="AB73">
        <v>1.5</v>
      </c>
      <c r="AC73">
        <v>1.1000000000000001</v>
      </c>
      <c r="AD73">
        <v>12.4</v>
      </c>
      <c r="AE73">
        <v>1965</v>
      </c>
      <c r="AF73">
        <v>11.8</v>
      </c>
      <c r="AG73">
        <v>0.58699999999999997</v>
      </c>
      <c r="AH73">
        <v>0.54500000000000004</v>
      </c>
      <c r="AI73">
        <v>0.26500000000000001</v>
      </c>
      <c r="AJ73">
        <v>0.9</v>
      </c>
      <c r="AK73">
        <v>6.7</v>
      </c>
      <c r="AL73">
        <v>3.8</v>
      </c>
      <c r="AM73">
        <v>13.4</v>
      </c>
      <c r="AN73">
        <v>1.1000000000000001</v>
      </c>
      <c r="AO73">
        <v>1.2</v>
      </c>
      <c r="AP73">
        <v>12.5</v>
      </c>
      <c r="AQ73">
        <v>17.8</v>
      </c>
      <c r="AR73">
        <v>1.8</v>
      </c>
      <c r="AS73">
        <v>0.5</v>
      </c>
      <c r="AT73">
        <v>2.2999999999999998</v>
      </c>
      <c r="AU73">
        <v>5.6000000000000001E-2</v>
      </c>
      <c r="AV73">
        <v>-0.5</v>
      </c>
      <c r="AW73">
        <v>-1.4</v>
      </c>
      <c r="AX73">
        <v>-1.9</v>
      </c>
      <c r="AY73">
        <v>0.1</v>
      </c>
      <c r="AZ73" s="8">
        <v>0.19999999999999996</v>
      </c>
      <c r="BA73" s="8">
        <v>1.0220580569858688E-2</v>
      </c>
      <c r="BB73" s="3">
        <v>0</v>
      </c>
    </row>
    <row r="74" spans="1:54" x14ac:dyDescent="0.25">
      <c r="A74" t="s">
        <v>143</v>
      </c>
      <c r="B74" s="2">
        <v>19500000</v>
      </c>
      <c r="C74" t="s">
        <v>52</v>
      </c>
      <c r="D74">
        <v>29</v>
      </c>
      <c r="E74" t="s">
        <v>73</v>
      </c>
      <c r="F74">
        <v>79</v>
      </c>
      <c r="G74">
        <v>79</v>
      </c>
      <c r="H74">
        <v>34.5</v>
      </c>
      <c r="I74">
        <v>5.8</v>
      </c>
      <c r="J74">
        <v>13.3</v>
      </c>
      <c r="K74">
        <v>0.438</v>
      </c>
      <c r="L74">
        <v>2.2999999999999998</v>
      </c>
      <c r="M74">
        <v>6.2</v>
      </c>
      <c r="N74">
        <v>0.36899999999999999</v>
      </c>
      <c r="O74">
        <v>3.5</v>
      </c>
      <c r="P74">
        <v>7.1</v>
      </c>
      <c r="Q74">
        <v>0.498</v>
      </c>
      <c r="R74">
        <v>0.52400000000000002</v>
      </c>
      <c r="S74">
        <v>3.4</v>
      </c>
      <c r="T74">
        <v>4.2</v>
      </c>
      <c r="U74">
        <v>0.81200000000000006</v>
      </c>
      <c r="V74">
        <v>0.4</v>
      </c>
      <c r="W74">
        <v>3.1</v>
      </c>
      <c r="X74">
        <v>3.4</v>
      </c>
      <c r="Y74">
        <v>6.5</v>
      </c>
      <c r="Z74">
        <v>0.8</v>
      </c>
      <c r="AA74">
        <v>0.3</v>
      </c>
      <c r="AB74">
        <v>1.8</v>
      </c>
      <c r="AC74">
        <v>2.4</v>
      </c>
      <c r="AD74">
        <v>17.3</v>
      </c>
      <c r="AE74">
        <v>2725</v>
      </c>
      <c r="AF74">
        <v>16</v>
      </c>
      <c r="AG74">
        <v>0.57299999999999995</v>
      </c>
      <c r="AH74">
        <v>0.46700000000000003</v>
      </c>
      <c r="AI74">
        <v>0.314</v>
      </c>
      <c r="AJ74">
        <v>1.2</v>
      </c>
      <c r="AK74">
        <v>10.199999999999999</v>
      </c>
      <c r="AL74">
        <v>5.7</v>
      </c>
      <c r="AM74">
        <v>28.1</v>
      </c>
      <c r="AN74">
        <v>1.2</v>
      </c>
      <c r="AO74">
        <v>0.8</v>
      </c>
      <c r="AP74">
        <v>10.8</v>
      </c>
      <c r="AQ74">
        <v>22.1</v>
      </c>
      <c r="AR74">
        <v>4.5</v>
      </c>
      <c r="AS74">
        <v>1.8</v>
      </c>
      <c r="AT74">
        <v>6.3</v>
      </c>
      <c r="AU74">
        <v>0.111</v>
      </c>
      <c r="AV74">
        <v>1.6</v>
      </c>
      <c r="AW74">
        <v>-0.9</v>
      </c>
      <c r="AX74">
        <v>0.7</v>
      </c>
      <c r="AY74">
        <v>1.8</v>
      </c>
      <c r="AZ74" s="8">
        <v>3.5</v>
      </c>
      <c r="BA74" s="8">
        <v>0.17948717948717949</v>
      </c>
      <c r="BB74" s="3">
        <v>0</v>
      </c>
    </row>
    <row r="75" spans="1:54" x14ac:dyDescent="0.25">
      <c r="A75" t="s">
        <v>144</v>
      </c>
      <c r="B75" s="2">
        <v>18796296</v>
      </c>
      <c r="C75" t="s">
        <v>62</v>
      </c>
      <c r="D75">
        <v>28</v>
      </c>
      <c r="E75" t="s">
        <v>107</v>
      </c>
      <c r="F75">
        <v>74</v>
      </c>
      <c r="G75">
        <v>30</v>
      </c>
      <c r="H75">
        <v>30.2</v>
      </c>
      <c r="I75">
        <v>4.3</v>
      </c>
      <c r="J75">
        <v>10</v>
      </c>
      <c r="K75">
        <v>0.43099999999999999</v>
      </c>
      <c r="L75">
        <v>1.7</v>
      </c>
      <c r="M75">
        <v>4.4000000000000004</v>
      </c>
      <c r="N75">
        <v>0.39200000000000002</v>
      </c>
      <c r="O75">
        <v>2.6</v>
      </c>
      <c r="P75">
        <v>5.6</v>
      </c>
      <c r="Q75">
        <v>0.46200000000000002</v>
      </c>
      <c r="R75">
        <v>0.51700000000000002</v>
      </c>
      <c r="S75">
        <v>1.8</v>
      </c>
      <c r="T75">
        <v>2.4</v>
      </c>
      <c r="U75">
        <v>0.72199999999999998</v>
      </c>
      <c r="V75">
        <v>0.7</v>
      </c>
      <c r="W75">
        <v>3.1</v>
      </c>
      <c r="X75">
        <v>3.8</v>
      </c>
      <c r="Y75">
        <v>3.9</v>
      </c>
      <c r="Z75">
        <v>1</v>
      </c>
      <c r="AA75">
        <v>0.3</v>
      </c>
      <c r="AB75">
        <v>1.6</v>
      </c>
      <c r="AC75">
        <v>2.2999999999999998</v>
      </c>
      <c r="AD75">
        <v>12.1</v>
      </c>
      <c r="AE75">
        <v>2237</v>
      </c>
      <c r="AF75">
        <v>12.4</v>
      </c>
      <c r="AG75">
        <v>0.54600000000000004</v>
      </c>
      <c r="AH75">
        <v>0.437</v>
      </c>
      <c r="AI75">
        <v>0.24299999999999999</v>
      </c>
      <c r="AJ75">
        <v>2.8</v>
      </c>
      <c r="AK75">
        <v>12.1</v>
      </c>
      <c r="AL75">
        <v>7.4</v>
      </c>
      <c r="AM75">
        <v>18</v>
      </c>
      <c r="AN75">
        <v>1.6</v>
      </c>
      <c r="AO75">
        <v>1</v>
      </c>
      <c r="AP75">
        <v>12.4</v>
      </c>
      <c r="AQ75">
        <v>18.7</v>
      </c>
      <c r="AR75">
        <v>1.4</v>
      </c>
      <c r="AS75">
        <v>3.1</v>
      </c>
      <c r="AT75">
        <v>4.4000000000000004</v>
      </c>
      <c r="AU75">
        <v>9.5000000000000001E-2</v>
      </c>
      <c r="AV75">
        <v>-1</v>
      </c>
      <c r="AW75">
        <v>0.8</v>
      </c>
      <c r="AX75">
        <v>-0.2</v>
      </c>
      <c r="AY75">
        <v>1</v>
      </c>
      <c r="AZ75" s="8">
        <v>2.1</v>
      </c>
      <c r="BA75" s="8">
        <v>0.11172413969220318</v>
      </c>
      <c r="BB75" s="3">
        <v>0</v>
      </c>
    </row>
    <row r="76" spans="1:54" x14ac:dyDescent="0.25">
      <c r="A76" t="s">
        <v>145</v>
      </c>
      <c r="B76" s="2">
        <v>18642857</v>
      </c>
      <c r="C76" t="s">
        <v>65</v>
      </c>
      <c r="D76">
        <v>31</v>
      </c>
      <c r="E76" t="s">
        <v>89</v>
      </c>
      <c r="F76">
        <v>74</v>
      </c>
      <c r="G76">
        <v>33</v>
      </c>
      <c r="H76">
        <v>20.6</v>
      </c>
      <c r="I76">
        <v>2.7</v>
      </c>
      <c r="J76">
        <v>5.9</v>
      </c>
      <c r="K76">
        <v>0.45700000000000002</v>
      </c>
      <c r="L76">
        <v>1.9</v>
      </c>
      <c r="M76">
        <v>4.5</v>
      </c>
      <c r="N76">
        <v>0.42599999999999999</v>
      </c>
      <c r="O76">
        <v>0.8</v>
      </c>
      <c r="P76">
        <v>1.4</v>
      </c>
      <c r="Q76">
        <v>0.55100000000000005</v>
      </c>
      <c r="R76">
        <v>0.61799999999999999</v>
      </c>
      <c r="S76">
        <v>0.2</v>
      </c>
      <c r="T76">
        <v>0.4</v>
      </c>
      <c r="U76">
        <v>0.64300000000000002</v>
      </c>
      <c r="V76">
        <v>0.3</v>
      </c>
      <c r="W76">
        <v>1.9</v>
      </c>
      <c r="X76">
        <v>2.2000000000000002</v>
      </c>
      <c r="Y76">
        <v>1.4</v>
      </c>
      <c r="Z76">
        <v>0.5</v>
      </c>
      <c r="AA76">
        <v>0.2</v>
      </c>
      <c r="AB76">
        <v>0.6</v>
      </c>
      <c r="AC76">
        <v>1.9</v>
      </c>
      <c r="AD76">
        <v>7.6</v>
      </c>
      <c r="AE76">
        <v>1527</v>
      </c>
      <c r="AF76">
        <v>10.6</v>
      </c>
      <c r="AG76">
        <v>0.621</v>
      </c>
      <c r="AH76">
        <v>0.75700000000000001</v>
      </c>
      <c r="AI76">
        <v>6.4000000000000001E-2</v>
      </c>
      <c r="AJ76">
        <v>1.7</v>
      </c>
      <c r="AK76">
        <v>10.1</v>
      </c>
      <c r="AL76">
        <v>6</v>
      </c>
      <c r="AM76">
        <v>9.1</v>
      </c>
      <c r="AN76">
        <v>1.1000000000000001</v>
      </c>
      <c r="AO76">
        <v>0.7</v>
      </c>
      <c r="AP76">
        <v>8.3000000000000007</v>
      </c>
      <c r="AQ76">
        <v>14.3</v>
      </c>
      <c r="AR76">
        <v>1.5</v>
      </c>
      <c r="AS76">
        <v>1.1000000000000001</v>
      </c>
      <c r="AT76">
        <v>2.6</v>
      </c>
      <c r="AU76">
        <v>8.3000000000000004E-2</v>
      </c>
      <c r="AV76">
        <v>-0.6</v>
      </c>
      <c r="AW76">
        <v>-0.6</v>
      </c>
      <c r="AX76">
        <v>-1.1000000000000001</v>
      </c>
      <c r="AY76">
        <v>0.3</v>
      </c>
      <c r="AZ76" s="8">
        <v>0.75</v>
      </c>
      <c r="BA76" s="8">
        <v>4.0229885365746246E-2</v>
      </c>
      <c r="BB76" s="3">
        <v>0</v>
      </c>
    </row>
    <row r="77" spans="1:54" x14ac:dyDescent="0.25">
      <c r="A77" t="s">
        <v>146</v>
      </c>
      <c r="B77" s="2">
        <v>18352273</v>
      </c>
      <c r="C77" t="s">
        <v>28</v>
      </c>
      <c r="D77">
        <v>30</v>
      </c>
      <c r="E77" t="s">
        <v>116</v>
      </c>
      <c r="F77">
        <v>82</v>
      </c>
      <c r="G77">
        <v>82</v>
      </c>
      <c r="H77">
        <v>32.5</v>
      </c>
      <c r="I77">
        <v>4.5999999999999996</v>
      </c>
      <c r="J77">
        <v>9.6</v>
      </c>
      <c r="K77">
        <v>0.47299999999999998</v>
      </c>
      <c r="L77">
        <v>1.6</v>
      </c>
      <c r="M77">
        <v>4.3</v>
      </c>
      <c r="N77">
        <v>0.374</v>
      </c>
      <c r="O77">
        <v>3</v>
      </c>
      <c r="P77">
        <v>5.3</v>
      </c>
      <c r="Q77">
        <v>0.55300000000000005</v>
      </c>
      <c r="R77">
        <v>0.55600000000000005</v>
      </c>
      <c r="S77">
        <v>4.3</v>
      </c>
      <c r="T77">
        <v>5</v>
      </c>
      <c r="U77">
        <v>0.84699999999999998</v>
      </c>
      <c r="V77">
        <v>1.1000000000000001</v>
      </c>
      <c r="W77">
        <v>3.4</v>
      </c>
      <c r="X77">
        <v>4.5</v>
      </c>
      <c r="Y77">
        <v>1.6</v>
      </c>
      <c r="Z77">
        <v>0.7</v>
      </c>
      <c r="AA77">
        <v>0.1</v>
      </c>
      <c r="AB77">
        <v>1</v>
      </c>
      <c r="AC77">
        <v>1.3</v>
      </c>
      <c r="AD77">
        <v>15</v>
      </c>
      <c r="AE77">
        <v>2662</v>
      </c>
      <c r="AF77">
        <v>14.1</v>
      </c>
      <c r="AG77">
        <v>0.63200000000000001</v>
      </c>
      <c r="AH77">
        <v>0.44600000000000001</v>
      </c>
      <c r="AI77">
        <v>0.52200000000000002</v>
      </c>
      <c r="AJ77">
        <v>3.8</v>
      </c>
      <c r="AK77">
        <v>11.9</v>
      </c>
      <c r="AL77">
        <v>7.9</v>
      </c>
      <c r="AM77">
        <v>6.3</v>
      </c>
      <c r="AN77">
        <v>1</v>
      </c>
      <c r="AO77">
        <v>0.3</v>
      </c>
      <c r="AP77">
        <v>8.1</v>
      </c>
      <c r="AQ77">
        <v>17.100000000000001</v>
      </c>
      <c r="AR77">
        <v>5.0999999999999996</v>
      </c>
      <c r="AS77">
        <v>1.4</v>
      </c>
      <c r="AT77">
        <v>6.5</v>
      </c>
      <c r="AU77">
        <v>0.11799999999999999</v>
      </c>
      <c r="AV77">
        <v>0.5</v>
      </c>
      <c r="AW77">
        <v>-1.5</v>
      </c>
      <c r="AX77">
        <v>-1</v>
      </c>
      <c r="AY77">
        <v>0.7</v>
      </c>
      <c r="AZ77" s="8">
        <v>2.75</v>
      </c>
      <c r="BA77" s="8">
        <v>0.14984519901158838</v>
      </c>
      <c r="BB77" s="3">
        <v>0</v>
      </c>
    </row>
    <row r="78" spans="1:54" x14ac:dyDescent="0.25">
      <c r="A78" t="s">
        <v>147</v>
      </c>
      <c r="B78" s="2">
        <v>18206896</v>
      </c>
      <c r="C78" t="s">
        <v>75</v>
      </c>
      <c r="D78">
        <v>28</v>
      </c>
      <c r="E78" t="s">
        <v>85</v>
      </c>
      <c r="F78">
        <v>65</v>
      </c>
      <c r="G78">
        <v>63</v>
      </c>
      <c r="H78">
        <v>26.6</v>
      </c>
      <c r="I78">
        <v>5.4</v>
      </c>
      <c r="J78">
        <v>8.1999999999999993</v>
      </c>
      <c r="K78">
        <v>0.65300000000000002</v>
      </c>
      <c r="L78">
        <v>0</v>
      </c>
      <c r="M78">
        <v>0</v>
      </c>
      <c r="N78">
        <v>0</v>
      </c>
      <c r="O78">
        <v>5.4</v>
      </c>
      <c r="P78">
        <v>8.1999999999999993</v>
      </c>
      <c r="Q78">
        <v>0.65400000000000003</v>
      </c>
      <c r="R78">
        <v>0.65300000000000002</v>
      </c>
      <c r="S78">
        <v>1.2</v>
      </c>
      <c r="T78">
        <v>2</v>
      </c>
      <c r="U78">
        <v>0.60299999999999998</v>
      </c>
      <c r="V78">
        <v>4</v>
      </c>
      <c r="W78">
        <v>7.1</v>
      </c>
      <c r="X78">
        <v>11</v>
      </c>
      <c r="Y78">
        <v>0.9</v>
      </c>
      <c r="Z78">
        <v>0.7</v>
      </c>
      <c r="AA78">
        <v>1.2</v>
      </c>
      <c r="AB78">
        <v>0.8</v>
      </c>
      <c r="AC78">
        <v>2.1</v>
      </c>
      <c r="AD78">
        <v>12</v>
      </c>
      <c r="AE78">
        <v>1730</v>
      </c>
      <c r="AF78">
        <v>22.1</v>
      </c>
      <c r="AG78">
        <v>0.65600000000000003</v>
      </c>
      <c r="AH78">
        <v>2E-3</v>
      </c>
      <c r="AI78">
        <v>0.24399999999999999</v>
      </c>
      <c r="AJ78">
        <v>16.100000000000001</v>
      </c>
      <c r="AK78">
        <v>29.4</v>
      </c>
      <c r="AL78">
        <v>22.7</v>
      </c>
      <c r="AM78">
        <v>4.7</v>
      </c>
      <c r="AN78">
        <v>1.2</v>
      </c>
      <c r="AO78">
        <v>3.9</v>
      </c>
      <c r="AP78">
        <v>8.3000000000000007</v>
      </c>
      <c r="AQ78">
        <v>15.7</v>
      </c>
      <c r="AR78">
        <v>4.9000000000000004</v>
      </c>
      <c r="AS78">
        <v>2.4</v>
      </c>
      <c r="AT78">
        <v>7.2</v>
      </c>
      <c r="AU78">
        <v>0.20100000000000001</v>
      </c>
      <c r="AV78">
        <v>2.2999999999999998</v>
      </c>
      <c r="AW78">
        <v>-0.1</v>
      </c>
      <c r="AX78">
        <v>2.2000000000000002</v>
      </c>
      <c r="AY78">
        <v>1.8</v>
      </c>
      <c r="AZ78" s="8">
        <v>4.7</v>
      </c>
      <c r="BA78" s="8">
        <v>0.25814394721648326</v>
      </c>
      <c r="BB78" s="3">
        <v>0</v>
      </c>
    </row>
    <row r="79" spans="1:54" x14ac:dyDescent="0.25">
      <c r="A79" t="s">
        <v>149</v>
      </c>
      <c r="B79" s="2">
        <v>17926829</v>
      </c>
      <c r="C79" t="s">
        <v>75</v>
      </c>
      <c r="D79">
        <v>29</v>
      </c>
      <c r="E79" t="s">
        <v>150</v>
      </c>
      <c r="F79">
        <v>42</v>
      </c>
      <c r="G79">
        <v>42</v>
      </c>
      <c r="H79">
        <v>27</v>
      </c>
      <c r="I79">
        <v>3.7</v>
      </c>
      <c r="J79">
        <v>6.3</v>
      </c>
      <c r="K79">
        <v>0.59699999999999998</v>
      </c>
      <c r="L79">
        <v>0</v>
      </c>
      <c r="M79">
        <v>0</v>
      </c>
      <c r="N79">
        <v>0</v>
      </c>
      <c r="O79">
        <v>3.7</v>
      </c>
      <c r="P79">
        <v>6.2</v>
      </c>
      <c r="Q79">
        <v>0.59899999999999998</v>
      </c>
      <c r="R79">
        <v>0.59699999999999998</v>
      </c>
      <c r="S79">
        <v>1.1000000000000001</v>
      </c>
      <c r="T79">
        <v>3.1</v>
      </c>
      <c r="U79">
        <v>0.36399999999999999</v>
      </c>
      <c r="V79">
        <v>5.0999999999999996</v>
      </c>
      <c r="W79">
        <v>6.5</v>
      </c>
      <c r="X79">
        <v>11.5</v>
      </c>
      <c r="Y79">
        <v>2.2999999999999998</v>
      </c>
      <c r="Z79">
        <v>0.9</v>
      </c>
      <c r="AA79">
        <v>1.1000000000000001</v>
      </c>
      <c r="AB79">
        <v>1.9</v>
      </c>
      <c r="AC79">
        <v>2.2999999999999998</v>
      </c>
      <c r="AD79">
        <v>8.6</v>
      </c>
      <c r="AE79">
        <v>1133</v>
      </c>
      <c r="AF79">
        <v>17.5</v>
      </c>
      <c r="AG79">
        <v>0.56399999999999995</v>
      </c>
      <c r="AH79">
        <v>4.0000000000000001E-3</v>
      </c>
      <c r="AI79">
        <v>0.49</v>
      </c>
      <c r="AJ79">
        <v>20.100000000000001</v>
      </c>
      <c r="AK79">
        <v>25.3</v>
      </c>
      <c r="AL79">
        <v>22.7</v>
      </c>
      <c r="AM79">
        <v>11.2</v>
      </c>
      <c r="AN79">
        <v>1.5</v>
      </c>
      <c r="AO79">
        <v>3.7</v>
      </c>
      <c r="AP79">
        <v>19.8</v>
      </c>
      <c r="AQ79">
        <v>14.6</v>
      </c>
      <c r="AR79">
        <v>1.3</v>
      </c>
      <c r="AS79">
        <v>2.1</v>
      </c>
      <c r="AT79">
        <v>3.4</v>
      </c>
      <c r="AU79">
        <v>0.14399999999999999</v>
      </c>
      <c r="AV79">
        <v>-0.3</v>
      </c>
      <c r="AW79">
        <v>0.9</v>
      </c>
      <c r="AX79">
        <v>0.6</v>
      </c>
      <c r="AY79">
        <v>0.7</v>
      </c>
      <c r="AZ79" s="8">
        <v>2</v>
      </c>
      <c r="BA79" s="8">
        <v>0.11156462752001484</v>
      </c>
      <c r="BB79" s="3">
        <v>0</v>
      </c>
    </row>
    <row r="80" spans="1:54" x14ac:dyDescent="0.25">
      <c r="A80" t="s">
        <v>153</v>
      </c>
      <c r="B80" s="2">
        <v>17357143</v>
      </c>
      <c r="C80" t="s">
        <v>65</v>
      </c>
      <c r="D80">
        <v>25</v>
      </c>
      <c r="E80" t="s">
        <v>91</v>
      </c>
      <c r="F80">
        <v>67</v>
      </c>
      <c r="G80">
        <v>67</v>
      </c>
      <c r="H80">
        <v>35.6</v>
      </c>
      <c r="I80">
        <v>6.3</v>
      </c>
      <c r="J80">
        <v>13.2</v>
      </c>
      <c r="K80">
        <v>0.47599999999999998</v>
      </c>
      <c r="L80">
        <v>2.1</v>
      </c>
      <c r="M80">
        <v>5.5</v>
      </c>
      <c r="N80">
        <v>0.38700000000000001</v>
      </c>
      <c r="O80">
        <v>4.2</v>
      </c>
      <c r="P80">
        <v>7.7</v>
      </c>
      <c r="Q80">
        <v>0.53900000000000003</v>
      </c>
      <c r="R80">
        <v>0.55600000000000005</v>
      </c>
      <c r="S80">
        <v>2.1</v>
      </c>
      <c r="T80">
        <v>2.5</v>
      </c>
      <c r="U80">
        <v>0.83799999999999997</v>
      </c>
      <c r="V80">
        <v>1.4</v>
      </c>
      <c r="W80">
        <v>3.5</v>
      </c>
      <c r="X80">
        <v>5</v>
      </c>
      <c r="Y80">
        <v>2</v>
      </c>
      <c r="Z80">
        <v>1.9</v>
      </c>
      <c r="AA80">
        <v>0.7</v>
      </c>
      <c r="AB80">
        <v>2</v>
      </c>
      <c r="AC80">
        <v>3</v>
      </c>
      <c r="AD80">
        <v>16.8</v>
      </c>
      <c r="AE80">
        <v>2386</v>
      </c>
      <c r="AF80">
        <v>14.6</v>
      </c>
      <c r="AG80">
        <v>0.58599999999999997</v>
      </c>
      <c r="AH80">
        <v>0.41499999999999998</v>
      </c>
      <c r="AI80">
        <v>0.189</v>
      </c>
      <c r="AJ80">
        <v>4.2</v>
      </c>
      <c r="AK80">
        <v>12.1</v>
      </c>
      <c r="AL80">
        <v>7.9</v>
      </c>
      <c r="AM80">
        <v>8</v>
      </c>
      <c r="AN80">
        <v>2.7</v>
      </c>
      <c r="AO80">
        <v>2</v>
      </c>
      <c r="AP80">
        <v>12.1</v>
      </c>
      <c r="AQ80">
        <v>19.5</v>
      </c>
      <c r="AR80">
        <v>1.8</v>
      </c>
      <c r="AS80">
        <v>2.9</v>
      </c>
      <c r="AT80">
        <v>4.7</v>
      </c>
      <c r="AU80">
        <v>9.4E-2</v>
      </c>
      <c r="AV80">
        <v>-0.3</v>
      </c>
      <c r="AW80">
        <v>0.7</v>
      </c>
      <c r="AX80">
        <v>0.4</v>
      </c>
      <c r="AY80">
        <v>1.5</v>
      </c>
      <c r="AZ80" s="8">
        <v>2.5500000000000003</v>
      </c>
      <c r="BA80" s="8">
        <v>0.14691357903774835</v>
      </c>
      <c r="BB80" s="3">
        <v>0</v>
      </c>
    </row>
    <row r="81" spans="1:54" x14ac:dyDescent="0.25">
      <c r="A81" t="s">
        <v>154</v>
      </c>
      <c r="B81" s="2">
        <v>17207142</v>
      </c>
      <c r="C81" t="s">
        <v>52</v>
      </c>
      <c r="D81">
        <v>28</v>
      </c>
      <c r="E81" t="s">
        <v>113</v>
      </c>
      <c r="F81">
        <v>61</v>
      </c>
      <c r="G81">
        <v>61</v>
      </c>
      <c r="H81">
        <v>32.1</v>
      </c>
      <c r="I81">
        <v>4.0999999999999996</v>
      </c>
      <c r="J81">
        <v>9.9</v>
      </c>
      <c r="K81">
        <v>0.41499999999999998</v>
      </c>
      <c r="L81">
        <v>1.9</v>
      </c>
      <c r="M81">
        <v>5.6</v>
      </c>
      <c r="N81">
        <v>0.33600000000000002</v>
      </c>
      <c r="O81">
        <v>2.2000000000000002</v>
      </c>
      <c r="P81">
        <v>4.3</v>
      </c>
      <c r="Q81">
        <v>0.51900000000000002</v>
      </c>
      <c r="R81">
        <v>0.51100000000000001</v>
      </c>
      <c r="S81">
        <v>1.4</v>
      </c>
      <c r="T81">
        <v>1.9</v>
      </c>
      <c r="U81">
        <v>0.746</v>
      </c>
      <c r="V81">
        <v>0.8</v>
      </c>
      <c r="W81">
        <v>2.4</v>
      </c>
      <c r="X81">
        <v>3.1</v>
      </c>
      <c r="Y81">
        <v>6.3</v>
      </c>
      <c r="Z81">
        <v>1.5</v>
      </c>
      <c r="AA81">
        <v>0.4</v>
      </c>
      <c r="AB81">
        <v>2.2999999999999998</v>
      </c>
      <c r="AC81">
        <v>2.8</v>
      </c>
      <c r="AD81">
        <v>11.5</v>
      </c>
      <c r="AE81">
        <v>1957</v>
      </c>
      <c r="AF81">
        <v>12.1</v>
      </c>
      <c r="AG81">
        <v>0.53800000000000003</v>
      </c>
      <c r="AH81">
        <v>0.56799999999999995</v>
      </c>
      <c r="AI81">
        <v>0.19600000000000001</v>
      </c>
      <c r="AJ81">
        <v>2.6</v>
      </c>
      <c r="AK81">
        <v>8</v>
      </c>
      <c r="AL81">
        <v>5.3</v>
      </c>
      <c r="AM81">
        <v>26.4</v>
      </c>
      <c r="AN81">
        <v>2.2999999999999998</v>
      </c>
      <c r="AO81">
        <v>1</v>
      </c>
      <c r="AP81">
        <v>17.899999999999999</v>
      </c>
      <c r="AQ81">
        <v>17.8</v>
      </c>
      <c r="AR81">
        <v>1</v>
      </c>
      <c r="AS81">
        <v>2.7</v>
      </c>
      <c r="AT81">
        <v>3.7</v>
      </c>
      <c r="AU81">
        <v>9.1999999999999998E-2</v>
      </c>
      <c r="AV81">
        <v>-1.8</v>
      </c>
      <c r="AW81">
        <v>0.8</v>
      </c>
      <c r="AX81">
        <v>-1</v>
      </c>
      <c r="AY81">
        <v>0.5</v>
      </c>
      <c r="AZ81" s="8">
        <v>1.35</v>
      </c>
      <c r="BA81" s="8">
        <v>7.8455794692692135E-2</v>
      </c>
      <c r="BB81" s="3">
        <v>0</v>
      </c>
    </row>
    <row r="82" spans="1:54" x14ac:dyDescent="0.25">
      <c r="A82" t="s">
        <v>155</v>
      </c>
      <c r="B82" s="2">
        <v>17142857</v>
      </c>
      <c r="C82" t="s">
        <v>62</v>
      </c>
      <c r="D82">
        <v>28</v>
      </c>
      <c r="E82" t="s">
        <v>113</v>
      </c>
      <c r="F82">
        <v>82</v>
      </c>
      <c r="G82">
        <v>70</v>
      </c>
      <c r="H82">
        <v>28.3</v>
      </c>
      <c r="I82">
        <v>4.3</v>
      </c>
      <c r="J82">
        <v>9.1999999999999993</v>
      </c>
      <c r="K82">
        <v>0.46200000000000002</v>
      </c>
      <c r="L82">
        <v>1.8</v>
      </c>
      <c r="M82">
        <v>4.8</v>
      </c>
      <c r="N82">
        <v>0.38100000000000001</v>
      </c>
      <c r="O82">
        <v>2.5</v>
      </c>
      <c r="P82">
        <v>4.5</v>
      </c>
      <c r="Q82">
        <v>0.54800000000000004</v>
      </c>
      <c r="R82">
        <v>0.56000000000000005</v>
      </c>
      <c r="S82">
        <v>2</v>
      </c>
      <c r="T82">
        <v>2.2999999999999998</v>
      </c>
      <c r="U82">
        <v>0.875</v>
      </c>
      <c r="V82">
        <v>0.6</v>
      </c>
      <c r="W82">
        <v>2.9</v>
      </c>
      <c r="X82">
        <v>3.6</v>
      </c>
      <c r="Y82">
        <v>3.9</v>
      </c>
      <c r="Z82">
        <v>0.7</v>
      </c>
      <c r="AA82">
        <v>0.9</v>
      </c>
      <c r="AB82">
        <v>1.2</v>
      </c>
      <c r="AC82">
        <v>2.2000000000000002</v>
      </c>
      <c r="AD82">
        <v>12.4</v>
      </c>
      <c r="AE82">
        <v>2319</v>
      </c>
      <c r="AF82">
        <v>15.4</v>
      </c>
      <c r="AG82">
        <v>0.60399999999999998</v>
      </c>
      <c r="AH82">
        <v>0.51600000000000001</v>
      </c>
      <c r="AI82">
        <v>0.253</v>
      </c>
      <c r="AJ82">
        <v>2.5</v>
      </c>
      <c r="AK82">
        <v>11.2</v>
      </c>
      <c r="AL82">
        <v>6.9</v>
      </c>
      <c r="AM82">
        <v>19.399999999999999</v>
      </c>
      <c r="AN82">
        <v>1.1000000000000001</v>
      </c>
      <c r="AO82">
        <v>2.8</v>
      </c>
      <c r="AP82">
        <v>10.1</v>
      </c>
      <c r="AQ82">
        <v>17.7</v>
      </c>
      <c r="AR82">
        <v>4.4000000000000004</v>
      </c>
      <c r="AS82">
        <v>3.1</v>
      </c>
      <c r="AT82">
        <v>7.4</v>
      </c>
      <c r="AU82">
        <v>0.154</v>
      </c>
      <c r="AV82">
        <v>1.1000000000000001</v>
      </c>
      <c r="AW82">
        <v>1.3</v>
      </c>
      <c r="AX82">
        <v>2.4</v>
      </c>
      <c r="AY82">
        <v>2.6</v>
      </c>
      <c r="AZ82" s="8">
        <v>4.9000000000000004</v>
      </c>
      <c r="BA82" s="8">
        <v>0.2858333357152778</v>
      </c>
      <c r="BB82" s="3">
        <v>0</v>
      </c>
    </row>
    <row r="83" spans="1:54" x14ac:dyDescent="0.25">
      <c r="A83" t="s">
        <v>156</v>
      </c>
      <c r="B83" s="2">
        <v>17071120</v>
      </c>
      <c r="C83" t="s">
        <v>62</v>
      </c>
      <c r="D83">
        <v>26</v>
      </c>
      <c r="E83" t="s">
        <v>85</v>
      </c>
      <c r="F83">
        <v>74</v>
      </c>
      <c r="G83">
        <v>74</v>
      </c>
      <c r="H83">
        <v>36.4</v>
      </c>
      <c r="I83">
        <v>8.3000000000000007</v>
      </c>
      <c r="J83">
        <v>17.8</v>
      </c>
      <c r="K83">
        <v>0.46400000000000002</v>
      </c>
      <c r="L83">
        <v>1.8</v>
      </c>
      <c r="M83">
        <v>5.2</v>
      </c>
      <c r="N83">
        <v>0.34399999999999997</v>
      </c>
      <c r="O83">
        <v>6.5</v>
      </c>
      <c r="P83">
        <v>12.6</v>
      </c>
      <c r="Q83">
        <v>0.51400000000000001</v>
      </c>
      <c r="R83">
        <v>0.51400000000000001</v>
      </c>
      <c r="S83">
        <v>2.1</v>
      </c>
      <c r="T83">
        <v>2.6</v>
      </c>
      <c r="U83">
        <v>0.83199999999999996</v>
      </c>
      <c r="V83">
        <v>0.7</v>
      </c>
      <c r="W83">
        <v>4.5</v>
      </c>
      <c r="X83">
        <v>5.3</v>
      </c>
      <c r="Y83">
        <v>6.1</v>
      </c>
      <c r="Z83">
        <v>1.5</v>
      </c>
      <c r="AA83">
        <v>0.3</v>
      </c>
      <c r="AB83">
        <v>2.2000000000000002</v>
      </c>
      <c r="AC83">
        <v>1.4</v>
      </c>
      <c r="AD83">
        <v>20.5</v>
      </c>
      <c r="AE83">
        <v>2693</v>
      </c>
      <c r="AF83">
        <v>17</v>
      </c>
      <c r="AG83">
        <v>0.54</v>
      </c>
      <c r="AH83">
        <v>0.29299999999999998</v>
      </c>
      <c r="AI83">
        <v>0.14399999999999999</v>
      </c>
      <c r="AJ83">
        <v>2.1</v>
      </c>
      <c r="AK83">
        <v>13.8</v>
      </c>
      <c r="AL83">
        <v>7.9</v>
      </c>
      <c r="AM83">
        <v>24</v>
      </c>
      <c r="AN83">
        <v>2</v>
      </c>
      <c r="AO83">
        <v>0.6</v>
      </c>
      <c r="AP83">
        <v>10.199999999999999</v>
      </c>
      <c r="AQ83">
        <v>24.4</v>
      </c>
      <c r="AR83">
        <v>2.4</v>
      </c>
      <c r="AS83">
        <v>2.2999999999999998</v>
      </c>
      <c r="AT83">
        <v>4.7</v>
      </c>
      <c r="AU83">
        <v>8.4000000000000005E-2</v>
      </c>
      <c r="AV83">
        <v>1.1000000000000001</v>
      </c>
      <c r="AW83">
        <v>0</v>
      </c>
      <c r="AX83">
        <v>1</v>
      </c>
      <c r="AY83">
        <v>2.1</v>
      </c>
      <c r="AZ83" s="8">
        <v>2.85</v>
      </c>
      <c r="BA83" s="8">
        <v>0.16694862434333541</v>
      </c>
      <c r="BB83" s="3">
        <v>0</v>
      </c>
    </row>
    <row r="84" spans="1:54" x14ac:dyDescent="0.25">
      <c r="A84" t="s">
        <v>157</v>
      </c>
      <c r="B84" s="2">
        <v>17045454</v>
      </c>
      <c r="C84" t="s">
        <v>75</v>
      </c>
      <c r="D84">
        <v>24</v>
      </c>
      <c r="E84" t="s">
        <v>123</v>
      </c>
      <c r="F84">
        <v>59</v>
      </c>
      <c r="G84">
        <v>58</v>
      </c>
      <c r="H84">
        <v>27</v>
      </c>
      <c r="I84">
        <v>3.2</v>
      </c>
      <c r="J84">
        <v>4.7</v>
      </c>
      <c r="K84">
        <v>0.67100000000000004</v>
      </c>
      <c r="L84">
        <v>0</v>
      </c>
      <c r="M84">
        <v>0</v>
      </c>
      <c r="O84">
        <v>3.2</v>
      </c>
      <c r="P84">
        <v>4.7</v>
      </c>
      <c r="Q84">
        <v>0.67100000000000004</v>
      </c>
      <c r="R84">
        <v>0.67100000000000004</v>
      </c>
      <c r="S84">
        <v>1</v>
      </c>
      <c r="T84">
        <v>2.1</v>
      </c>
      <c r="U84">
        <v>0.48399999999999999</v>
      </c>
      <c r="V84">
        <v>4.5</v>
      </c>
      <c r="W84">
        <v>4.9000000000000004</v>
      </c>
      <c r="X84">
        <v>9.4</v>
      </c>
      <c r="Y84">
        <v>0.9</v>
      </c>
      <c r="Z84">
        <v>0.9</v>
      </c>
      <c r="AA84">
        <v>1.8</v>
      </c>
      <c r="AB84">
        <v>0.7</v>
      </c>
      <c r="AC84">
        <v>2.7</v>
      </c>
      <c r="AD84">
        <v>7.4</v>
      </c>
      <c r="AE84">
        <v>1591</v>
      </c>
      <c r="AF84">
        <v>18.899999999999999</v>
      </c>
      <c r="AG84">
        <v>0.65200000000000002</v>
      </c>
      <c r="AH84">
        <v>0</v>
      </c>
      <c r="AI84">
        <v>0.436</v>
      </c>
      <c r="AJ84">
        <v>18.399999999999999</v>
      </c>
      <c r="AK84">
        <v>20</v>
      </c>
      <c r="AL84">
        <v>19.2</v>
      </c>
      <c r="AM84">
        <v>4.5</v>
      </c>
      <c r="AN84">
        <v>1.7</v>
      </c>
      <c r="AO84">
        <v>6.5</v>
      </c>
      <c r="AP84">
        <v>10.9</v>
      </c>
      <c r="AQ84">
        <v>10.1</v>
      </c>
      <c r="AR84">
        <v>4</v>
      </c>
      <c r="AS84">
        <v>2.6</v>
      </c>
      <c r="AT84">
        <v>6.5</v>
      </c>
      <c r="AU84">
        <v>0.19700000000000001</v>
      </c>
      <c r="AV84">
        <v>1</v>
      </c>
      <c r="AW84">
        <v>1.4</v>
      </c>
      <c r="AX84">
        <v>2.4</v>
      </c>
      <c r="AY84">
        <v>1.7</v>
      </c>
      <c r="AZ84" s="8">
        <v>4.45</v>
      </c>
      <c r="BA84" s="8">
        <v>0.26106667502080028</v>
      </c>
      <c r="BB84" s="3">
        <v>0</v>
      </c>
    </row>
    <row r="85" spans="1:54" x14ac:dyDescent="0.25">
      <c r="A85" t="s">
        <v>159</v>
      </c>
      <c r="B85" s="2">
        <v>16758621</v>
      </c>
      <c r="C85" t="s">
        <v>62</v>
      </c>
      <c r="D85">
        <v>29</v>
      </c>
      <c r="E85" t="s">
        <v>55</v>
      </c>
      <c r="F85">
        <v>60</v>
      </c>
      <c r="G85">
        <v>8</v>
      </c>
      <c r="H85">
        <v>26.1</v>
      </c>
      <c r="I85">
        <v>5.7</v>
      </c>
      <c r="J85">
        <v>11.8</v>
      </c>
      <c r="K85">
        <v>0.47899999999999998</v>
      </c>
      <c r="L85">
        <v>1.9</v>
      </c>
      <c r="M85">
        <v>4.8</v>
      </c>
      <c r="N85">
        <v>0.39700000000000002</v>
      </c>
      <c r="O85">
        <v>3.8</v>
      </c>
      <c r="P85">
        <v>7.1</v>
      </c>
      <c r="Q85">
        <v>0.53400000000000003</v>
      </c>
      <c r="R85">
        <v>0.55900000000000005</v>
      </c>
      <c r="S85">
        <v>3.8</v>
      </c>
      <c r="T85">
        <v>4.5999999999999996</v>
      </c>
      <c r="U85">
        <v>0.81200000000000006</v>
      </c>
      <c r="V85">
        <v>0.4</v>
      </c>
      <c r="W85">
        <v>2.5</v>
      </c>
      <c r="X85">
        <v>2.9</v>
      </c>
      <c r="Y85">
        <v>1.8</v>
      </c>
      <c r="Z85">
        <v>0.8</v>
      </c>
      <c r="AA85">
        <v>0.3</v>
      </c>
      <c r="AB85">
        <v>1.7</v>
      </c>
      <c r="AC85">
        <v>2.1</v>
      </c>
      <c r="AD85">
        <v>17</v>
      </c>
      <c r="AE85">
        <v>1567</v>
      </c>
      <c r="AF85">
        <v>17.100000000000001</v>
      </c>
      <c r="AG85">
        <v>0.61199999999999999</v>
      </c>
      <c r="AH85">
        <v>0.40400000000000003</v>
      </c>
      <c r="AI85">
        <v>0.39</v>
      </c>
      <c r="AJ85">
        <v>1.7</v>
      </c>
      <c r="AK85">
        <v>10.7</v>
      </c>
      <c r="AL85">
        <v>6.3</v>
      </c>
      <c r="AM85">
        <v>11</v>
      </c>
      <c r="AN85">
        <v>1.6</v>
      </c>
      <c r="AO85">
        <v>1</v>
      </c>
      <c r="AP85">
        <v>10.8</v>
      </c>
      <c r="AQ85">
        <v>26</v>
      </c>
      <c r="AR85">
        <v>2.1</v>
      </c>
      <c r="AS85">
        <v>1.4</v>
      </c>
      <c r="AT85">
        <v>3.5</v>
      </c>
      <c r="AU85">
        <v>0.107</v>
      </c>
      <c r="AV85">
        <v>0.9</v>
      </c>
      <c r="AW85">
        <v>-0.7</v>
      </c>
      <c r="AX85">
        <v>0.3</v>
      </c>
      <c r="AY85">
        <v>0.9</v>
      </c>
      <c r="AZ85" s="8">
        <v>1.9</v>
      </c>
      <c r="BA85" s="8">
        <v>0.11337448349718035</v>
      </c>
      <c r="BB85" s="3">
        <v>0</v>
      </c>
    </row>
    <row r="86" spans="1:54" x14ac:dyDescent="0.25">
      <c r="A86" t="s">
        <v>160</v>
      </c>
      <c r="B86" s="2">
        <v>16700000</v>
      </c>
      <c r="C86" t="s">
        <v>52</v>
      </c>
      <c r="D86">
        <v>24</v>
      </c>
      <c r="E86" t="s">
        <v>130</v>
      </c>
      <c r="F86">
        <v>48</v>
      </c>
      <c r="G86">
        <v>15</v>
      </c>
      <c r="H86">
        <v>23.9</v>
      </c>
      <c r="I86">
        <v>4.9000000000000004</v>
      </c>
      <c r="J86">
        <v>9.8000000000000007</v>
      </c>
      <c r="K86">
        <v>0.50600000000000001</v>
      </c>
      <c r="L86">
        <v>1</v>
      </c>
      <c r="M86">
        <v>2.5</v>
      </c>
      <c r="N86">
        <v>0.39300000000000002</v>
      </c>
      <c r="O86">
        <v>3.9</v>
      </c>
      <c r="P86">
        <v>7.2</v>
      </c>
      <c r="Q86">
        <v>0.54600000000000004</v>
      </c>
      <c r="R86">
        <v>0.55800000000000005</v>
      </c>
      <c r="S86">
        <v>3.4</v>
      </c>
      <c r="T86">
        <v>4.0999999999999996</v>
      </c>
      <c r="U86">
        <v>0.81899999999999995</v>
      </c>
      <c r="V86">
        <v>0.8</v>
      </c>
      <c r="W86">
        <v>1.4</v>
      </c>
      <c r="X86">
        <v>2.2000000000000002</v>
      </c>
      <c r="Y86">
        <v>2.9</v>
      </c>
      <c r="Z86">
        <v>0.6</v>
      </c>
      <c r="AA86">
        <v>0.1</v>
      </c>
      <c r="AB86">
        <v>1.8</v>
      </c>
      <c r="AC86">
        <v>2.2999999999999998</v>
      </c>
      <c r="AD86">
        <v>14.3</v>
      </c>
      <c r="AE86">
        <v>1145</v>
      </c>
      <c r="AF86">
        <v>15.9</v>
      </c>
      <c r="AG86">
        <v>0.61599999999999999</v>
      </c>
      <c r="AH86">
        <v>0.26100000000000001</v>
      </c>
      <c r="AI86">
        <v>0.42499999999999999</v>
      </c>
      <c r="AJ86">
        <v>3.5</v>
      </c>
      <c r="AK86">
        <v>6.3</v>
      </c>
      <c r="AL86">
        <v>5</v>
      </c>
      <c r="AM86">
        <v>17.899999999999999</v>
      </c>
      <c r="AN86">
        <v>1.1000000000000001</v>
      </c>
      <c r="AO86">
        <v>0.4</v>
      </c>
      <c r="AP86">
        <v>13.3</v>
      </c>
      <c r="AQ86">
        <v>23.4</v>
      </c>
      <c r="AR86">
        <v>2</v>
      </c>
      <c r="AS86">
        <v>0.5</v>
      </c>
      <c r="AT86">
        <v>2.5</v>
      </c>
      <c r="AU86">
        <v>0.105</v>
      </c>
      <c r="AV86">
        <v>0.1</v>
      </c>
      <c r="AW86">
        <v>-1.5</v>
      </c>
      <c r="AX86">
        <v>-1.3</v>
      </c>
      <c r="AY86">
        <v>0.2</v>
      </c>
      <c r="AZ86" s="8">
        <v>0.6</v>
      </c>
      <c r="BA86" s="8">
        <v>3.5928143712574849E-2</v>
      </c>
      <c r="BB86" s="3">
        <v>0</v>
      </c>
    </row>
    <row r="87" spans="1:54" x14ac:dyDescent="0.25">
      <c r="A87" t="s">
        <v>161</v>
      </c>
      <c r="B87" s="2">
        <v>16500000</v>
      </c>
      <c r="C87" t="s">
        <v>52</v>
      </c>
      <c r="D87">
        <v>24</v>
      </c>
      <c r="E87" t="s">
        <v>152</v>
      </c>
      <c r="F87">
        <v>60</v>
      </c>
      <c r="G87">
        <v>60</v>
      </c>
      <c r="H87">
        <v>29.6</v>
      </c>
      <c r="I87">
        <v>5.8</v>
      </c>
      <c r="J87">
        <v>11.3</v>
      </c>
      <c r="K87">
        <v>0.51400000000000001</v>
      </c>
      <c r="L87">
        <v>0.5</v>
      </c>
      <c r="M87">
        <v>1.5</v>
      </c>
      <c r="N87">
        <v>0.31</v>
      </c>
      <c r="O87">
        <v>5.4</v>
      </c>
      <c r="P87">
        <v>9.9</v>
      </c>
      <c r="Q87">
        <v>0.54400000000000004</v>
      </c>
      <c r="R87">
        <v>0.53400000000000003</v>
      </c>
      <c r="S87">
        <v>1.9</v>
      </c>
      <c r="T87">
        <v>2.4</v>
      </c>
      <c r="U87">
        <v>0.78300000000000003</v>
      </c>
      <c r="V87">
        <v>1.2</v>
      </c>
      <c r="W87">
        <v>2.8</v>
      </c>
      <c r="X87">
        <v>3.9</v>
      </c>
      <c r="Y87">
        <v>5.7</v>
      </c>
      <c r="Z87">
        <v>1.5</v>
      </c>
      <c r="AA87">
        <v>0.4</v>
      </c>
      <c r="AB87">
        <v>2.2999999999999998</v>
      </c>
      <c r="AC87">
        <v>2.2000000000000002</v>
      </c>
      <c r="AD87">
        <v>14</v>
      </c>
      <c r="AE87">
        <v>1778</v>
      </c>
      <c r="AF87">
        <v>16.600000000000001</v>
      </c>
      <c r="AG87">
        <v>0.56399999999999995</v>
      </c>
      <c r="AH87">
        <v>0.128</v>
      </c>
      <c r="AI87">
        <v>0.21099999999999999</v>
      </c>
      <c r="AJ87">
        <v>4.4000000000000004</v>
      </c>
      <c r="AK87">
        <v>10.5</v>
      </c>
      <c r="AL87">
        <v>7.4</v>
      </c>
      <c r="AM87">
        <v>29.8</v>
      </c>
      <c r="AN87">
        <v>2.4</v>
      </c>
      <c r="AO87">
        <v>1.4</v>
      </c>
      <c r="AP87">
        <v>15.8</v>
      </c>
      <c r="AQ87">
        <v>21.3</v>
      </c>
      <c r="AR87">
        <v>1.7</v>
      </c>
      <c r="AS87">
        <v>2</v>
      </c>
      <c r="AT87">
        <v>3.7</v>
      </c>
      <c r="AU87">
        <v>0.1</v>
      </c>
      <c r="AV87">
        <v>-0.1</v>
      </c>
      <c r="AW87">
        <v>0.7</v>
      </c>
      <c r="AX87">
        <v>0.5</v>
      </c>
      <c r="AY87">
        <v>1.2</v>
      </c>
      <c r="AZ87" s="8">
        <v>2.1</v>
      </c>
      <c r="BA87" s="8">
        <v>0.12727272727272726</v>
      </c>
      <c r="BB87" s="3">
        <v>0</v>
      </c>
    </row>
    <row r="88" spans="1:54" x14ac:dyDescent="0.25">
      <c r="A88" t="s">
        <v>162</v>
      </c>
      <c r="B88" s="2">
        <v>16475454</v>
      </c>
      <c r="C88" t="s">
        <v>28</v>
      </c>
      <c r="D88">
        <v>25</v>
      </c>
      <c r="E88" t="s">
        <v>130</v>
      </c>
      <c r="F88">
        <v>66</v>
      </c>
      <c r="G88">
        <v>66</v>
      </c>
      <c r="H88">
        <v>34.4</v>
      </c>
      <c r="I88">
        <v>8.6999999999999993</v>
      </c>
      <c r="J88">
        <v>17.3</v>
      </c>
      <c r="K88">
        <v>0.499</v>
      </c>
      <c r="L88">
        <v>3</v>
      </c>
      <c r="M88">
        <v>7.7</v>
      </c>
      <c r="N88">
        <v>0.39100000000000001</v>
      </c>
      <c r="O88">
        <v>5.6</v>
      </c>
      <c r="P88">
        <v>9.6</v>
      </c>
      <c r="Q88">
        <v>0.58499999999999996</v>
      </c>
      <c r="R88">
        <v>0.58599999999999997</v>
      </c>
      <c r="S88">
        <v>5.3</v>
      </c>
      <c r="T88">
        <v>6</v>
      </c>
      <c r="U88">
        <v>0.875</v>
      </c>
      <c r="V88">
        <v>2</v>
      </c>
      <c r="W88">
        <v>6.7</v>
      </c>
      <c r="X88">
        <v>8.6</v>
      </c>
      <c r="Y88">
        <v>1.9</v>
      </c>
      <c r="Z88">
        <v>0.6</v>
      </c>
      <c r="AA88">
        <v>0.6</v>
      </c>
      <c r="AB88">
        <v>1.9</v>
      </c>
      <c r="AC88">
        <v>2.1</v>
      </c>
      <c r="AD88">
        <v>25.6</v>
      </c>
      <c r="AE88">
        <v>2273</v>
      </c>
      <c r="AF88">
        <v>22.1</v>
      </c>
      <c r="AG88">
        <v>0.64</v>
      </c>
      <c r="AH88">
        <v>0.44600000000000001</v>
      </c>
      <c r="AI88">
        <v>0.34799999999999998</v>
      </c>
      <c r="AJ88">
        <v>6.3</v>
      </c>
      <c r="AK88">
        <v>20.7</v>
      </c>
      <c r="AL88">
        <v>13.6</v>
      </c>
      <c r="AM88">
        <v>8.6</v>
      </c>
      <c r="AN88">
        <v>0.9</v>
      </c>
      <c r="AO88">
        <v>1.4</v>
      </c>
      <c r="AP88">
        <v>8.8000000000000007</v>
      </c>
      <c r="AQ88">
        <v>26.6</v>
      </c>
      <c r="AR88">
        <v>6.3</v>
      </c>
      <c r="AS88">
        <v>1.9</v>
      </c>
      <c r="AT88">
        <v>8.1999999999999993</v>
      </c>
      <c r="AU88">
        <v>0.17299999999999999</v>
      </c>
      <c r="AV88">
        <v>4.9000000000000004</v>
      </c>
      <c r="AW88">
        <v>-1</v>
      </c>
      <c r="AX88">
        <v>3.8</v>
      </c>
      <c r="AY88">
        <v>3.3</v>
      </c>
      <c r="AZ88" s="8">
        <v>6</v>
      </c>
      <c r="BA88" s="8">
        <v>0.36417812826280843</v>
      </c>
      <c r="BB88" s="3">
        <v>0</v>
      </c>
    </row>
    <row r="89" spans="1:54" x14ac:dyDescent="0.25">
      <c r="A89" t="s">
        <v>163</v>
      </c>
      <c r="B89" s="2">
        <v>16372093</v>
      </c>
      <c r="C89" t="s">
        <v>28</v>
      </c>
      <c r="D89">
        <v>33</v>
      </c>
      <c r="E89" t="s">
        <v>55</v>
      </c>
      <c r="F89">
        <v>65</v>
      </c>
      <c r="G89">
        <v>65</v>
      </c>
      <c r="H89">
        <v>28.1</v>
      </c>
      <c r="I89">
        <v>4.2</v>
      </c>
      <c r="J89">
        <v>9.9</v>
      </c>
      <c r="K89">
        <v>0.42599999999999999</v>
      </c>
      <c r="L89">
        <v>1.7</v>
      </c>
      <c r="M89">
        <v>4.7</v>
      </c>
      <c r="N89">
        <v>0.36399999999999999</v>
      </c>
      <c r="O89">
        <v>2.5</v>
      </c>
      <c r="P89">
        <v>5.2</v>
      </c>
      <c r="Q89">
        <v>0.48399999999999999</v>
      </c>
      <c r="R89">
        <v>0.51300000000000001</v>
      </c>
      <c r="S89">
        <v>1</v>
      </c>
      <c r="T89">
        <v>1.3</v>
      </c>
      <c r="U89">
        <v>0.78200000000000003</v>
      </c>
      <c r="V89">
        <v>0.4</v>
      </c>
      <c r="W89">
        <v>3.5</v>
      </c>
      <c r="X89">
        <v>4</v>
      </c>
      <c r="Y89">
        <v>1.8</v>
      </c>
      <c r="Z89">
        <v>0.6</v>
      </c>
      <c r="AA89">
        <v>0.3</v>
      </c>
      <c r="AB89">
        <v>0.9</v>
      </c>
      <c r="AC89">
        <v>2.1</v>
      </c>
      <c r="AD89">
        <v>11.2</v>
      </c>
      <c r="AE89">
        <v>1825</v>
      </c>
      <c r="AF89">
        <v>10.5</v>
      </c>
      <c r="AG89">
        <v>0.53400000000000003</v>
      </c>
      <c r="AH89">
        <v>0.47899999999999998</v>
      </c>
      <c r="AI89">
        <v>0.13500000000000001</v>
      </c>
      <c r="AJ89">
        <v>1.8</v>
      </c>
      <c r="AK89">
        <v>13.9</v>
      </c>
      <c r="AL89">
        <v>7.9</v>
      </c>
      <c r="AM89">
        <v>8.9</v>
      </c>
      <c r="AN89">
        <v>1.1000000000000001</v>
      </c>
      <c r="AO89">
        <v>1</v>
      </c>
      <c r="AP89">
        <v>7.6</v>
      </c>
      <c r="AQ89">
        <v>17.600000000000001</v>
      </c>
      <c r="AR89">
        <v>0.4</v>
      </c>
      <c r="AS89">
        <v>1.6</v>
      </c>
      <c r="AT89">
        <v>2</v>
      </c>
      <c r="AU89">
        <v>5.2999999999999999E-2</v>
      </c>
      <c r="AV89">
        <v>-1.8</v>
      </c>
      <c r="AW89">
        <v>-0.2</v>
      </c>
      <c r="AX89">
        <v>-1.9</v>
      </c>
      <c r="AY89">
        <v>0</v>
      </c>
      <c r="AZ89" s="8">
        <v>5.0000000000000044E-2</v>
      </c>
      <c r="BA89" s="8">
        <v>3.0539772770653115E-3</v>
      </c>
      <c r="BB89" s="3">
        <v>0</v>
      </c>
    </row>
    <row r="90" spans="1:54" x14ac:dyDescent="0.25">
      <c r="A90" t="s">
        <v>167</v>
      </c>
      <c r="B90" s="2">
        <v>15000000</v>
      </c>
      <c r="C90" t="s">
        <v>52</v>
      </c>
      <c r="D90">
        <v>26</v>
      </c>
      <c r="E90" t="s">
        <v>150</v>
      </c>
      <c r="F90">
        <v>80</v>
      </c>
      <c r="G90">
        <v>22</v>
      </c>
      <c r="H90">
        <v>24.3</v>
      </c>
      <c r="I90">
        <v>3.9</v>
      </c>
      <c r="J90">
        <v>8.9</v>
      </c>
      <c r="K90">
        <v>0.438</v>
      </c>
      <c r="L90">
        <v>1.5</v>
      </c>
      <c r="M90">
        <v>4.0999999999999996</v>
      </c>
      <c r="N90">
        <v>0.371</v>
      </c>
      <c r="O90">
        <v>2.4</v>
      </c>
      <c r="P90">
        <v>4.8</v>
      </c>
      <c r="Q90">
        <v>0.495</v>
      </c>
      <c r="R90">
        <v>0.52300000000000002</v>
      </c>
      <c r="S90">
        <v>1</v>
      </c>
      <c r="T90">
        <v>1.3</v>
      </c>
      <c r="U90">
        <v>0.8</v>
      </c>
      <c r="V90">
        <v>0.4</v>
      </c>
      <c r="W90">
        <v>2.2000000000000002</v>
      </c>
      <c r="X90">
        <v>2.5</v>
      </c>
      <c r="Y90">
        <v>5.2</v>
      </c>
      <c r="Z90">
        <v>1</v>
      </c>
      <c r="AA90">
        <v>0.1</v>
      </c>
      <c r="AB90">
        <v>0.9</v>
      </c>
      <c r="AC90">
        <v>0.4</v>
      </c>
      <c r="AD90">
        <v>10.3</v>
      </c>
      <c r="AE90">
        <v>1940</v>
      </c>
      <c r="AF90">
        <v>16</v>
      </c>
      <c r="AG90">
        <v>0.54600000000000004</v>
      </c>
      <c r="AH90">
        <v>0.45900000000000002</v>
      </c>
      <c r="AI90">
        <v>0.14099999999999999</v>
      </c>
      <c r="AJ90">
        <v>1.5</v>
      </c>
      <c r="AK90">
        <v>9.4</v>
      </c>
      <c r="AL90">
        <v>5.5</v>
      </c>
      <c r="AM90">
        <v>28.8</v>
      </c>
      <c r="AN90">
        <v>2</v>
      </c>
      <c r="AO90">
        <v>0.3</v>
      </c>
      <c r="AP90">
        <v>8.9</v>
      </c>
      <c r="AQ90">
        <v>17.7</v>
      </c>
      <c r="AR90">
        <v>3.4</v>
      </c>
      <c r="AS90">
        <v>2.2999999999999998</v>
      </c>
      <c r="AT90">
        <v>5.7</v>
      </c>
      <c r="AU90">
        <v>0.14099999999999999</v>
      </c>
      <c r="AV90">
        <v>1.2</v>
      </c>
      <c r="AW90">
        <v>0.3</v>
      </c>
      <c r="AX90">
        <v>1.6</v>
      </c>
      <c r="AY90">
        <v>1.7</v>
      </c>
      <c r="AZ90" s="8">
        <v>3.6500000000000004</v>
      </c>
      <c r="BA90" s="8">
        <v>0.24333333333333337</v>
      </c>
      <c r="BB90" s="3">
        <v>0</v>
      </c>
    </row>
    <row r="91" spans="1:54" x14ac:dyDescent="0.25">
      <c r="A91" t="s">
        <v>169</v>
      </c>
      <c r="B91" s="2">
        <v>14508929</v>
      </c>
      <c r="C91" t="s">
        <v>62</v>
      </c>
      <c r="D91">
        <v>24</v>
      </c>
      <c r="E91" t="s">
        <v>116</v>
      </c>
      <c r="F91">
        <v>75</v>
      </c>
      <c r="G91">
        <v>75</v>
      </c>
      <c r="H91">
        <v>29.4</v>
      </c>
      <c r="I91">
        <v>5.6</v>
      </c>
      <c r="J91">
        <v>11.5</v>
      </c>
      <c r="K91">
        <v>0.48499999999999999</v>
      </c>
      <c r="L91">
        <v>2.7</v>
      </c>
      <c r="M91">
        <v>6.8</v>
      </c>
      <c r="N91">
        <v>0.40200000000000002</v>
      </c>
      <c r="O91">
        <v>2.9</v>
      </c>
      <c r="P91">
        <v>4.7</v>
      </c>
      <c r="Q91">
        <v>0.60399999999999998</v>
      </c>
      <c r="R91">
        <v>0.60299999999999998</v>
      </c>
      <c r="S91">
        <v>1.3</v>
      </c>
      <c r="T91">
        <v>1.7</v>
      </c>
      <c r="U91">
        <v>0.72499999999999998</v>
      </c>
      <c r="V91">
        <v>0.6</v>
      </c>
      <c r="W91">
        <v>2.8</v>
      </c>
      <c r="X91">
        <v>3.3</v>
      </c>
      <c r="Y91">
        <v>2.9</v>
      </c>
      <c r="Z91">
        <v>1.1000000000000001</v>
      </c>
      <c r="AA91">
        <v>0.3</v>
      </c>
      <c r="AB91">
        <v>1.3</v>
      </c>
      <c r="AC91">
        <v>2.4</v>
      </c>
      <c r="AD91">
        <v>15.2</v>
      </c>
      <c r="AE91">
        <v>2203</v>
      </c>
      <c r="AF91">
        <v>15.2</v>
      </c>
      <c r="AG91">
        <v>0.61699999999999999</v>
      </c>
      <c r="AH91">
        <v>0.58899999999999997</v>
      </c>
      <c r="AI91">
        <v>0.151</v>
      </c>
      <c r="AJ91">
        <v>2.2000000000000002</v>
      </c>
      <c r="AK91">
        <v>10.8</v>
      </c>
      <c r="AL91">
        <v>6.5</v>
      </c>
      <c r="AM91">
        <v>14.1</v>
      </c>
      <c r="AN91">
        <v>1.7</v>
      </c>
      <c r="AO91">
        <v>1</v>
      </c>
      <c r="AP91">
        <v>9.5</v>
      </c>
      <c r="AQ91">
        <v>19.899999999999999</v>
      </c>
      <c r="AR91">
        <v>3.3</v>
      </c>
      <c r="AS91">
        <v>1.7</v>
      </c>
      <c r="AT91">
        <v>4.9000000000000004</v>
      </c>
      <c r="AU91">
        <v>0.107</v>
      </c>
      <c r="AV91">
        <v>1.4</v>
      </c>
      <c r="AW91">
        <v>-0.3</v>
      </c>
      <c r="AX91">
        <v>1</v>
      </c>
      <c r="AY91">
        <v>1.7</v>
      </c>
      <c r="AZ91" s="8">
        <v>2.95</v>
      </c>
      <c r="BA91" s="8">
        <v>0.20332307091722621</v>
      </c>
      <c r="BB91" s="3">
        <v>0</v>
      </c>
    </row>
    <row r="92" spans="1:54" x14ac:dyDescent="0.25">
      <c r="A92" t="s">
        <v>170</v>
      </c>
      <c r="B92" s="2">
        <v>14317459</v>
      </c>
      <c r="C92" t="s">
        <v>75</v>
      </c>
      <c r="D92">
        <v>27</v>
      </c>
      <c r="E92" t="s">
        <v>73</v>
      </c>
      <c r="F92">
        <v>67</v>
      </c>
      <c r="G92">
        <v>17</v>
      </c>
      <c r="H92">
        <v>25.9</v>
      </c>
      <c r="I92">
        <v>5.9</v>
      </c>
      <c r="J92">
        <v>11.5</v>
      </c>
      <c r="K92">
        <v>0.51500000000000001</v>
      </c>
      <c r="L92">
        <v>1.6</v>
      </c>
      <c r="M92">
        <v>4.2</v>
      </c>
      <c r="N92">
        <v>0.376</v>
      </c>
      <c r="O92">
        <v>4.3</v>
      </c>
      <c r="P92">
        <v>7.3</v>
      </c>
      <c r="Q92">
        <v>0.59399999999999997</v>
      </c>
      <c r="R92">
        <v>0.58299999999999996</v>
      </c>
      <c r="S92">
        <v>3.2</v>
      </c>
      <c r="T92">
        <v>4.2</v>
      </c>
      <c r="U92">
        <v>0.77200000000000002</v>
      </c>
      <c r="V92">
        <v>1.3</v>
      </c>
      <c r="W92">
        <v>6</v>
      </c>
      <c r="X92">
        <v>7.3</v>
      </c>
      <c r="Y92">
        <v>1.8</v>
      </c>
      <c r="Z92">
        <v>0.4</v>
      </c>
      <c r="AA92">
        <v>1.1000000000000001</v>
      </c>
      <c r="AB92">
        <v>1.8</v>
      </c>
      <c r="AC92">
        <v>2.5</v>
      </c>
      <c r="AD92">
        <v>16.600000000000001</v>
      </c>
      <c r="AE92">
        <v>1738</v>
      </c>
      <c r="AF92">
        <v>20.6</v>
      </c>
      <c r="AG92">
        <v>0.624</v>
      </c>
      <c r="AH92">
        <v>0.36299999999999999</v>
      </c>
      <c r="AI92">
        <v>0.36499999999999999</v>
      </c>
      <c r="AJ92">
        <v>5.8</v>
      </c>
      <c r="AK92">
        <v>27.4</v>
      </c>
      <c r="AL92">
        <v>16.399999999999999</v>
      </c>
      <c r="AM92">
        <v>11.7</v>
      </c>
      <c r="AN92">
        <v>0.9</v>
      </c>
      <c r="AO92">
        <v>3.7</v>
      </c>
      <c r="AP92">
        <v>11.9</v>
      </c>
      <c r="AQ92">
        <v>26.4</v>
      </c>
      <c r="AR92">
        <v>2.7</v>
      </c>
      <c r="AS92">
        <v>2.1</v>
      </c>
      <c r="AT92">
        <v>4.8</v>
      </c>
      <c r="AU92">
        <v>0.13200000000000001</v>
      </c>
      <c r="AV92">
        <v>1.9</v>
      </c>
      <c r="AW92">
        <v>-0.3</v>
      </c>
      <c r="AX92">
        <v>1.7</v>
      </c>
      <c r="AY92">
        <v>1.6</v>
      </c>
      <c r="AZ92" s="8">
        <v>3.25</v>
      </c>
      <c r="BA92" s="8">
        <v>0.22699558629782002</v>
      </c>
      <c r="BB92" s="3">
        <v>0</v>
      </c>
    </row>
    <row r="93" spans="1:54" x14ac:dyDescent="0.25">
      <c r="A93" t="s">
        <v>171</v>
      </c>
      <c r="B93" s="2">
        <v>14004703</v>
      </c>
      <c r="C93" t="s">
        <v>62</v>
      </c>
      <c r="D93">
        <v>29</v>
      </c>
      <c r="E93" t="s">
        <v>103</v>
      </c>
      <c r="F93">
        <v>76</v>
      </c>
      <c r="G93">
        <v>76</v>
      </c>
      <c r="H93">
        <v>31.3</v>
      </c>
      <c r="I93">
        <v>3.8</v>
      </c>
      <c r="J93">
        <v>8.3000000000000007</v>
      </c>
      <c r="K93">
        <v>0.46200000000000002</v>
      </c>
      <c r="L93">
        <v>1.8</v>
      </c>
      <c r="M93">
        <v>4.2</v>
      </c>
      <c r="N93">
        <v>0.42299999999999999</v>
      </c>
      <c r="O93">
        <v>2.1</v>
      </c>
      <c r="P93">
        <v>4.0999999999999996</v>
      </c>
      <c r="Q93">
        <v>0.502</v>
      </c>
      <c r="R93">
        <v>0.56899999999999995</v>
      </c>
      <c r="S93">
        <v>1.4</v>
      </c>
      <c r="T93">
        <v>1.6</v>
      </c>
      <c r="U93">
        <v>0.82399999999999995</v>
      </c>
      <c r="V93">
        <v>0.5</v>
      </c>
      <c r="W93">
        <v>2.2999999999999998</v>
      </c>
      <c r="X93">
        <v>2.7</v>
      </c>
      <c r="Y93">
        <v>2.4</v>
      </c>
      <c r="Z93">
        <v>1.5</v>
      </c>
      <c r="AA93">
        <v>0.5</v>
      </c>
      <c r="AB93">
        <v>1.1000000000000001</v>
      </c>
      <c r="AC93">
        <v>1.9</v>
      </c>
      <c r="AD93">
        <v>10.8</v>
      </c>
      <c r="AE93">
        <v>2381</v>
      </c>
      <c r="AF93">
        <v>11.5</v>
      </c>
      <c r="AG93">
        <v>0.59799999999999998</v>
      </c>
      <c r="AH93">
        <v>0.505</v>
      </c>
      <c r="AI93">
        <v>0.19800000000000001</v>
      </c>
      <c r="AJ93">
        <v>1.7</v>
      </c>
      <c r="AK93">
        <v>8.1</v>
      </c>
      <c r="AL93">
        <v>5</v>
      </c>
      <c r="AM93">
        <v>9.8000000000000007</v>
      </c>
      <c r="AN93">
        <v>2.2999999999999998</v>
      </c>
      <c r="AO93">
        <v>1.3</v>
      </c>
      <c r="AP93">
        <v>11.1</v>
      </c>
      <c r="AQ93">
        <v>14.1</v>
      </c>
      <c r="AR93">
        <v>2</v>
      </c>
      <c r="AS93">
        <v>2.5</v>
      </c>
      <c r="AT93">
        <v>4.5</v>
      </c>
      <c r="AU93">
        <v>9.0999999999999998E-2</v>
      </c>
      <c r="AV93">
        <v>-1.6</v>
      </c>
      <c r="AW93">
        <v>0.6</v>
      </c>
      <c r="AX93">
        <v>-1</v>
      </c>
      <c r="AY93">
        <v>0.6</v>
      </c>
      <c r="AZ93" s="8">
        <v>1.75</v>
      </c>
      <c r="BA93" s="8">
        <v>0.12495802302983505</v>
      </c>
      <c r="BB93" s="3">
        <v>0</v>
      </c>
    </row>
    <row r="94" spans="1:54" x14ac:dyDescent="0.25">
      <c r="A94" t="s">
        <v>172</v>
      </c>
      <c r="B94" s="2">
        <v>13906976</v>
      </c>
      <c r="C94" t="s">
        <v>75</v>
      </c>
      <c r="D94">
        <v>34</v>
      </c>
      <c r="E94" t="s">
        <v>68</v>
      </c>
      <c r="F94">
        <v>78</v>
      </c>
      <c r="G94">
        <v>78</v>
      </c>
      <c r="H94">
        <v>30.4</v>
      </c>
      <c r="I94">
        <v>6.1</v>
      </c>
      <c r="J94">
        <v>11.5</v>
      </c>
      <c r="K94">
        <v>0.53100000000000003</v>
      </c>
      <c r="L94">
        <v>1.7</v>
      </c>
      <c r="M94">
        <v>4.7</v>
      </c>
      <c r="N94">
        <v>0.374</v>
      </c>
      <c r="O94">
        <v>4.4000000000000004</v>
      </c>
      <c r="P94">
        <v>6.9</v>
      </c>
      <c r="Q94">
        <v>0.63700000000000001</v>
      </c>
      <c r="R94">
        <v>0.60599999999999998</v>
      </c>
      <c r="S94">
        <v>1.9</v>
      </c>
      <c r="T94">
        <v>2.4</v>
      </c>
      <c r="U94">
        <v>0.78400000000000003</v>
      </c>
      <c r="V94">
        <v>2</v>
      </c>
      <c r="W94">
        <v>4.7</v>
      </c>
      <c r="X94">
        <v>6.7</v>
      </c>
      <c r="Y94">
        <v>1.3</v>
      </c>
      <c r="Z94">
        <v>0.5</v>
      </c>
      <c r="AA94">
        <v>2.5</v>
      </c>
      <c r="AB94">
        <v>1.4</v>
      </c>
      <c r="AC94">
        <v>2.6</v>
      </c>
      <c r="AD94">
        <v>15.9</v>
      </c>
      <c r="AE94">
        <v>2373</v>
      </c>
      <c r="AF94">
        <v>18.399999999999999</v>
      </c>
      <c r="AG94">
        <v>0.63</v>
      </c>
      <c r="AH94">
        <v>0.40500000000000003</v>
      </c>
      <c r="AI94">
        <v>0.21099999999999999</v>
      </c>
      <c r="AJ94">
        <v>7.2</v>
      </c>
      <c r="AK94">
        <v>15.3</v>
      </c>
      <c r="AL94">
        <v>11.4</v>
      </c>
      <c r="AM94">
        <v>6.1</v>
      </c>
      <c r="AN94">
        <v>0.7</v>
      </c>
      <c r="AO94">
        <v>6.7</v>
      </c>
      <c r="AP94">
        <v>9.8000000000000007</v>
      </c>
      <c r="AQ94">
        <v>19.3</v>
      </c>
      <c r="AR94">
        <v>4.0999999999999996</v>
      </c>
      <c r="AS94">
        <v>3.9</v>
      </c>
      <c r="AT94">
        <v>8</v>
      </c>
      <c r="AU94">
        <v>0.161</v>
      </c>
      <c r="AV94">
        <v>0.8</v>
      </c>
      <c r="AW94">
        <v>1.3</v>
      </c>
      <c r="AX94">
        <v>2.1</v>
      </c>
      <c r="AY94">
        <v>2.5</v>
      </c>
      <c r="AZ94" s="8">
        <v>5.05</v>
      </c>
      <c r="BA94" s="8">
        <v>0.36312710973255435</v>
      </c>
      <c r="BB94" s="3">
        <v>0</v>
      </c>
    </row>
    <row r="95" spans="1:54" x14ac:dyDescent="0.25">
      <c r="A95" t="s">
        <v>173</v>
      </c>
      <c r="B95" s="2">
        <v>13801614</v>
      </c>
      <c r="C95" t="s">
        <v>52</v>
      </c>
      <c r="D95">
        <v>34</v>
      </c>
      <c r="E95" t="s">
        <v>87</v>
      </c>
      <c r="F95">
        <v>67</v>
      </c>
      <c r="G95">
        <v>67</v>
      </c>
      <c r="H95">
        <v>27.1</v>
      </c>
      <c r="I95">
        <v>2.1</v>
      </c>
      <c r="J95">
        <v>5.4</v>
      </c>
      <c r="K95">
        <v>0.4</v>
      </c>
      <c r="L95">
        <v>1.2</v>
      </c>
      <c r="M95">
        <v>3.6</v>
      </c>
      <c r="N95">
        <v>0.33500000000000002</v>
      </c>
      <c r="O95">
        <v>1</v>
      </c>
      <c r="P95">
        <v>1.8</v>
      </c>
      <c r="Q95">
        <v>0.52900000000000003</v>
      </c>
      <c r="R95">
        <v>0.51100000000000001</v>
      </c>
      <c r="S95">
        <v>0.7</v>
      </c>
      <c r="T95">
        <v>1</v>
      </c>
      <c r="U95">
        <v>0.72299999999999998</v>
      </c>
      <c r="V95">
        <v>0.7</v>
      </c>
      <c r="W95">
        <v>3</v>
      </c>
      <c r="X95">
        <v>3.7</v>
      </c>
      <c r="Y95">
        <v>2.9</v>
      </c>
      <c r="Z95">
        <v>0.9</v>
      </c>
      <c r="AA95">
        <v>0.6</v>
      </c>
      <c r="AB95">
        <v>0.9</v>
      </c>
      <c r="AC95">
        <v>2.8</v>
      </c>
      <c r="AD95">
        <v>6.2</v>
      </c>
      <c r="AE95">
        <v>1816</v>
      </c>
      <c r="AF95">
        <v>8.9</v>
      </c>
      <c r="AG95">
        <v>0.53400000000000003</v>
      </c>
      <c r="AH95">
        <v>0.66400000000000003</v>
      </c>
      <c r="AI95">
        <v>0.18099999999999999</v>
      </c>
      <c r="AJ95">
        <v>2.7</v>
      </c>
      <c r="AK95">
        <v>12</v>
      </c>
      <c r="AL95">
        <v>7.5</v>
      </c>
      <c r="AM95">
        <v>13.3</v>
      </c>
      <c r="AN95">
        <v>1.7</v>
      </c>
      <c r="AO95">
        <v>2</v>
      </c>
      <c r="AP95">
        <v>13.4</v>
      </c>
      <c r="AQ95">
        <v>10.6</v>
      </c>
      <c r="AR95">
        <v>0.8</v>
      </c>
      <c r="AS95">
        <v>2.1</v>
      </c>
      <c r="AT95">
        <v>3</v>
      </c>
      <c r="AU95">
        <v>7.9000000000000001E-2</v>
      </c>
      <c r="AV95">
        <v>-2.9</v>
      </c>
      <c r="AW95">
        <v>1.7</v>
      </c>
      <c r="AX95">
        <v>-1.2</v>
      </c>
      <c r="AY95">
        <v>0.3</v>
      </c>
      <c r="AZ95" s="8">
        <v>0.9</v>
      </c>
      <c r="BA95" s="8">
        <v>6.5209764597097125E-2</v>
      </c>
      <c r="BB95" s="3">
        <v>0</v>
      </c>
    </row>
    <row r="96" spans="1:54" x14ac:dyDescent="0.25">
      <c r="A96" t="s">
        <v>176</v>
      </c>
      <c r="B96" s="2">
        <v>13745455</v>
      </c>
      <c r="C96" t="s">
        <v>62</v>
      </c>
      <c r="D96">
        <v>26</v>
      </c>
      <c r="E96" t="s">
        <v>150</v>
      </c>
      <c r="F96">
        <v>59</v>
      </c>
      <c r="G96">
        <v>14</v>
      </c>
      <c r="H96">
        <v>22.3</v>
      </c>
      <c r="I96">
        <v>3.2</v>
      </c>
      <c r="J96">
        <v>6.5</v>
      </c>
      <c r="K96">
        <v>0.49199999999999999</v>
      </c>
      <c r="L96">
        <v>2.2999999999999998</v>
      </c>
      <c r="M96">
        <v>4.5999999999999996</v>
      </c>
      <c r="N96">
        <v>0.49399999999999999</v>
      </c>
      <c r="O96">
        <v>0.9</v>
      </c>
      <c r="P96">
        <v>1.9</v>
      </c>
      <c r="Q96">
        <v>0.48699999999999999</v>
      </c>
      <c r="R96">
        <v>0.66600000000000004</v>
      </c>
      <c r="S96">
        <v>0.6</v>
      </c>
      <c r="T96">
        <v>0.7</v>
      </c>
      <c r="U96">
        <v>0.94899999999999995</v>
      </c>
      <c r="V96">
        <v>0.3</v>
      </c>
      <c r="W96">
        <v>2.4</v>
      </c>
      <c r="X96">
        <v>2.7</v>
      </c>
      <c r="Y96">
        <v>1.5</v>
      </c>
      <c r="Z96">
        <v>0.5</v>
      </c>
      <c r="AA96">
        <v>0.1</v>
      </c>
      <c r="AB96">
        <v>0.8</v>
      </c>
      <c r="AC96">
        <v>1.4</v>
      </c>
      <c r="AD96">
        <v>9.3000000000000007</v>
      </c>
      <c r="AE96">
        <v>1315</v>
      </c>
      <c r="AF96">
        <v>13</v>
      </c>
      <c r="AG96">
        <v>0.68400000000000005</v>
      </c>
      <c r="AH96">
        <v>0.70399999999999996</v>
      </c>
      <c r="AI96">
        <v>0.10199999999999999</v>
      </c>
      <c r="AJ96">
        <v>1.2</v>
      </c>
      <c r="AK96">
        <v>11.8</v>
      </c>
      <c r="AL96">
        <v>6.6</v>
      </c>
      <c r="AM96">
        <v>9.4</v>
      </c>
      <c r="AN96">
        <v>1.2</v>
      </c>
      <c r="AO96">
        <v>0.3</v>
      </c>
      <c r="AP96">
        <v>10.3</v>
      </c>
      <c r="AQ96">
        <v>14.5</v>
      </c>
      <c r="AR96">
        <v>2.2000000000000002</v>
      </c>
      <c r="AS96">
        <v>1.2</v>
      </c>
      <c r="AT96">
        <v>3.4</v>
      </c>
      <c r="AU96">
        <v>0.124</v>
      </c>
      <c r="AV96">
        <v>0.6</v>
      </c>
      <c r="AW96">
        <v>-0.1</v>
      </c>
      <c r="AX96">
        <v>0.5</v>
      </c>
      <c r="AY96">
        <v>0.8</v>
      </c>
      <c r="AZ96" s="8">
        <v>1.95</v>
      </c>
      <c r="BA96" s="8">
        <v>0.14186507467377399</v>
      </c>
      <c r="BB96" s="3">
        <v>0</v>
      </c>
    </row>
    <row r="97" spans="1:54" x14ac:dyDescent="0.25">
      <c r="A97" t="s">
        <v>178</v>
      </c>
      <c r="B97" s="2">
        <v>13340000</v>
      </c>
      <c r="C97" t="s">
        <v>62</v>
      </c>
      <c r="D97">
        <v>30</v>
      </c>
      <c r="E97" t="s">
        <v>130</v>
      </c>
      <c r="F97">
        <v>61</v>
      </c>
      <c r="G97">
        <v>61</v>
      </c>
      <c r="H97">
        <v>32.6</v>
      </c>
      <c r="I97">
        <v>7.5</v>
      </c>
      <c r="J97">
        <v>16.899999999999999</v>
      </c>
      <c r="K97">
        <v>0.44400000000000001</v>
      </c>
      <c r="L97">
        <v>2.5</v>
      </c>
      <c r="M97">
        <v>7.5</v>
      </c>
      <c r="N97">
        <v>0.33800000000000002</v>
      </c>
      <c r="O97">
        <v>5</v>
      </c>
      <c r="P97">
        <v>9.4</v>
      </c>
      <c r="Q97">
        <v>0.53</v>
      </c>
      <c r="R97">
        <v>0.51900000000000002</v>
      </c>
      <c r="S97">
        <v>3.3</v>
      </c>
      <c r="T97">
        <v>4</v>
      </c>
      <c r="U97">
        <v>0.81599999999999995</v>
      </c>
      <c r="V97">
        <v>1.2</v>
      </c>
      <c r="W97">
        <v>2.9</v>
      </c>
      <c r="X97">
        <v>4</v>
      </c>
      <c r="Y97">
        <v>4.4000000000000004</v>
      </c>
      <c r="Z97">
        <v>0.5</v>
      </c>
      <c r="AA97">
        <v>0.2</v>
      </c>
      <c r="AB97">
        <v>3</v>
      </c>
      <c r="AC97">
        <v>2</v>
      </c>
      <c r="AD97">
        <v>20.8</v>
      </c>
      <c r="AE97">
        <v>1988</v>
      </c>
      <c r="AF97">
        <v>14.7</v>
      </c>
      <c r="AG97">
        <v>0.55800000000000005</v>
      </c>
      <c r="AH97">
        <v>0.44500000000000001</v>
      </c>
      <c r="AI97">
        <v>0.23799999999999999</v>
      </c>
      <c r="AJ97">
        <v>4</v>
      </c>
      <c r="AK97">
        <v>9.3000000000000007</v>
      </c>
      <c r="AL97">
        <v>6.7</v>
      </c>
      <c r="AM97">
        <v>20.9</v>
      </c>
      <c r="AN97">
        <v>0.8</v>
      </c>
      <c r="AO97">
        <v>0.6</v>
      </c>
      <c r="AP97">
        <v>14</v>
      </c>
      <c r="AQ97">
        <v>27.8</v>
      </c>
      <c r="AR97">
        <v>0.9</v>
      </c>
      <c r="AS97">
        <v>0.8</v>
      </c>
      <c r="AT97">
        <v>1.7</v>
      </c>
      <c r="AU97">
        <v>4.2000000000000003E-2</v>
      </c>
      <c r="AV97">
        <v>1</v>
      </c>
      <c r="AW97">
        <v>-2.4</v>
      </c>
      <c r="AX97">
        <v>-1.4</v>
      </c>
      <c r="AY97">
        <v>0.3</v>
      </c>
      <c r="AZ97" s="8">
        <v>0.15000000000000002</v>
      </c>
      <c r="BA97" s="8">
        <v>1.1244377811094455E-2</v>
      </c>
      <c r="BB97" s="3">
        <v>0</v>
      </c>
    </row>
    <row r="98" spans="1:54" x14ac:dyDescent="0.25">
      <c r="A98" t="s">
        <v>179</v>
      </c>
      <c r="B98" s="2">
        <v>13000000</v>
      </c>
      <c r="C98" t="s">
        <v>62</v>
      </c>
      <c r="D98">
        <v>28</v>
      </c>
      <c r="E98" t="s">
        <v>152</v>
      </c>
      <c r="F98">
        <v>48</v>
      </c>
      <c r="G98">
        <v>42</v>
      </c>
      <c r="H98">
        <v>24.7</v>
      </c>
      <c r="I98">
        <v>2.9</v>
      </c>
      <c r="J98">
        <v>6.4</v>
      </c>
      <c r="K98">
        <v>0.45</v>
      </c>
      <c r="L98">
        <v>2</v>
      </c>
      <c r="M98">
        <v>4.5</v>
      </c>
      <c r="N98">
        <v>0.43099999999999999</v>
      </c>
      <c r="O98">
        <v>0.9</v>
      </c>
      <c r="P98">
        <v>1.9</v>
      </c>
      <c r="Q98">
        <v>0.49399999999999999</v>
      </c>
      <c r="R98">
        <v>0.60299999999999998</v>
      </c>
      <c r="S98">
        <v>0.6</v>
      </c>
      <c r="T98">
        <v>0.6</v>
      </c>
      <c r="U98">
        <v>0.9</v>
      </c>
      <c r="V98">
        <v>0.4</v>
      </c>
      <c r="W98">
        <v>1.6</v>
      </c>
      <c r="X98">
        <v>2</v>
      </c>
      <c r="Y98">
        <v>1.2</v>
      </c>
      <c r="Z98">
        <v>0.9</v>
      </c>
      <c r="AA98">
        <v>0.3</v>
      </c>
      <c r="AB98">
        <v>0.6</v>
      </c>
      <c r="AC98">
        <v>1.9</v>
      </c>
      <c r="AD98">
        <v>8.3000000000000007</v>
      </c>
      <c r="AE98">
        <v>1184</v>
      </c>
      <c r="AF98">
        <v>10.5</v>
      </c>
      <c r="AG98">
        <v>0.62</v>
      </c>
      <c r="AH98">
        <v>0.71</v>
      </c>
      <c r="AI98">
        <v>9.8000000000000004E-2</v>
      </c>
      <c r="AJ98">
        <v>2</v>
      </c>
      <c r="AK98">
        <v>7.4</v>
      </c>
      <c r="AL98">
        <v>4.7</v>
      </c>
      <c r="AM98">
        <v>6.9</v>
      </c>
      <c r="AN98">
        <v>1.8</v>
      </c>
      <c r="AO98">
        <v>1</v>
      </c>
      <c r="AP98">
        <v>8</v>
      </c>
      <c r="AQ98">
        <v>12.6</v>
      </c>
      <c r="AR98">
        <v>1.3</v>
      </c>
      <c r="AS98">
        <v>1.1000000000000001</v>
      </c>
      <c r="AT98">
        <v>2.2999999999999998</v>
      </c>
      <c r="AU98">
        <v>9.5000000000000001E-2</v>
      </c>
      <c r="AV98">
        <v>-1.4</v>
      </c>
      <c r="AW98">
        <v>0.7</v>
      </c>
      <c r="AX98">
        <v>-0.7</v>
      </c>
      <c r="AY98">
        <v>0.4</v>
      </c>
      <c r="AZ98" s="8">
        <v>0.79999999999999993</v>
      </c>
      <c r="BA98" s="8">
        <v>6.1538461538461528E-2</v>
      </c>
      <c r="BB98" s="3">
        <v>0</v>
      </c>
    </row>
    <row r="99" spans="1:54" x14ac:dyDescent="0.25">
      <c r="A99" t="s">
        <v>181</v>
      </c>
      <c r="B99" s="2">
        <v>12960000</v>
      </c>
      <c r="C99" t="s">
        <v>65</v>
      </c>
      <c r="D99">
        <v>27</v>
      </c>
      <c r="E99" t="s">
        <v>70</v>
      </c>
      <c r="F99">
        <v>76</v>
      </c>
      <c r="G99">
        <v>52</v>
      </c>
      <c r="H99">
        <v>32.299999999999997</v>
      </c>
      <c r="I99">
        <v>3.6</v>
      </c>
      <c r="J99">
        <v>6.8</v>
      </c>
      <c r="K99">
        <v>0.52900000000000003</v>
      </c>
      <c r="L99">
        <v>0.8</v>
      </c>
      <c r="M99">
        <v>2.2000000000000002</v>
      </c>
      <c r="N99">
        <v>0.372</v>
      </c>
      <c r="O99">
        <v>2.8</v>
      </c>
      <c r="P99">
        <v>4.7</v>
      </c>
      <c r="Q99">
        <v>0.60099999999999998</v>
      </c>
      <c r="R99">
        <v>0.58799999999999997</v>
      </c>
      <c r="S99">
        <v>1.7</v>
      </c>
      <c r="T99">
        <v>2.2999999999999998</v>
      </c>
      <c r="U99">
        <v>0.75</v>
      </c>
      <c r="V99">
        <v>1.9</v>
      </c>
      <c r="W99">
        <v>5.9</v>
      </c>
      <c r="X99">
        <v>7.8</v>
      </c>
      <c r="Y99">
        <v>3.8</v>
      </c>
      <c r="Z99">
        <v>1.2</v>
      </c>
      <c r="AA99">
        <v>0.3</v>
      </c>
      <c r="AB99">
        <v>1.5</v>
      </c>
      <c r="AC99">
        <v>2.6</v>
      </c>
      <c r="AD99">
        <v>9.8000000000000007</v>
      </c>
      <c r="AE99">
        <v>2454</v>
      </c>
      <c r="AF99">
        <v>14.1</v>
      </c>
      <c r="AG99">
        <v>0.622</v>
      </c>
      <c r="AH99">
        <v>0.315</v>
      </c>
      <c r="AI99">
        <v>0.33800000000000002</v>
      </c>
      <c r="AJ99">
        <v>6.5</v>
      </c>
      <c r="AK99">
        <v>21</v>
      </c>
      <c r="AL99">
        <v>13.7</v>
      </c>
      <c r="AM99">
        <v>16.100000000000001</v>
      </c>
      <c r="AN99">
        <v>1.8</v>
      </c>
      <c r="AO99">
        <v>0.8</v>
      </c>
      <c r="AP99">
        <v>16.399999999999999</v>
      </c>
      <c r="AQ99">
        <v>12.6</v>
      </c>
      <c r="AR99">
        <v>3.8</v>
      </c>
      <c r="AS99">
        <v>2.2000000000000002</v>
      </c>
      <c r="AT99">
        <v>6</v>
      </c>
      <c r="AU99">
        <v>0.11799999999999999</v>
      </c>
      <c r="AV99">
        <v>-0.2</v>
      </c>
      <c r="AW99">
        <v>1.1000000000000001</v>
      </c>
      <c r="AX99">
        <v>0.9</v>
      </c>
      <c r="AY99">
        <v>1.8</v>
      </c>
      <c r="AZ99" s="8">
        <v>3.45</v>
      </c>
      <c r="BA99" s="8">
        <v>0.26620370370370372</v>
      </c>
      <c r="BB99" s="3">
        <v>0</v>
      </c>
    </row>
    <row r="100" spans="1:54" x14ac:dyDescent="0.25">
      <c r="A100" t="s">
        <v>182</v>
      </c>
      <c r="B100" s="2">
        <v>12939848</v>
      </c>
      <c r="C100" t="s">
        <v>28</v>
      </c>
      <c r="D100">
        <v>29</v>
      </c>
      <c r="E100" t="s">
        <v>73</v>
      </c>
      <c r="F100">
        <v>66</v>
      </c>
      <c r="G100">
        <v>66</v>
      </c>
      <c r="H100">
        <v>30.4</v>
      </c>
      <c r="I100">
        <v>3</v>
      </c>
      <c r="J100">
        <v>7.6</v>
      </c>
      <c r="K100">
        <v>0.39100000000000001</v>
      </c>
      <c r="L100">
        <v>1.7</v>
      </c>
      <c r="M100">
        <v>5.0999999999999996</v>
      </c>
      <c r="N100">
        <v>0.33700000000000002</v>
      </c>
      <c r="O100">
        <v>1.2</v>
      </c>
      <c r="P100">
        <v>2.5</v>
      </c>
      <c r="Q100">
        <v>0.503</v>
      </c>
      <c r="R100">
        <v>0.505</v>
      </c>
      <c r="S100">
        <v>0.7</v>
      </c>
      <c r="T100">
        <v>0.9</v>
      </c>
      <c r="U100">
        <v>0.76300000000000001</v>
      </c>
      <c r="V100">
        <v>1.7</v>
      </c>
      <c r="W100">
        <v>3.1</v>
      </c>
      <c r="X100">
        <v>4.8</v>
      </c>
      <c r="Y100">
        <v>1.5</v>
      </c>
      <c r="Z100">
        <v>0.8</v>
      </c>
      <c r="AA100">
        <v>0.5</v>
      </c>
      <c r="AB100">
        <v>0.9</v>
      </c>
      <c r="AC100">
        <v>2.2000000000000002</v>
      </c>
      <c r="AD100">
        <v>8.3000000000000007</v>
      </c>
      <c r="AE100">
        <v>2009</v>
      </c>
      <c r="AF100">
        <v>9.1999999999999993</v>
      </c>
      <c r="AG100">
        <v>0.52300000000000002</v>
      </c>
      <c r="AH100">
        <v>0.67500000000000004</v>
      </c>
      <c r="AI100">
        <v>0.11799999999999999</v>
      </c>
      <c r="AJ100">
        <v>6.5</v>
      </c>
      <c r="AK100">
        <v>11.5</v>
      </c>
      <c r="AL100">
        <v>9</v>
      </c>
      <c r="AM100">
        <v>6.7</v>
      </c>
      <c r="AN100">
        <v>1.4</v>
      </c>
      <c r="AO100">
        <v>1.6</v>
      </c>
      <c r="AP100">
        <v>10.5</v>
      </c>
      <c r="AQ100">
        <v>13.2</v>
      </c>
      <c r="AR100">
        <v>0.6</v>
      </c>
      <c r="AS100">
        <v>1.6</v>
      </c>
      <c r="AT100">
        <v>2.1</v>
      </c>
      <c r="AU100">
        <v>5.0999999999999997E-2</v>
      </c>
      <c r="AV100">
        <v>-1.7</v>
      </c>
      <c r="AW100">
        <v>-0.3</v>
      </c>
      <c r="AX100">
        <v>-2</v>
      </c>
      <c r="AY100">
        <v>0</v>
      </c>
      <c r="AZ100" s="8">
        <v>5.0000000000000044E-2</v>
      </c>
      <c r="BA100" s="8">
        <v>3.8640330241900868E-3</v>
      </c>
      <c r="BB100" s="3">
        <v>0</v>
      </c>
    </row>
    <row r="101" spans="1:54" x14ac:dyDescent="0.25">
      <c r="A101" t="s">
        <v>183</v>
      </c>
      <c r="B101" s="2">
        <v>12804878</v>
      </c>
      <c r="C101" t="s">
        <v>75</v>
      </c>
      <c r="D101">
        <v>31</v>
      </c>
      <c r="E101" t="s">
        <v>130</v>
      </c>
      <c r="F101">
        <v>68</v>
      </c>
      <c r="G101">
        <v>68</v>
      </c>
      <c r="H101">
        <v>28.6</v>
      </c>
      <c r="I101">
        <v>4.0999999999999996</v>
      </c>
      <c r="J101">
        <v>8.1999999999999993</v>
      </c>
      <c r="K101">
        <v>0.499</v>
      </c>
      <c r="L101">
        <v>1.4</v>
      </c>
      <c r="M101">
        <v>3.5</v>
      </c>
      <c r="N101">
        <v>0.39400000000000002</v>
      </c>
      <c r="O101">
        <v>2.7</v>
      </c>
      <c r="P101">
        <v>4.7</v>
      </c>
      <c r="Q101">
        <v>0.57599999999999996</v>
      </c>
      <c r="R101">
        <v>0.58299999999999996</v>
      </c>
      <c r="S101">
        <v>2.9</v>
      </c>
      <c r="T101">
        <v>3.4</v>
      </c>
      <c r="U101">
        <v>0.85299999999999998</v>
      </c>
      <c r="V101">
        <v>1.2</v>
      </c>
      <c r="W101">
        <v>5</v>
      </c>
      <c r="X101">
        <v>6.2</v>
      </c>
      <c r="Y101">
        <v>3.7</v>
      </c>
      <c r="Z101">
        <v>0.9</v>
      </c>
      <c r="AA101">
        <v>0.5</v>
      </c>
      <c r="AB101">
        <v>2.5</v>
      </c>
      <c r="AC101">
        <v>3.4</v>
      </c>
      <c r="AD101">
        <v>12.5</v>
      </c>
      <c r="AE101">
        <v>1942</v>
      </c>
      <c r="AF101">
        <v>14.4</v>
      </c>
      <c r="AG101">
        <v>0.64300000000000002</v>
      </c>
      <c r="AH101">
        <v>0.42399999999999999</v>
      </c>
      <c r="AI101">
        <v>0.41699999999999998</v>
      </c>
      <c r="AJ101">
        <v>4.5999999999999996</v>
      </c>
      <c r="AK101">
        <v>18.600000000000001</v>
      </c>
      <c r="AL101">
        <v>11.7</v>
      </c>
      <c r="AM101">
        <v>17.600000000000001</v>
      </c>
      <c r="AN101">
        <v>1.5</v>
      </c>
      <c r="AO101">
        <v>1.6</v>
      </c>
      <c r="AP101">
        <v>20.3</v>
      </c>
      <c r="AQ101">
        <v>17.8</v>
      </c>
      <c r="AR101">
        <v>2.4</v>
      </c>
      <c r="AS101">
        <v>1.9</v>
      </c>
      <c r="AT101">
        <v>4.3</v>
      </c>
      <c r="AU101">
        <v>0.106</v>
      </c>
      <c r="AV101">
        <v>-0.4</v>
      </c>
      <c r="AW101">
        <v>0.9</v>
      </c>
      <c r="AX101">
        <v>0.4</v>
      </c>
      <c r="AY101">
        <v>1.2</v>
      </c>
      <c r="AZ101" s="8">
        <v>2.35</v>
      </c>
      <c r="BA101" s="8">
        <v>0.18352381022294784</v>
      </c>
      <c r="BB101" s="3">
        <v>0</v>
      </c>
    </row>
    <row r="102" spans="1:54" x14ac:dyDescent="0.25">
      <c r="A102" t="s">
        <v>184</v>
      </c>
      <c r="B102" s="2">
        <v>12690000</v>
      </c>
      <c r="C102" t="s">
        <v>28</v>
      </c>
      <c r="D102">
        <v>30</v>
      </c>
      <c r="E102" t="s">
        <v>91</v>
      </c>
      <c r="F102">
        <v>76</v>
      </c>
      <c r="G102">
        <v>0</v>
      </c>
      <c r="H102">
        <v>20</v>
      </c>
      <c r="I102">
        <v>3.4</v>
      </c>
      <c r="J102">
        <v>7</v>
      </c>
      <c r="K102">
        <v>0.49299999999999999</v>
      </c>
      <c r="L102">
        <v>0.8</v>
      </c>
      <c r="M102">
        <v>2.5</v>
      </c>
      <c r="N102">
        <v>0.32800000000000001</v>
      </c>
      <c r="O102">
        <v>2.6</v>
      </c>
      <c r="P102">
        <v>4.5</v>
      </c>
      <c r="Q102">
        <v>0.58499999999999996</v>
      </c>
      <c r="R102">
        <v>0.55200000000000005</v>
      </c>
      <c r="S102">
        <v>1.7</v>
      </c>
      <c r="T102">
        <v>2.2000000000000002</v>
      </c>
      <c r="U102">
        <v>0.76200000000000001</v>
      </c>
      <c r="V102">
        <v>2.1</v>
      </c>
      <c r="W102">
        <v>3.5</v>
      </c>
      <c r="X102">
        <v>5.5</v>
      </c>
      <c r="Y102">
        <v>0.4</v>
      </c>
      <c r="Z102">
        <v>0.6</v>
      </c>
      <c r="AA102">
        <v>0.8</v>
      </c>
      <c r="AB102">
        <v>0.5</v>
      </c>
      <c r="AC102">
        <v>1.9</v>
      </c>
      <c r="AD102">
        <v>9.4</v>
      </c>
      <c r="AE102">
        <v>1523</v>
      </c>
      <c r="AF102">
        <v>18</v>
      </c>
      <c r="AG102">
        <v>0.59</v>
      </c>
      <c r="AH102">
        <v>0.35699999999999998</v>
      </c>
      <c r="AI102">
        <v>0.318</v>
      </c>
      <c r="AJ102">
        <v>10.9</v>
      </c>
      <c r="AK102">
        <v>21.2</v>
      </c>
      <c r="AL102">
        <v>15.7</v>
      </c>
      <c r="AM102">
        <v>2.7</v>
      </c>
      <c r="AN102">
        <v>1.5</v>
      </c>
      <c r="AO102">
        <v>4.0999999999999996</v>
      </c>
      <c r="AP102">
        <v>6.4</v>
      </c>
      <c r="AQ102">
        <v>18</v>
      </c>
      <c r="AR102">
        <v>3</v>
      </c>
      <c r="AS102">
        <v>2</v>
      </c>
      <c r="AT102">
        <v>5</v>
      </c>
      <c r="AU102">
        <v>0.156</v>
      </c>
      <c r="AV102">
        <v>0.7</v>
      </c>
      <c r="AW102">
        <v>-0.8</v>
      </c>
      <c r="AX102">
        <v>-0.1</v>
      </c>
      <c r="AY102">
        <v>0.7</v>
      </c>
      <c r="AZ102" s="8">
        <v>2.4500000000000002</v>
      </c>
      <c r="BA102" s="8">
        <v>0.19306540583136328</v>
      </c>
      <c r="BB102" s="3">
        <v>0</v>
      </c>
    </row>
    <row r="103" spans="1:54" x14ac:dyDescent="0.25">
      <c r="A103" t="s">
        <v>186</v>
      </c>
      <c r="B103" s="2">
        <v>12196094</v>
      </c>
      <c r="C103" t="s">
        <v>62</v>
      </c>
      <c r="D103">
        <v>29</v>
      </c>
      <c r="E103" t="s">
        <v>175</v>
      </c>
      <c r="F103">
        <v>65</v>
      </c>
      <c r="G103">
        <v>10</v>
      </c>
      <c r="H103">
        <v>23.5</v>
      </c>
      <c r="I103">
        <v>3.7</v>
      </c>
      <c r="J103">
        <v>8.5</v>
      </c>
      <c r="K103">
        <v>0.43099999999999999</v>
      </c>
      <c r="L103">
        <v>1.6</v>
      </c>
      <c r="M103">
        <v>4.5</v>
      </c>
      <c r="N103">
        <v>0.36499999999999999</v>
      </c>
      <c r="O103">
        <v>2</v>
      </c>
      <c r="P103">
        <v>4</v>
      </c>
      <c r="Q103">
        <v>0.50600000000000001</v>
      </c>
      <c r="R103">
        <v>0.52800000000000002</v>
      </c>
      <c r="S103">
        <v>1.1000000000000001</v>
      </c>
      <c r="T103">
        <v>1.2</v>
      </c>
      <c r="U103">
        <v>0.85199999999999998</v>
      </c>
      <c r="V103">
        <v>0.6</v>
      </c>
      <c r="W103">
        <v>2.1</v>
      </c>
      <c r="X103">
        <v>2.7</v>
      </c>
      <c r="Y103">
        <v>2.7</v>
      </c>
      <c r="Z103">
        <v>1.1000000000000001</v>
      </c>
      <c r="AA103">
        <v>0.3</v>
      </c>
      <c r="AB103">
        <v>1.3</v>
      </c>
      <c r="AC103">
        <v>1.8</v>
      </c>
      <c r="AD103">
        <v>10.1</v>
      </c>
      <c r="AE103">
        <v>1530</v>
      </c>
      <c r="AF103">
        <v>12.3</v>
      </c>
      <c r="AG103">
        <v>0.55500000000000005</v>
      </c>
      <c r="AH103">
        <v>0.52900000000000003</v>
      </c>
      <c r="AI103">
        <v>0.14599999999999999</v>
      </c>
      <c r="AJ103">
        <v>2.9</v>
      </c>
      <c r="AK103">
        <v>9.9</v>
      </c>
      <c r="AL103">
        <v>6.3</v>
      </c>
      <c r="AM103">
        <v>15.8</v>
      </c>
      <c r="AN103">
        <v>2.2000000000000002</v>
      </c>
      <c r="AO103">
        <v>1.2</v>
      </c>
      <c r="AP103">
        <v>12.7</v>
      </c>
      <c r="AQ103">
        <v>18.399999999999999</v>
      </c>
      <c r="AR103">
        <v>0.6</v>
      </c>
      <c r="AS103">
        <v>1.1000000000000001</v>
      </c>
      <c r="AT103">
        <v>1.8</v>
      </c>
      <c r="AU103">
        <v>5.5E-2</v>
      </c>
      <c r="AV103">
        <v>-1</v>
      </c>
      <c r="AW103">
        <v>-0.1</v>
      </c>
      <c r="AX103">
        <v>-1.2</v>
      </c>
      <c r="AY103">
        <v>0.3</v>
      </c>
      <c r="AZ103" s="8">
        <v>0.30000000000000004</v>
      </c>
      <c r="BA103" s="8">
        <v>2.4598039339480335E-2</v>
      </c>
      <c r="BB103" s="3">
        <v>0</v>
      </c>
    </row>
    <row r="104" spans="1:54" x14ac:dyDescent="0.25">
      <c r="A104" t="s">
        <v>193</v>
      </c>
      <c r="B104" s="2">
        <v>11080125</v>
      </c>
      <c r="C104" t="s">
        <v>75</v>
      </c>
      <c r="D104">
        <v>31</v>
      </c>
      <c r="E104" t="s">
        <v>73</v>
      </c>
      <c r="F104">
        <v>76</v>
      </c>
      <c r="G104">
        <v>64</v>
      </c>
      <c r="H104">
        <v>19.2</v>
      </c>
      <c r="I104">
        <v>2.6</v>
      </c>
      <c r="J104">
        <v>3.5</v>
      </c>
      <c r="K104">
        <v>0.73199999999999998</v>
      </c>
      <c r="L104">
        <v>0</v>
      </c>
      <c r="M104">
        <v>0.1</v>
      </c>
      <c r="N104">
        <v>0</v>
      </c>
      <c r="O104">
        <v>2.6</v>
      </c>
      <c r="P104">
        <v>3.5</v>
      </c>
      <c r="Q104">
        <v>0.746</v>
      </c>
      <c r="R104">
        <v>0.73199999999999998</v>
      </c>
      <c r="S104">
        <v>1.5</v>
      </c>
      <c r="T104">
        <v>2.2000000000000002</v>
      </c>
      <c r="U104">
        <v>0.66700000000000004</v>
      </c>
      <c r="V104">
        <v>2</v>
      </c>
      <c r="W104">
        <v>2.2000000000000002</v>
      </c>
      <c r="X104">
        <v>4.0999999999999996</v>
      </c>
      <c r="Y104">
        <v>0.9</v>
      </c>
      <c r="Z104">
        <v>0.6</v>
      </c>
      <c r="AA104">
        <v>0.3</v>
      </c>
      <c r="AB104">
        <v>0.9</v>
      </c>
      <c r="AC104">
        <v>2.8</v>
      </c>
      <c r="AD104">
        <v>6.7</v>
      </c>
      <c r="AE104">
        <v>1458</v>
      </c>
      <c r="AF104">
        <v>15.5</v>
      </c>
      <c r="AG104">
        <v>0.73799999999999999</v>
      </c>
      <c r="AH104">
        <v>1.9E-2</v>
      </c>
      <c r="AI104">
        <v>0.625</v>
      </c>
      <c r="AJ104">
        <v>11.8</v>
      </c>
      <c r="AK104">
        <v>13.3</v>
      </c>
      <c r="AL104">
        <v>12.5</v>
      </c>
      <c r="AM104">
        <v>6.9</v>
      </c>
      <c r="AN104">
        <v>1.6</v>
      </c>
      <c r="AO104">
        <v>1.6</v>
      </c>
      <c r="AP104">
        <v>15.9</v>
      </c>
      <c r="AQ104">
        <v>12.6</v>
      </c>
      <c r="AR104">
        <v>3.8</v>
      </c>
      <c r="AS104">
        <v>1.3</v>
      </c>
      <c r="AT104">
        <v>5.0999999999999996</v>
      </c>
      <c r="AU104">
        <v>0.16800000000000001</v>
      </c>
      <c r="AV104">
        <v>-1.2</v>
      </c>
      <c r="AW104">
        <v>0</v>
      </c>
      <c r="AX104">
        <v>-1.2</v>
      </c>
      <c r="AY104">
        <v>0.3</v>
      </c>
      <c r="AZ104" s="8">
        <v>1.9499999999999997</v>
      </c>
      <c r="BA104" s="8">
        <v>0.1759907943276813</v>
      </c>
      <c r="BB104" s="3">
        <v>0</v>
      </c>
    </row>
    <row r="105" spans="1:54" x14ac:dyDescent="0.25">
      <c r="A105" t="s">
        <v>194</v>
      </c>
      <c r="B105" s="2">
        <v>11055120</v>
      </c>
      <c r="C105" t="s">
        <v>28</v>
      </c>
      <c r="D105">
        <v>20</v>
      </c>
      <c r="E105" t="s">
        <v>152</v>
      </c>
      <c r="F105">
        <v>72</v>
      </c>
      <c r="G105">
        <v>72</v>
      </c>
      <c r="H105">
        <v>33.799999999999997</v>
      </c>
      <c r="I105">
        <v>6.7</v>
      </c>
      <c r="J105">
        <v>15.6</v>
      </c>
      <c r="K105">
        <v>0.42699999999999999</v>
      </c>
      <c r="L105">
        <v>1.2</v>
      </c>
      <c r="M105">
        <v>4</v>
      </c>
      <c r="N105">
        <v>0.29799999999999999</v>
      </c>
      <c r="O105">
        <v>5.5</v>
      </c>
      <c r="P105">
        <v>11.6</v>
      </c>
      <c r="Q105">
        <v>0.47099999999999997</v>
      </c>
      <c r="R105">
        <v>0.46500000000000002</v>
      </c>
      <c r="S105">
        <v>5.5</v>
      </c>
      <c r="T105">
        <v>7.4</v>
      </c>
      <c r="U105">
        <v>0.73799999999999999</v>
      </c>
      <c r="V105">
        <v>1.2</v>
      </c>
      <c r="W105">
        <v>5.7</v>
      </c>
      <c r="X105">
        <v>6.9</v>
      </c>
      <c r="Y105">
        <v>3.7</v>
      </c>
      <c r="Z105">
        <v>0.8</v>
      </c>
      <c r="AA105">
        <v>0.5</v>
      </c>
      <c r="AB105">
        <v>2.8</v>
      </c>
      <c r="AC105">
        <v>2.2000000000000002</v>
      </c>
      <c r="AD105">
        <v>20</v>
      </c>
      <c r="AE105">
        <v>2430</v>
      </c>
      <c r="AF105">
        <v>14.9</v>
      </c>
      <c r="AG105">
        <v>0.52900000000000003</v>
      </c>
      <c r="AH105">
        <v>0.254</v>
      </c>
      <c r="AI105">
        <v>0.47599999999999998</v>
      </c>
      <c r="AJ105">
        <v>3.9</v>
      </c>
      <c r="AK105">
        <v>19.3</v>
      </c>
      <c r="AL105">
        <v>11.6</v>
      </c>
      <c r="AM105">
        <v>17.2</v>
      </c>
      <c r="AN105">
        <v>1.2</v>
      </c>
      <c r="AO105">
        <v>1.5</v>
      </c>
      <c r="AP105">
        <v>12.8</v>
      </c>
      <c r="AQ105">
        <v>27.5</v>
      </c>
      <c r="AR105">
        <v>-0.3</v>
      </c>
      <c r="AS105">
        <v>2.6</v>
      </c>
      <c r="AT105">
        <v>2.4</v>
      </c>
      <c r="AU105">
        <v>4.7E-2</v>
      </c>
      <c r="AV105">
        <v>-0.7</v>
      </c>
      <c r="AW105">
        <v>-0.7</v>
      </c>
      <c r="AX105">
        <v>-1.5</v>
      </c>
      <c r="AY105">
        <v>0.3</v>
      </c>
      <c r="AZ105" s="8">
        <v>0.44999999999999996</v>
      </c>
      <c r="BA105" s="8">
        <v>4.0705121246987816E-2</v>
      </c>
      <c r="BB105" s="3">
        <v>0</v>
      </c>
    </row>
    <row r="106" spans="1:54" x14ac:dyDescent="0.25">
      <c r="A106" t="s">
        <v>196</v>
      </c>
      <c r="B106" s="2">
        <v>10843350</v>
      </c>
      <c r="C106" t="s">
        <v>28</v>
      </c>
      <c r="D106">
        <v>27</v>
      </c>
      <c r="E106" t="s">
        <v>68</v>
      </c>
      <c r="F106">
        <v>70</v>
      </c>
      <c r="G106">
        <v>22</v>
      </c>
      <c r="H106">
        <v>26</v>
      </c>
      <c r="I106">
        <v>5.7</v>
      </c>
      <c r="J106">
        <v>11.5</v>
      </c>
      <c r="K106">
        <v>0.496</v>
      </c>
      <c r="L106">
        <v>1.4</v>
      </c>
      <c r="M106">
        <v>3.7</v>
      </c>
      <c r="N106">
        <v>0.37</v>
      </c>
      <c r="O106">
        <v>4.3</v>
      </c>
      <c r="P106">
        <v>7.8</v>
      </c>
      <c r="Q106">
        <v>0.55500000000000005</v>
      </c>
      <c r="R106">
        <v>0.55500000000000005</v>
      </c>
      <c r="S106">
        <v>1.4</v>
      </c>
      <c r="T106">
        <v>1.8</v>
      </c>
      <c r="U106">
        <v>0.76800000000000002</v>
      </c>
      <c r="V106">
        <v>2.2000000000000002</v>
      </c>
      <c r="W106">
        <v>7.4</v>
      </c>
      <c r="X106">
        <v>9.6</v>
      </c>
      <c r="Y106">
        <v>1.5</v>
      </c>
      <c r="Z106">
        <v>0.4</v>
      </c>
      <c r="AA106">
        <v>0.2</v>
      </c>
      <c r="AB106">
        <v>1.2</v>
      </c>
      <c r="AC106">
        <v>1.6</v>
      </c>
      <c r="AD106">
        <v>14.1</v>
      </c>
      <c r="AE106">
        <v>1818</v>
      </c>
      <c r="AF106">
        <v>17.8</v>
      </c>
      <c r="AG106">
        <v>0.57499999999999996</v>
      </c>
      <c r="AH106">
        <v>0.32</v>
      </c>
      <c r="AI106">
        <v>0.156</v>
      </c>
      <c r="AJ106">
        <v>9.1999999999999993</v>
      </c>
      <c r="AK106">
        <v>28.6</v>
      </c>
      <c r="AL106">
        <v>19.3</v>
      </c>
      <c r="AM106">
        <v>8.6999999999999993</v>
      </c>
      <c r="AN106">
        <v>0.8</v>
      </c>
      <c r="AO106">
        <v>0.7</v>
      </c>
      <c r="AP106">
        <v>8.6</v>
      </c>
      <c r="AQ106">
        <v>21.7</v>
      </c>
      <c r="AR106">
        <v>2.5</v>
      </c>
      <c r="AS106">
        <v>2.8</v>
      </c>
      <c r="AT106">
        <v>5.3</v>
      </c>
      <c r="AU106">
        <v>0.13900000000000001</v>
      </c>
      <c r="AV106">
        <v>1.2</v>
      </c>
      <c r="AW106">
        <v>-0.6</v>
      </c>
      <c r="AX106">
        <v>0.7</v>
      </c>
      <c r="AY106">
        <v>1.2</v>
      </c>
      <c r="AZ106" s="8">
        <v>3</v>
      </c>
      <c r="BA106" s="8">
        <v>0.27666726611240994</v>
      </c>
      <c r="BB106" s="3">
        <v>0</v>
      </c>
    </row>
    <row r="107" spans="1:54" x14ac:dyDescent="0.25">
      <c r="A107" t="s">
        <v>198</v>
      </c>
      <c r="B107" s="2">
        <v>10733400</v>
      </c>
      <c r="C107" t="s">
        <v>62</v>
      </c>
      <c r="D107">
        <v>21</v>
      </c>
      <c r="E107" t="s">
        <v>76</v>
      </c>
      <c r="F107">
        <v>79</v>
      </c>
      <c r="G107">
        <v>79</v>
      </c>
      <c r="H107">
        <v>36</v>
      </c>
      <c r="I107">
        <v>8.9</v>
      </c>
      <c r="J107">
        <v>19.5</v>
      </c>
      <c r="K107">
        <v>0.45900000000000002</v>
      </c>
      <c r="L107">
        <v>2.7</v>
      </c>
      <c r="M107">
        <v>7.3</v>
      </c>
      <c r="N107">
        <v>0.36899999999999999</v>
      </c>
      <c r="O107">
        <v>6.3</v>
      </c>
      <c r="P107">
        <v>12.2</v>
      </c>
      <c r="Q107">
        <v>0.51300000000000001</v>
      </c>
      <c r="R107">
        <v>0.52800000000000002</v>
      </c>
      <c r="S107">
        <v>4</v>
      </c>
      <c r="T107">
        <v>5.3</v>
      </c>
      <c r="U107">
        <v>0.75600000000000001</v>
      </c>
      <c r="V107">
        <v>0.6</v>
      </c>
      <c r="W107">
        <v>5.2</v>
      </c>
      <c r="X107">
        <v>5.8</v>
      </c>
      <c r="Y107">
        <v>4.4000000000000004</v>
      </c>
      <c r="Z107">
        <v>1.6</v>
      </c>
      <c r="AA107">
        <v>0.7</v>
      </c>
      <c r="AB107">
        <v>3.3</v>
      </c>
      <c r="AC107">
        <v>2.4</v>
      </c>
      <c r="AD107">
        <v>24.6</v>
      </c>
      <c r="AE107">
        <v>2842</v>
      </c>
      <c r="AF107">
        <v>17.399999999999999</v>
      </c>
      <c r="AG107">
        <v>0.56399999999999995</v>
      </c>
      <c r="AH107">
        <v>0.375</v>
      </c>
      <c r="AI107">
        <v>0.27400000000000002</v>
      </c>
      <c r="AJ107">
        <v>1.9</v>
      </c>
      <c r="AK107">
        <v>15.9</v>
      </c>
      <c r="AL107">
        <v>9</v>
      </c>
      <c r="AM107">
        <v>19.3</v>
      </c>
      <c r="AN107">
        <v>2.1</v>
      </c>
      <c r="AO107">
        <v>1.8</v>
      </c>
      <c r="AP107">
        <v>13</v>
      </c>
      <c r="AQ107">
        <v>29.9</v>
      </c>
      <c r="AR107">
        <v>0.2</v>
      </c>
      <c r="AS107">
        <v>3.6</v>
      </c>
      <c r="AT107">
        <v>3.8</v>
      </c>
      <c r="AU107">
        <v>6.4000000000000001E-2</v>
      </c>
      <c r="AV107">
        <v>1</v>
      </c>
      <c r="AW107">
        <v>0</v>
      </c>
      <c r="AX107">
        <v>1</v>
      </c>
      <c r="AY107">
        <v>2.1</v>
      </c>
      <c r="AZ107" s="8">
        <v>2.4</v>
      </c>
      <c r="BA107" s="8">
        <v>0.22360109564536867</v>
      </c>
      <c r="BB107" s="3">
        <v>0</v>
      </c>
    </row>
    <row r="108" spans="1:54" x14ac:dyDescent="0.25">
      <c r="A108" t="s">
        <v>205</v>
      </c>
      <c r="B108" s="2">
        <v>10123457</v>
      </c>
      <c r="C108" t="s">
        <v>75</v>
      </c>
      <c r="D108">
        <v>25</v>
      </c>
      <c r="E108" t="s">
        <v>55</v>
      </c>
      <c r="F108">
        <v>76</v>
      </c>
      <c r="G108">
        <v>76</v>
      </c>
      <c r="H108">
        <v>28.6</v>
      </c>
      <c r="I108">
        <v>4.3</v>
      </c>
      <c r="J108">
        <v>6.8</v>
      </c>
      <c r="K108">
        <v>0.63400000000000001</v>
      </c>
      <c r="L108">
        <v>0</v>
      </c>
      <c r="M108">
        <v>0</v>
      </c>
      <c r="N108">
        <v>0</v>
      </c>
      <c r="O108">
        <v>4.3</v>
      </c>
      <c r="P108">
        <v>6.7</v>
      </c>
      <c r="Q108">
        <v>0.63700000000000001</v>
      </c>
      <c r="R108">
        <v>0.63400000000000001</v>
      </c>
      <c r="S108">
        <v>2.2000000000000002</v>
      </c>
      <c r="T108">
        <v>3.1</v>
      </c>
      <c r="U108">
        <v>0.69699999999999995</v>
      </c>
      <c r="V108">
        <v>3.1</v>
      </c>
      <c r="W108">
        <v>6.8</v>
      </c>
      <c r="X108">
        <v>9.9</v>
      </c>
      <c r="Y108">
        <v>1</v>
      </c>
      <c r="Z108">
        <v>0.4</v>
      </c>
      <c r="AA108">
        <v>1.3</v>
      </c>
      <c r="AB108">
        <v>1.5</v>
      </c>
      <c r="AC108">
        <v>2.9</v>
      </c>
      <c r="AD108">
        <v>10.8</v>
      </c>
      <c r="AE108">
        <v>2170</v>
      </c>
      <c r="AF108">
        <v>16.7</v>
      </c>
      <c r="AG108">
        <v>0.66100000000000003</v>
      </c>
      <c r="AH108">
        <v>4.0000000000000001E-3</v>
      </c>
      <c r="AI108">
        <v>0.46300000000000002</v>
      </c>
      <c r="AJ108">
        <v>12.3</v>
      </c>
      <c r="AK108">
        <v>26.5</v>
      </c>
      <c r="AL108">
        <v>19.5</v>
      </c>
      <c r="AM108">
        <v>5.0999999999999996</v>
      </c>
      <c r="AN108">
        <v>0.7</v>
      </c>
      <c r="AO108">
        <v>4</v>
      </c>
      <c r="AP108">
        <v>15.9</v>
      </c>
      <c r="AQ108">
        <v>14.8</v>
      </c>
      <c r="AR108">
        <v>3.8</v>
      </c>
      <c r="AS108">
        <v>2.9</v>
      </c>
      <c r="AT108">
        <v>6.7</v>
      </c>
      <c r="AU108">
        <v>0.14899999999999999</v>
      </c>
      <c r="AV108">
        <v>-1.1000000000000001</v>
      </c>
      <c r="AW108">
        <v>0.2</v>
      </c>
      <c r="AX108">
        <v>-0.9</v>
      </c>
      <c r="AY108">
        <v>0.6</v>
      </c>
      <c r="AZ108" s="8">
        <v>2.9</v>
      </c>
      <c r="BA108" s="8">
        <v>0.28646340869527082</v>
      </c>
      <c r="BB108" s="3">
        <v>0</v>
      </c>
    </row>
    <row r="109" spans="1:54" x14ac:dyDescent="0.25">
      <c r="A109" t="s">
        <v>206</v>
      </c>
      <c r="B109" s="2">
        <v>10012800</v>
      </c>
      <c r="C109" t="s">
        <v>65</v>
      </c>
      <c r="D109">
        <v>31</v>
      </c>
      <c r="E109" t="s">
        <v>73</v>
      </c>
      <c r="F109">
        <v>78</v>
      </c>
      <c r="G109">
        <v>55</v>
      </c>
      <c r="H109">
        <v>30.3</v>
      </c>
      <c r="I109">
        <v>2.5</v>
      </c>
      <c r="J109">
        <v>6</v>
      </c>
      <c r="K109">
        <v>0.40899999999999997</v>
      </c>
      <c r="L109">
        <v>1.9</v>
      </c>
      <c r="M109">
        <v>5.0999999999999996</v>
      </c>
      <c r="N109">
        <v>0.38</v>
      </c>
      <c r="O109">
        <v>0.5</v>
      </c>
      <c r="P109">
        <v>0.9</v>
      </c>
      <c r="Q109">
        <v>0.56200000000000006</v>
      </c>
      <c r="R109">
        <v>0.56899999999999995</v>
      </c>
      <c r="S109">
        <v>0.3</v>
      </c>
      <c r="T109">
        <v>0.5</v>
      </c>
      <c r="U109">
        <v>0.70299999999999996</v>
      </c>
      <c r="V109">
        <v>0.4</v>
      </c>
      <c r="W109">
        <v>3.2</v>
      </c>
      <c r="X109">
        <v>3.6</v>
      </c>
      <c r="Y109">
        <v>1.4</v>
      </c>
      <c r="Z109">
        <v>0.7</v>
      </c>
      <c r="AA109">
        <v>0.2</v>
      </c>
      <c r="AB109">
        <v>0.5</v>
      </c>
      <c r="AC109">
        <v>2.1</v>
      </c>
      <c r="AD109">
        <v>7.2</v>
      </c>
      <c r="AE109">
        <v>2364</v>
      </c>
      <c r="AF109">
        <v>7.7</v>
      </c>
      <c r="AG109">
        <v>0.57699999999999996</v>
      </c>
      <c r="AH109">
        <v>0.84499999999999997</v>
      </c>
      <c r="AI109">
        <v>7.9000000000000001E-2</v>
      </c>
      <c r="AJ109">
        <v>1.6</v>
      </c>
      <c r="AK109">
        <v>12.5</v>
      </c>
      <c r="AL109">
        <v>7</v>
      </c>
      <c r="AM109">
        <v>6.2</v>
      </c>
      <c r="AN109">
        <v>1.1000000000000001</v>
      </c>
      <c r="AO109">
        <v>0.5</v>
      </c>
      <c r="AP109">
        <v>6.9</v>
      </c>
      <c r="AQ109">
        <v>10</v>
      </c>
      <c r="AR109">
        <v>1.3</v>
      </c>
      <c r="AS109">
        <v>1.4</v>
      </c>
      <c r="AT109">
        <v>2.8</v>
      </c>
      <c r="AU109">
        <v>5.6000000000000001E-2</v>
      </c>
      <c r="AV109">
        <v>-2.2999999999999998</v>
      </c>
      <c r="AW109">
        <v>-0.3</v>
      </c>
      <c r="AX109">
        <v>-2.6</v>
      </c>
      <c r="AY109">
        <v>-0.4</v>
      </c>
      <c r="AZ109" s="8">
        <v>9.9999999999999867E-2</v>
      </c>
      <c r="BA109" s="8">
        <v>9.987216363055277E-3</v>
      </c>
      <c r="BB109" s="3">
        <v>0</v>
      </c>
    </row>
    <row r="110" spans="1:54" x14ac:dyDescent="0.25">
      <c r="A110" t="s">
        <v>207</v>
      </c>
      <c r="B110" s="2">
        <v>10012800</v>
      </c>
      <c r="C110" t="s">
        <v>62</v>
      </c>
      <c r="D110">
        <v>31</v>
      </c>
      <c r="E110" t="s">
        <v>201</v>
      </c>
      <c r="F110">
        <v>51</v>
      </c>
      <c r="G110">
        <v>8</v>
      </c>
      <c r="H110">
        <v>22</v>
      </c>
      <c r="I110">
        <v>3.9</v>
      </c>
      <c r="J110">
        <v>9</v>
      </c>
      <c r="K110">
        <v>0.436</v>
      </c>
      <c r="L110">
        <v>1.9</v>
      </c>
      <c r="M110">
        <v>4.7</v>
      </c>
      <c r="N110">
        <v>0.41399999999999998</v>
      </c>
      <c r="O110">
        <v>2</v>
      </c>
      <c r="P110">
        <v>4.3</v>
      </c>
      <c r="Q110">
        <v>0.45900000000000002</v>
      </c>
      <c r="R110">
        <v>0.54400000000000004</v>
      </c>
      <c r="S110">
        <v>3</v>
      </c>
      <c r="T110">
        <v>3.7</v>
      </c>
      <c r="U110">
        <v>0.81399999999999995</v>
      </c>
      <c r="V110">
        <v>0.4</v>
      </c>
      <c r="W110">
        <v>2.7</v>
      </c>
      <c r="X110">
        <v>3.1</v>
      </c>
      <c r="Y110">
        <v>2.2000000000000002</v>
      </c>
      <c r="Z110">
        <v>0.7</v>
      </c>
      <c r="AA110">
        <v>0.2</v>
      </c>
      <c r="AB110">
        <v>1.1000000000000001</v>
      </c>
      <c r="AC110">
        <v>1.9</v>
      </c>
      <c r="AD110">
        <v>12.8</v>
      </c>
      <c r="AE110">
        <v>1122</v>
      </c>
      <c r="AF110">
        <v>16.5</v>
      </c>
      <c r="AG110">
        <v>0.60199999999999998</v>
      </c>
      <c r="AH110">
        <v>0.52100000000000002</v>
      </c>
      <c r="AI110">
        <v>0.41</v>
      </c>
      <c r="AJ110">
        <v>1.8</v>
      </c>
      <c r="AK110">
        <v>14.2</v>
      </c>
      <c r="AL110">
        <v>7.8</v>
      </c>
      <c r="AM110">
        <v>15.9</v>
      </c>
      <c r="AN110">
        <v>1.6</v>
      </c>
      <c r="AO110">
        <v>0.6</v>
      </c>
      <c r="AP110">
        <v>9.6999999999999993</v>
      </c>
      <c r="AQ110">
        <v>22.8</v>
      </c>
      <c r="AR110">
        <v>1.9</v>
      </c>
      <c r="AS110">
        <v>0.6</v>
      </c>
      <c r="AT110">
        <v>2.5</v>
      </c>
      <c r="AU110">
        <v>0.109</v>
      </c>
      <c r="AV110">
        <v>1.8</v>
      </c>
      <c r="AW110">
        <v>-0.5</v>
      </c>
      <c r="AX110">
        <v>1.2</v>
      </c>
      <c r="AY110">
        <v>0.9</v>
      </c>
      <c r="AZ110" s="8">
        <v>1.85</v>
      </c>
      <c r="BA110" s="8">
        <v>0.18476350271652284</v>
      </c>
      <c r="BB110" s="3">
        <v>0</v>
      </c>
    </row>
    <row r="111" spans="1:54" x14ac:dyDescent="0.25">
      <c r="A111" t="s">
        <v>211</v>
      </c>
      <c r="B111" s="2">
        <v>9472219</v>
      </c>
      <c r="C111" t="s">
        <v>62</v>
      </c>
      <c r="D111">
        <v>24</v>
      </c>
      <c r="E111" t="s">
        <v>116</v>
      </c>
      <c r="F111">
        <v>77</v>
      </c>
      <c r="G111">
        <v>0</v>
      </c>
      <c r="H111">
        <v>22.3</v>
      </c>
      <c r="I111">
        <v>4.5999999999999996</v>
      </c>
      <c r="J111">
        <v>10.3</v>
      </c>
      <c r="K111">
        <v>0.44800000000000001</v>
      </c>
      <c r="L111">
        <v>1.9</v>
      </c>
      <c r="M111">
        <v>5.2</v>
      </c>
      <c r="N111">
        <v>0.35899999999999999</v>
      </c>
      <c r="O111">
        <v>2.8</v>
      </c>
      <c r="P111">
        <v>5.2</v>
      </c>
      <c r="Q111">
        <v>0.53800000000000003</v>
      </c>
      <c r="R111">
        <v>0.53800000000000003</v>
      </c>
      <c r="S111">
        <v>2.4</v>
      </c>
      <c r="T111">
        <v>2.7</v>
      </c>
      <c r="U111">
        <v>0.88900000000000001</v>
      </c>
      <c r="V111">
        <v>0.4</v>
      </c>
      <c r="W111">
        <v>2.2000000000000002</v>
      </c>
      <c r="X111">
        <v>2.6</v>
      </c>
      <c r="Y111">
        <v>3.9</v>
      </c>
      <c r="Z111">
        <v>0.6</v>
      </c>
      <c r="AA111">
        <v>0.3</v>
      </c>
      <c r="AB111">
        <v>1.9</v>
      </c>
      <c r="AC111">
        <v>1.6</v>
      </c>
      <c r="AD111">
        <v>13.5</v>
      </c>
      <c r="AE111">
        <v>1719</v>
      </c>
      <c r="AF111">
        <v>16.600000000000001</v>
      </c>
      <c r="AG111">
        <v>0.58699999999999997</v>
      </c>
      <c r="AH111">
        <v>0.5</v>
      </c>
      <c r="AI111">
        <v>0.26</v>
      </c>
      <c r="AJ111">
        <v>2.1</v>
      </c>
      <c r="AK111">
        <v>11.3</v>
      </c>
      <c r="AL111">
        <v>6.7</v>
      </c>
      <c r="AM111">
        <v>25</v>
      </c>
      <c r="AN111">
        <v>1.4</v>
      </c>
      <c r="AO111">
        <v>1</v>
      </c>
      <c r="AP111">
        <v>14.1</v>
      </c>
      <c r="AQ111">
        <v>25.8</v>
      </c>
      <c r="AR111">
        <v>2.1</v>
      </c>
      <c r="AS111">
        <v>1.2</v>
      </c>
      <c r="AT111">
        <v>3.2</v>
      </c>
      <c r="AU111">
        <v>9.0999999999999998E-2</v>
      </c>
      <c r="AV111">
        <v>1.6</v>
      </c>
      <c r="AW111">
        <v>-1.4</v>
      </c>
      <c r="AX111">
        <v>0.3</v>
      </c>
      <c r="AY111">
        <v>1</v>
      </c>
      <c r="AZ111" s="8">
        <v>1.75</v>
      </c>
      <c r="BA111" s="8">
        <v>0.18475079598560801</v>
      </c>
      <c r="BB111" s="3">
        <v>0</v>
      </c>
    </row>
    <row r="112" spans="1:54" x14ac:dyDescent="0.25">
      <c r="A112" t="s">
        <v>214</v>
      </c>
      <c r="B112" s="2">
        <v>9398148</v>
      </c>
      <c r="C112" t="s">
        <v>75</v>
      </c>
      <c r="D112">
        <v>27</v>
      </c>
      <c r="E112" t="s">
        <v>91</v>
      </c>
      <c r="F112">
        <v>72</v>
      </c>
      <c r="G112">
        <v>71</v>
      </c>
      <c r="H112">
        <v>26.5</v>
      </c>
      <c r="I112">
        <v>5.4</v>
      </c>
      <c r="J112">
        <v>8.6</v>
      </c>
      <c r="K112">
        <v>0.629</v>
      </c>
      <c r="L112">
        <v>0</v>
      </c>
      <c r="M112">
        <v>0</v>
      </c>
      <c r="N112">
        <v>0</v>
      </c>
      <c r="O112">
        <v>5.4</v>
      </c>
      <c r="P112">
        <v>8.6</v>
      </c>
      <c r="Q112">
        <v>0.63</v>
      </c>
      <c r="R112">
        <v>0.629</v>
      </c>
      <c r="S112">
        <v>1.7</v>
      </c>
      <c r="T112">
        <v>2.8</v>
      </c>
      <c r="U112">
        <v>0.59199999999999997</v>
      </c>
      <c r="V112">
        <v>3.3</v>
      </c>
      <c r="W112">
        <v>5.8</v>
      </c>
      <c r="X112">
        <v>9.1</v>
      </c>
      <c r="Y112">
        <v>2.7</v>
      </c>
      <c r="Z112">
        <v>0.9</v>
      </c>
      <c r="AA112">
        <v>1.2</v>
      </c>
      <c r="AB112">
        <v>1.7</v>
      </c>
      <c r="AC112">
        <v>2.7</v>
      </c>
      <c r="AD112">
        <v>12.5</v>
      </c>
      <c r="AE112">
        <v>1906</v>
      </c>
      <c r="AF112">
        <v>21</v>
      </c>
      <c r="AG112">
        <v>0.63500000000000001</v>
      </c>
      <c r="AH112">
        <v>2E-3</v>
      </c>
      <c r="AI112">
        <v>0.32500000000000001</v>
      </c>
      <c r="AJ112">
        <v>13</v>
      </c>
      <c r="AK112">
        <v>25.5</v>
      </c>
      <c r="AL112">
        <v>19</v>
      </c>
      <c r="AM112">
        <v>15.2</v>
      </c>
      <c r="AN112">
        <v>1.7</v>
      </c>
      <c r="AO112">
        <v>4</v>
      </c>
      <c r="AP112">
        <v>15</v>
      </c>
      <c r="AQ112">
        <v>18.2</v>
      </c>
      <c r="AR112">
        <v>3.7</v>
      </c>
      <c r="AS112">
        <v>2.2000000000000002</v>
      </c>
      <c r="AT112">
        <v>6</v>
      </c>
      <c r="AU112">
        <v>0.15</v>
      </c>
      <c r="AV112">
        <v>1.1000000000000001</v>
      </c>
      <c r="AW112">
        <v>0.8</v>
      </c>
      <c r="AX112">
        <v>1.9</v>
      </c>
      <c r="AY112">
        <v>1.9</v>
      </c>
      <c r="AZ112" s="8">
        <v>3.95</v>
      </c>
      <c r="BA112" s="8">
        <v>0.42029557312781202</v>
      </c>
      <c r="BB112" s="3">
        <v>0</v>
      </c>
    </row>
    <row r="113" spans="1:54" x14ac:dyDescent="0.25">
      <c r="A113" t="s">
        <v>216</v>
      </c>
      <c r="B113" s="2">
        <v>9200000</v>
      </c>
      <c r="C113" t="s">
        <v>65</v>
      </c>
      <c r="D113">
        <v>29</v>
      </c>
      <c r="E113" t="s">
        <v>89</v>
      </c>
      <c r="F113">
        <v>76</v>
      </c>
      <c r="G113">
        <v>53</v>
      </c>
      <c r="H113">
        <v>31.7</v>
      </c>
      <c r="I113">
        <v>3</v>
      </c>
      <c r="J113">
        <v>7.8</v>
      </c>
      <c r="K113">
        <v>0.38600000000000001</v>
      </c>
      <c r="L113">
        <v>2.1</v>
      </c>
      <c r="M113">
        <v>5.5</v>
      </c>
      <c r="N113">
        <v>0.38900000000000001</v>
      </c>
      <c r="O113">
        <v>0.9</v>
      </c>
      <c r="P113">
        <v>2.2999999999999998</v>
      </c>
      <c r="Q113">
        <v>0.379</v>
      </c>
      <c r="R113">
        <v>0.52400000000000002</v>
      </c>
      <c r="S113">
        <v>0.7</v>
      </c>
      <c r="T113">
        <v>0.9</v>
      </c>
      <c r="U113">
        <v>0.72499999999999998</v>
      </c>
      <c r="V113">
        <v>0.7</v>
      </c>
      <c r="W113">
        <v>4.3</v>
      </c>
      <c r="X113">
        <v>5.0999999999999996</v>
      </c>
      <c r="Y113">
        <v>3.7</v>
      </c>
      <c r="Z113">
        <v>0.9</v>
      </c>
      <c r="AA113">
        <v>0.6</v>
      </c>
      <c r="AB113">
        <v>1.5</v>
      </c>
      <c r="AC113">
        <v>3.1</v>
      </c>
      <c r="AD113">
        <v>8.8000000000000007</v>
      </c>
      <c r="AE113">
        <v>2409</v>
      </c>
      <c r="AF113">
        <v>9.1999999999999993</v>
      </c>
      <c r="AG113">
        <v>0.53800000000000003</v>
      </c>
      <c r="AH113">
        <v>0.70699999999999996</v>
      </c>
      <c r="AI113">
        <v>0.11600000000000001</v>
      </c>
      <c r="AJ113">
        <v>2.6</v>
      </c>
      <c r="AK113">
        <v>15</v>
      </c>
      <c r="AL113">
        <v>9</v>
      </c>
      <c r="AM113">
        <v>15.3</v>
      </c>
      <c r="AN113">
        <v>1.3</v>
      </c>
      <c r="AO113">
        <v>1.7</v>
      </c>
      <c r="AP113">
        <v>15.5</v>
      </c>
      <c r="AQ113">
        <v>13.6</v>
      </c>
      <c r="AR113">
        <v>0.4</v>
      </c>
      <c r="AS113">
        <v>2.5</v>
      </c>
      <c r="AT113">
        <v>2.9</v>
      </c>
      <c r="AU113">
        <v>5.7000000000000002E-2</v>
      </c>
      <c r="AV113">
        <v>-1.7</v>
      </c>
      <c r="AW113">
        <v>0.6</v>
      </c>
      <c r="AX113">
        <v>-1.1000000000000001</v>
      </c>
      <c r="AY113">
        <v>0.5</v>
      </c>
      <c r="AZ113" s="8">
        <v>0.89999999999999991</v>
      </c>
      <c r="BA113" s="8">
        <v>9.7826086956521729E-2</v>
      </c>
      <c r="BB113" s="3">
        <v>0</v>
      </c>
    </row>
    <row r="114" spans="1:54" x14ac:dyDescent="0.25">
      <c r="A114" t="s">
        <v>217</v>
      </c>
      <c r="B114" s="2">
        <v>9125000</v>
      </c>
      <c r="C114" t="s">
        <v>52</v>
      </c>
      <c r="D114">
        <v>27</v>
      </c>
      <c r="E114" t="s">
        <v>63</v>
      </c>
      <c r="F114">
        <v>62</v>
      </c>
      <c r="G114">
        <v>61</v>
      </c>
      <c r="H114">
        <v>27.3</v>
      </c>
      <c r="I114">
        <v>4</v>
      </c>
      <c r="J114">
        <v>8.3000000000000007</v>
      </c>
      <c r="K114">
        <v>0.48</v>
      </c>
      <c r="L114">
        <v>1.3</v>
      </c>
      <c r="M114">
        <v>3.3</v>
      </c>
      <c r="N114">
        <v>0.38200000000000001</v>
      </c>
      <c r="O114">
        <v>2.7</v>
      </c>
      <c r="P114">
        <v>5</v>
      </c>
      <c r="Q114">
        <v>0.54300000000000004</v>
      </c>
      <c r="R114">
        <v>0.55500000000000005</v>
      </c>
      <c r="S114">
        <v>1</v>
      </c>
      <c r="T114">
        <v>1.2</v>
      </c>
      <c r="U114">
        <v>0.83099999999999996</v>
      </c>
      <c r="V114">
        <v>0.4</v>
      </c>
      <c r="W114">
        <v>3</v>
      </c>
      <c r="X114">
        <v>3.4</v>
      </c>
      <c r="Y114">
        <v>5.3</v>
      </c>
      <c r="Z114">
        <v>0.7</v>
      </c>
      <c r="AA114">
        <v>0.2</v>
      </c>
      <c r="AB114">
        <v>1</v>
      </c>
      <c r="AC114">
        <v>1.2</v>
      </c>
      <c r="AD114">
        <v>10.3</v>
      </c>
      <c r="AE114">
        <v>1695</v>
      </c>
      <c r="AF114">
        <v>15</v>
      </c>
      <c r="AG114">
        <v>0.57899999999999996</v>
      </c>
      <c r="AH114">
        <v>0.39600000000000002</v>
      </c>
      <c r="AI114">
        <v>0.15</v>
      </c>
      <c r="AJ114">
        <v>1.8</v>
      </c>
      <c r="AK114">
        <v>11.6</v>
      </c>
      <c r="AL114">
        <v>6.9</v>
      </c>
      <c r="AM114">
        <v>26.4</v>
      </c>
      <c r="AN114">
        <v>1.2</v>
      </c>
      <c r="AO114">
        <v>0.6</v>
      </c>
      <c r="AP114">
        <v>9.9</v>
      </c>
      <c r="AQ114">
        <v>15.6</v>
      </c>
      <c r="AR114">
        <v>3.1</v>
      </c>
      <c r="AS114">
        <v>1.1000000000000001</v>
      </c>
      <c r="AT114">
        <v>4.2</v>
      </c>
      <c r="AU114">
        <v>0.12</v>
      </c>
      <c r="AV114">
        <v>0.8</v>
      </c>
      <c r="AW114">
        <v>-0.4</v>
      </c>
      <c r="AX114">
        <v>0.5</v>
      </c>
      <c r="AY114">
        <v>1.1000000000000001</v>
      </c>
      <c r="AZ114" s="8">
        <v>2.35</v>
      </c>
      <c r="BA114" s="8">
        <v>0.25753424657534246</v>
      </c>
      <c r="BB114" s="3">
        <v>0</v>
      </c>
    </row>
    <row r="115" spans="1:54" x14ac:dyDescent="0.25">
      <c r="A115" t="s">
        <v>218</v>
      </c>
      <c r="B115" s="2">
        <v>9080417</v>
      </c>
      <c r="C115" t="s">
        <v>75</v>
      </c>
      <c r="D115">
        <v>32</v>
      </c>
      <c r="E115" t="s">
        <v>118</v>
      </c>
      <c r="F115">
        <v>79</v>
      </c>
      <c r="G115">
        <v>60</v>
      </c>
      <c r="H115">
        <v>26</v>
      </c>
      <c r="I115">
        <v>4.2</v>
      </c>
      <c r="J115">
        <v>6.1</v>
      </c>
      <c r="K115">
        <v>0.68</v>
      </c>
      <c r="L115">
        <v>0</v>
      </c>
      <c r="M115">
        <v>0</v>
      </c>
      <c r="O115">
        <v>4.2</v>
      </c>
      <c r="P115">
        <v>6.1</v>
      </c>
      <c r="Q115">
        <v>0.68</v>
      </c>
      <c r="R115">
        <v>0.68</v>
      </c>
      <c r="S115">
        <v>2.5</v>
      </c>
      <c r="T115">
        <v>4</v>
      </c>
      <c r="U115">
        <v>0.63600000000000001</v>
      </c>
      <c r="V115">
        <v>2.9</v>
      </c>
      <c r="W115">
        <v>6</v>
      </c>
      <c r="X115">
        <v>8.9</v>
      </c>
      <c r="Y115">
        <v>3.1</v>
      </c>
      <c r="Z115">
        <v>0.6</v>
      </c>
      <c r="AA115">
        <v>0.6</v>
      </c>
      <c r="AB115">
        <v>1.5</v>
      </c>
      <c r="AC115">
        <v>2.7</v>
      </c>
      <c r="AD115">
        <v>10.8</v>
      </c>
      <c r="AE115">
        <v>2054</v>
      </c>
      <c r="AF115">
        <v>19.600000000000001</v>
      </c>
      <c r="AG115">
        <v>0.68899999999999995</v>
      </c>
      <c r="AH115">
        <v>0</v>
      </c>
      <c r="AI115">
        <v>0.64700000000000002</v>
      </c>
      <c r="AJ115">
        <v>11.8</v>
      </c>
      <c r="AK115">
        <v>25.1</v>
      </c>
      <c r="AL115">
        <v>18.399999999999999</v>
      </c>
      <c r="AM115">
        <v>17.3</v>
      </c>
      <c r="AN115">
        <v>1.1000000000000001</v>
      </c>
      <c r="AO115">
        <v>2</v>
      </c>
      <c r="AP115">
        <v>15.8</v>
      </c>
      <c r="AQ115">
        <v>15.2</v>
      </c>
      <c r="AR115">
        <v>5.5</v>
      </c>
      <c r="AS115">
        <v>2.4</v>
      </c>
      <c r="AT115">
        <v>7.9</v>
      </c>
      <c r="AU115">
        <v>0.185</v>
      </c>
      <c r="AV115">
        <v>1.2</v>
      </c>
      <c r="AW115">
        <v>1</v>
      </c>
      <c r="AX115">
        <v>2.2000000000000002</v>
      </c>
      <c r="AY115">
        <v>2.2000000000000002</v>
      </c>
      <c r="AZ115" s="8">
        <v>5.0500000000000007</v>
      </c>
      <c r="BA115" s="8">
        <v>0.55614186000488752</v>
      </c>
      <c r="BB115" s="3">
        <v>0</v>
      </c>
    </row>
    <row r="116" spans="1:54" x14ac:dyDescent="0.25">
      <c r="A116" t="s">
        <v>219</v>
      </c>
      <c r="B116" s="2">
        <v>9030000</v>
      </c>
      <c r="C116" t="s">
        <v>52</v>
      </c>
      <c r="D116">
        <v>28</v>
      </c>
      <c r="E116" t="s">
        <v>87</v>
      </c>
      <c r="F116">
        <v>67</v>
      </c>
      <c r="G116">
        <v>36</v>
      </c>
      <c r="H116">
        <v>23.5</v>
      </c>
      <c r="I116">
        <v>1.9</v>
      </c>
      <c r="J116">
        <v>4.3</v>
      </c>
      <c r="K116">
        <v>0.45500000000000002</v>
      </c>
      <c r="L116">
        <v>0.8</v>
      </c>
      <c r="M116">
        <v>2.2999999999999998</v>
      </c>
      <c r="N116">
        <v>0.36399999999999999</v>
      </c>
      <c r="O116">
        <v>1.1000000000000001</v>
      </c>
      <c r="P116">
        <v>2</v>
      </c>
      <c r="Q116">
        <v>0.55600000000000005</v>
      </c>
      <c r="R116">
        <v>0.55100000000000005</v>
      </c>
      <c r="S116">
        <v>0.9</v>
      </c>
      <c r="T116">
        <v>1.1000000000000001</v>
      </c>
      <c r="U116">
        <v>0.80800000000000005</v>
      </c>
      <c r="V116">
        <v>0.6</v>
      </c>
      <c r="W116">
        <v>2.2999999999999998</v>
      </c>
      <c r="X116">
        <v>2.9</v>
      </c>
      <c r="Y116">
        <v>2.9</v>
      </c>
      <c r="Z116">
        <v>1.5</v>
      </c>
      <c r="AA116">
        <v>0.7</v>
      </c>
      <c r="AB116">
        <v>1.1000000000000001</v>
      </c>
      <c r="AC116">
        <v>2.4</v>
      </c>
      <c r="AD116">
        <v>5.6</v>
      </c>
      <c r="AE116">
        <v>1575</v>
      </c>
      <c r="AF116">
        <v>11.5</v>
      </c>
      <c r="AG116">
        <v>0.58799999999999997</v>
      </c>
      <c r="AH116">
        <v>0.52800000000000002</v>
      </c>
      <c r="AI116">
        <v>0.255</v>
      </c>
      <c r="AJ116">
        <v>3.1</v>
      </c>
      <c r="AK116">
        <v>10.9</v>
      </c>
      <c r="AL116">
        <v>7.1</v>
      </c>
      <c r="AM116">
        <v>15.4</v>
      </c>
      <c r="AN116">
        <v>3</v>
      </c>
      <c r="AO116">
        <v>2.8</v>
      </c>
      <c r="AP116">
        <v>19.5</v>
      </c>
      <c r="AQ116">
        <v>11.1</v>
      </c>
      <c r="AR116">
        <v>1</v>
      </c>
      <c r="AS116">
        <v>2.6</v>
      </c>
      <c r="AT116">
        <v>3.6</v>
      </c>
      <c r="AU116">
        <v>0.109</v>
      </c>
      <c r="AV116">
        <v>-2.2000000000000002</v>
      </c>
      <c r="AW116">
        <v>3.3</v>
      </c>
      <c r="AX116">
        <v>1.1000000000000001</v>
      </c>
      <c r="AY116">
        <v>1.2</v>
      </c>
      <c r="AZ116" s="8">
        <v>2.35</v>
      </c>
      <c r="BA116" s="8">
        <v>0.26024363233665559</v>
      </c>
      <c r="BB116" s="3">
        <v>0</v>
      </c>
    </row>
    <row r="117" spans="1:54" x14ac:dyDescent="0.25">
      <c r="A117" t="s">
        <v>221</v>
      </c>
      <c r="B117" s="2">
        <v>8925000</v>
      </c>
      <c r="C117" t="s">
        <v>62</v>
      </c>
      <c r="D117">
        <v>27</v>
      </c>
      <c r="E117" t="s">
        <v>68</v>
      </c>
      <c r="F117">
        <v>72</v>
      </c>
      <c r="G117">
        <v>70</v>
      </c>
      <c r="H117">
        <v>27.4</v>
      </c>
      <c r="I117">
        <v>3.4</v>
      </c>
      <c r="J117">
        <v>7.7</v>
      </c>
      <c r="K117">
        <v>0.44</v>
      </c>
      <c r="L117">
        <v>2</v>
      </c>
      <c r="M117">
        <v>5.0999999999999996</v>
      </c>
      <c r="N117">
        <v>0.39900000000000002</v>
      </c>
      <c r="O117">
        <v>1.4</v>
      </c>
      <c r="P117">
        <v>2.7</v>
      </c>
      <c r="Q117">
        <v>0.51800000000000002</v>
      </c>
      <c r="R117">
        <v>0.57099999999999995</v>
      </c>
      <c r="S117">
        <v>1.6</v>
      </c>
      <c r="T117">
        <v>1.8</v>
      </c>
      <c r="U117">
        <v>0.90500000000000003</v>
      </c>
      <c r="V117">
        <v>0.8</v>
      </c>
      <c r="W117">
        <v>2.4</v>
      </c>
      <c r="X117">
        <v>3.3</v>
      </c>
      <c r="Y117">
        <v>2.2999999999999998</v>
      </c>
      <c r="Z117">
        <v>0.9</v>
      </c>
      <c r="AA117">
        <v>0.2</v>
      </c>
      <c r="AB117">
        <v>1</v>
      </c>
      <c r="AC117">
        <v>1.6</v>
      </c>
      <c r="AD117">
        <v>10.4</v>
      </c>
      <c r="AE117">
        <v>1972</v>
      </c>
      <c r="AF117">
        <v>12.3</v>
      </c>
      <c r="AG117">
        <v>0.61199999999999999</v>
      </c>
      <c r="AH117">
        <v>0.65700000000000003</v>
      </c>
      <c r="AI117">
        <v>0.22600000000000001</v>
      </c>
      <c r="AJ117">
        <v>3.4</v>
      </c>
      <c r="AK117">
        <v>9</v>
      </c>
      <c r="AL117">
        <v>6.3</v>
      </c>
      <c r="AM117">
        <v>10.9</v>
      </c>
      <c r="AN117">
        <v>1.5</v>
      </c>
      <c r="AO117">
        <v>0.6</v>
      </c>
      <c r="AP117">
        <v>10.5</v>
      </c>
      <c r="AQ117">
        <v>14.6</v>
      </c>
      <c r="AR117">
        <v>2.8</v>
      </c>
      <c r="AS117">
        <v>2.2000000000000002</v>
      </c>
      <c r="AT117">
        <v>5.0999999999999996</v>
      </c>
      <c r="AU117">
        <v>0.123</v>
      </c>
      <c r="AV117">
        <v>-0.6</v>
      </c>
      <c r="AW117">
        <v>0.7</v>
      </c>
      <c r="AX117">
        <v>0.1</v>
      </c>
      <c r="AY117">
        <v>1</v>
      </c>
      <c r="AZ117" s="8">
        <v>2.5999999999999996</v>
      </c>
      <c r="BA117" s="8">
        <v>0.29131652661064422</v>
      </c>
      <c r="BB117" s="3">
        <v>0</v>
      </c>
    </row>
    <row r="118" spans="1:54" x14ac:dyDescent="0.25">
      <c r="A118" t="s">
        <v>222</v>
      </c>
      <c r="B118" s="2">
        <v>8920794</v>
      </c>
      <c r="C118" t="s">
        <v>52</v>
      </c>
      <c r="D118">
        <v>23</v>
      </c>
      <c r="E118" t="s">
        <v>107</v>
      </c>
      <c r="F118">
        <v>69</v>
      </c>
      <c r="G118">
        <v>69</v>
      </c>
      <c r="H118">
        <v>35.5</v>
      </c>
      <c r="I118">
        <v>7.6</v>
      </c>
      <c r="J118">
        <v>16.399999999999999</v>
      </c>
      <c r="K118">
        <v>0.46200000000000002</v>
      </c>
      <c r="L118">
        <v>2.4</v>
      </c>
      <c r="M118">
        <v>6</v>
      </c>
      <c r="N118">
        <v>0.41</v>
      </c>
      <c r="O118">
        <v>5.0999999999999996</v>
      </c>
      <c r="P118">
        <v>10.4</v>
      </c>
      <c r="Q118">
        <v>0.49199999999999999</v>
      </c>
      <c r="R118">
        <v>0.53700000000000003</v>
      </c>
      <c r="S118">
        <v>4</v>
      </c>
      <c r="T118">
        <v>4.7</v>
      </c>
      <c r="U118">
        <v>0.86299999999999999</v>
      </c>
      <c r="V118">
        <v>0.4</v>
      </c>
      <c r="W118">
        <v>2.2999999999999998</v>
      </c>
      <c r="X118">
        <v>2.7</v>
      </c>
      <c r="Y118">
        <v>7.8</v>
      </c>
      <c r="Z118">
        <v>1.2</v>
      </c>
      <c r="AA118">
        <v>0.1</v>
      </c>
      <c r="AB118">
        <v>2.9</v>
      </c>
      <c r="AC118">
        <v>2.1</v>
      </c>
      <c r="AD118">
        <v>21.6</v>
      </c>
      <c r="AE118">
        <v>2447</v>
      </c>
      <c r="AF118">
        <v>18.8</v>
      </c>
      <c r="AG118">
        <v>0.58699999999999997</v>
      </c>
      <c r="AH118">
        <v>0.36499999999999999</v>
      </c>
      <c r="AI118">
        <v>0.28399999999999997</v>
      </c>
      <c r="AJ118">
        <v>1.3</v>
      </c>
      <c r="AK118">
        <v>7.6</v>
      </c>
      <c r="AL118">
        <v>4.5</v>
      </c>
      <c r="AM118">
        <v>34.1</v>
      </c>
      <c r="AN118">
        <v>1.7</v>
      </c>
      <c r="AO118">
        <v>0.3</v>
      </c>
      <c r="AP118">
        <v>13.5</v>
      </c>
      <c r="AQ118">
        <v>26.9</v>
      </c>
      <c r="AR118">
        <v>4.5</v>
      </c>
      <c r="AS118">
        <v>3</v>
      </c>
      <c r="AT118">
        <v>7.6</v>
      </c>
      <c r="AU118">
        <v>0.14799999999999999</v>
      </c>
      <c r="AV118">
        <v>3.2</v>
      </c>
      <c r="AW118">
        <v>-0.7</v>
      </c>
      <c r="AX118">
        <v>2.4</v>
      </c>
      <c r="AY118">
        <v>2.7</v>
      </c>
      <c r="AZ118" s="8">
        <v>5</v>
      </c>
      <c r="BA118" s="8">
        <v>0.5604882255996495</v>
      </c>
      <c r="BB118" s="3">
        <v>0</v>
      </c>
    </row>
    <row r="119" spans="1:54" x14ac:dyDescent="0.25">
      <c r="A119" t="s">
        <v>223</v>
      </c>
      <c r="B119" s="2">
        <v>8854879</v>
      </c>
      <c r="C119" t="s">
        <v>75</v>
      </c>
      <c r="D119">
        <v>24</v>
      </c>
      <c r="E119" t="s">
        <v>123</v>
      </c>
      <c r="F119">
        <v>82</v>
      </c>
      <c r="G119">
        <v>8</v>
      </c>
      <c r="H119">
        <v>19.8</v>
      </c>
      <c r="I119">
        <v>2.1</v>
      </c>
      <c r="J119">
        <v>4</v>
      </c>
      <c r="K119">
        <v>0.53500000000000003</v>
      </c>
      <c r="L119">
        <v>0.1</v>
      </c>
      <c r="M119">
        <v>0.5</v>
      </c>
      <c r="N119">
        <v>0.216</v>
      </c>
      <c r="O119">
        <v>2</v>
      </c>
      <c r="P119">
        <v>3.5</v>
      </c>
      <c r="Q119">
        <v>0.57599999999999996</v>
      </c>
      <c r="R119">
        <v>0.54700000000000004</v>
      </c>
      <c r="S119">
        <v>0.6</v>
      </c>
      <c r="T119">
        <v>0.9</v>
      </c>
      <c r="U119">
        <v>0.67600000000000005</v>
      </c>
      <c r="V119">
        <v>2.5</v>
      </c>
      <c r="W119">
        <v>4</v>
      </c>
      <c r="X119">
        <v>6.5</v>
      </c>
      <c r="Y119">
        <v>1.2</v>
      </c>
      <c r="Z119">
        <v>0.6</v>
      </c>
      <c r="AA119">
        <v>0.8</v>
      </c>
      <c r="AB119">
        <v>0.8</v>
      </c>
      <c r="AC119">
        <v>2.6</v>
      </c>
      <c r="AD119">
        <v>5</v>
      </c>
      <c r="AE119">
        <v>1626</v>
      </c>
      <c r="AF119">
        <v>14.2</v>
      </c>
      <c r="AG119">
        <v>0.56699999999999995</v>
      </c>
      <c r="AH119">
        <v>0.113</v>
      </c>
      <c r="AI119">
        <v>0.217</v>
      </c>
      <c r="AJ119">
        <v>14.1</v>
      </c>
      <c r="AK119">
        <v>22.2</v>
      </c>
      <c r="AL119">
        <v>18.100000000000001</v>
      </c>
      <c r="AM119">
        <v>8.3000000000000007</v>
      </c>
      <c r="AN119">
        <v>1.6</v>
      </c>
      <c r="AO119">
        <v>3.7</v>
      </c>
      <c r="AP119">
        <v>15.6</v>
      </c>
      <c r="AQ119">
        <v>11.2</v>
      </c>
      <c r="AR119">
        <v>2.2000000000000002</v>
      </c>
      <c r="AS119">
        <v>2.4</v>
      </c>
      <c r="AT119">
        <v>4.5999999999999996</v>
      </c>
      <c r="AU119">
        <v>0.13600000000000001</v>
      </c>
      <c r="AV119">
        <v>-1.5</v>
      </c>
      <c r="AW119">
        <v>1.2</v>
      </c>
      <c r="AX119">
        <v>-0.3</v>
      </c>
      <c r="AY119">
        <v>0.7</v>
      </c>
      <c r="AZ119" s="8">
        <v>2.15</v>
      </c>
      <c r="BA119" s="8">
        <v>0.24280399540185699</v>
      </c>
      <c r="BB119" s="3">
        <v>0</v>
      </c>
    </row>
    <row r="120" spans="1:54" x14ac:dyDescent="0.25">
      <c r="A120" t="s">
        <v>224</v>
      </c>
      <c r="B120" s="2">
        <v>8780488</v>
      </c>
      <c r="C120" t="s">
        <v>28</v>
      </c>
      <c r="D120">
        <v>29</v>
      </c>
      <c r="E120" t="s">
        <v>76</v>
      </c>
      <c r="F120">
        <v>69</v>
      </c>
      <c r="G120">
        <v>46</v>
      </c>
      <c r="H120">
        <v>28.4</v>
      </c>
      <c r="I120">
        <v>3.7</v>
      </c>
      <c r="J120">
        <v>7.2</v>
      </c>
      <c r="K120">
        <v>0.50900000000000001</v>
      </c>
      <c r="L120">
        <v>0.6</v>
      </c>
      <c r="M120">
        <v>1.5</v>
      </c>
      <c r="N120">
        <v>0.41</v>
      </c>
      <c r="O120">
        <v>3</v>
      </c>
      <c r="P120">
        <v>5.7</v>
      </c>
      <c r="Q120">
        <v>0.53600000000000003</v>
      </c>
      <c r="R120">
        <v>0.55300000000000005</v>
      </c>
      <c r="S120">
        <v>1.4</v>
      </c>
      <c r="T120">
        <v>2</v>
      </c>
      <c r="U120">
        <v>0.73499999999999999</v>
      </c>
      <c r="V120">
        <v>1</v>
      </c>
      <c r="W120">
        <v>4.4000000000000004</v>
      </c>
      <c r="X120">
        <v>5.3</v>
      </c>
      <c r="Y120">
        <v>4.9000000000000004</v>
      </c>
      <c r="Z120">
        <v>1.1000000000000001</v>
      </c>
      <c r="AA120">
        <v>0.9</v>
      </c>
      <c r="AB120">
        <v>1.5</v>
      </c>
      <c r="AC120">
        <v>2.1</v>
      </c>
      <c r="AD120">
        <v>9.4</v>
      </c>
      <c r="AE120">
        <v>1957</v>
      </c>
      <c r="AF120">
        <v>14.8</v>
      </c>
      <c r="AG120">
        <v>0.58299999999999996</v>
      </c>
      <c r="AH120">
        <v>0.21199999999999999</v>
      </c>
      <c r="AI120">
        <v>0.27500000000000002</v>
      </c>
      <c r="AJ120">
        <v>3.8</v>
      </c>
      <c r="AK120">
        <v>16.899999999999999</v>
      </c>
      <c r="AL120">
        <v>10.5</v>
      </c>
      <c r="AM120">
        <v>22.6</v>
      </c>
      <c r="AN120">
        <v>1.9</v>
      </c>
      <c r="AO120">
        <v>2.8</v>
      </c>
      <c r="AP120">
        <v>15.7</v>
      </c>
      <c r="AQ120">
        <v>14.4</v>
      </c>
      <c r="AR120">
        <v>2.5</v>
      </c>
      <c r="AS120">
        <v>2.6</v>
      </c>
      <c r="AT120">
        <v>5.0999999999999996</v>
      </c>
      <c r="AU120">
        <v>0.125</v>
      </c>
      <c r="AV120">
        <v>0.2</v>
      </c>
      <c r="AW120">
        <v>2.2999999999999998</v>
      </c>
      <c r="AX120">
        <v>2.5</v>
      </c>
      <c r="AY120">
        <v>2.2000000000000002</v>
      </c>
      <c r="AZ120" s="8">
        <v>3.8</v>
      </c>
      <c r="BA120" s="8">
        <v>0.43277776816049401</v>
      </c>
      <c r="BB120" s="3">
        <v>0</v>
      </c>
    </row>
    <row r="121" spans="1:54" x14ac:dyDescent="0.25">
      <c r="A121" t="s">
        <v>227</v>
      </c>
      <c r="B121" s="2">
        <v>8623920</v>
      </c>
      <c r="C121" t="s">
        <v>52</v>
      </c>
      <c r="D121">
        <v>21</v>
      </c>
      <c r="E121" t="s">
        <v>118</v>
      </c>
      <c r="F121">
        <v>36</v>
      </c>
      <c r="G121">
        <v>36</v>
      </c>
      <c r="H121">
        <v>35.200000000000003</v>
      </c>
      <c r="I121">
        <v>8.1999999999999993</v>
      </c>
      <c r="J121">
        <v>20</v>
      </c>
      <c r="K121">
        <v>0.41099999999999998</v>
      </c>
      <c r="L121">
        <v>4</v>
      </c>
      <c r="M121">
        <v>10.6</v>
      </c>
      <c r="N121">
        <v>0.376</v>
      </c>
      <c r="O121">
        <v>4.2</v>
      </c>
      <c r="P121">
        <v>9.4</v>
      </c>
      <c r="Q121">
        <v>0.45</v>
      </c>
      <c r="R121">
        <v>0.51</v>
      </c>
      <c r="S121">
        <v>2.8</v>
      </c>
      <c r="T121">
        <v>3.4</v>
      </c>
      <c r="U121">
        <v>0.83599999999999997</v>
      </c>
      <c r="V121">
        <v>1.2</v>
      </c>
      <c r="W121">
        <v>5.3</v>
      </c>
      <c r="X121">
        <v>6.4</v>
      </c>
      <c r="Y121">
        <v>8.4</v>
      </c>
      <c r="Z121">
        <v>1.3</v>
      </c>
      <c r="AA121">
        <v>0.3</v>
      </c>
      <c r="AB121">
        <v>3.6</v>
      </c>
      <c r="AC121">
        <v>3.3</v>
      </c>
      <c r="AD121">
        <v>23.3</v>
      </c>
      <c r="AE121">
        <v>1268</v>
      </c>
      <c r="AF121">
        <v>17.899999999999999</v>
      </c>
      <c r="AG121">
        <v>0.54100000000000004</v>
      </c>
      <c r="AH121">
        <v>0.53100000000000003</v>
      </c>
      <c r="AI121">
        <v>0.16900000000000001</v>
      </c>
      <c r="AJ121">
        <v>3.5</v>
      </c>
      <c r="AK121">
        <v>16.2</v>
      </c>
      <c r="AL121">
        <v>9.6999999999999993</v>
      </c>
      <c r="AM121">
        <v>38.700000000000003</v>
      </c>
      <c r="AN121">
        <v>1.7</v>
      </c>
      <c r="AO121">
        <v>0.8</v>
      </c>
      <c r="AP121">
        <v>14.3</v>
      </c>
      <c r="AQ121">
        <v>30</v>
      </c>
      <c r="AR121">
        <v>0.6</v>
      </c>
      <c r="AS121">
        <v>1.2</v>
      </c>
      <c r="AT121">
        <v>1.8</v>
      </c>
      <c r="AU121">
        <v>6.8000000000000005E-2</v>
      </c>
      <c r="AV121">
        <v>3.2</v>
      </c>
      <c r="AW121">
        <v>-0.8</v>
      </c>
      <c r="AX121">
        <v>2.4</v>
      </c>
      <c r="AY121">
        <v>1.4</v>
      </c>
      <c r="AZ121" s="8">
        <v>2.1</v>
      </c>
      <c r="BA121" s="8">
        <v>0.24350875240030057</v>
      </c>
      <c r="BB121" s="3">
        <v>0</v>
      </c>
    </row>
    <row r="122" spans="1:54" x14ac:dyDescent="0.25">
      <c r="A122" t="s">
        <v>232</v>
      </c>
      <c r="B122" s="2">
        <v>8250000</v>
      </c>
      <c r="C122" t="s">
        <v>62</v>
      </c>
      <c r="D122">
        <v>24</v>
      </c>
      <c r="E122" t="s">
        <v>82</v>
      </c>
      <c r="F122">
        <v>77</v>
      </c>
      <c r="G122">
        <v>58</v>
      </c>
      <c r="H122">
        <v>27.9</v>
      </c>
      <c r="I122">
        <v>3.6</v>
      </c>
      <c r="J122">
        <v>8.5</v>
      </c>
      <c r="K122">
        <v>0.42499999999999999</v>
      </c>
      <c r="L122">
        <v>2</v>
      </c>
      <c r="M122">
        <v>5.2</v>
      </c>
      <c r="N122">
        <v>0.39</v>
      </c>
      <c r="O122">
        <v>1.6</v>
      </c>
      <c r="P122">
        <v>3.2</v>
      </c>
      <c r="Q122">
        <v>0.48399999999999999</v>
      </c>
      <c r="R122">
        <v>0.54600000000000004</v>
      </c>
      <c r="S122">
        <v>0.9</v>
      </c>
      <c r="T122">
        <v>1.1000000000000001</v>
      </c>
      <c r="U122">
        <v>0.79300000000000004</v>
      </c>
      <c r="V122">
        <v>0.9</v>
      </c>
      <c r="W122">
        <v>3.2</v>
      </c>
      <c r="X122">
        <v>4.0999999999999996</v>
      </c>
      <c r="Y122">
        <v>2.6</v>
      </c>
      <c r="Z122">
        <v>1.6</v>
      </c>
      <c r="AA122">
        <v>0.5</v>
      </c>
      <c r="AB122">
        <v>1.3</v>
      </c>
      <c r="AC122">
        <v>2.5</v>
      </c>
      <c r="AD122">
        <v>10.1</v>
      </c>
      <c r="AE122">
        <v>2150</v>
      </c>
      <c r="AF122">
        <v>12.7</v>
      </c>
      <c r="AG122">
        <v>0.56599999999999995</v>
      </c>
      <c r="AH122">
        <v>0.61899999999999999</v>
      </c>
      <c r="AI122">
        <v>0.13400000000000001</v>
      </c>
      <c r="AJ122">
        <v>3.9</v>
      </c>
      <c r="AK122">
        <v>13.1</v>
      </c>
      <c r="AL122">
        <v>8.6</v>
      </c>
      <c r="AM122">
        <v>12.9</v>
      </c>
      <c r="AN122">
        <v>2.9</v>
      </c>
      <c r="AO122">
        <v>1.8</v>
      </c>
      <c r="AP122">
        <v>12.9</v>
      </c>
      <c r="AQ122">
        <v>16.399999999999999</v>
      </c>
      <c r="AR122">
        <v>1.1000000000000001</v>
      </c>
      <c r="AS122">
        <v>3.1</v>
      </c>
      <c r="AT122">
        <v>4.2</v>
      </c>
      <c r="AU122">
        <v>9.5000000000000001E-2</v>
      </c>
      <c r="AV122">
        <v>-0.7</v>
      </c>
      <c r="AW122">
        <v>1.6</v>
      </c>
      <c r="AX122">
        <v>0.9</v>
      </c>
      <c r="AY122">
        <v>1.6</v>
      </c>
      <c r="AZ122" s="8">
        <v>2.5500000000000003</v>
      </c>
      <c r="BA122" s="8">
        <v>0.30909090909090914</v>
      </c>
      <c r="BB122" s="3">
        <v>0</v>
      </c>
    </row>
    <row r="123" spans="1:54" x14ac:dyDescent="0.25">
      <c r="A123" t="s">
        <v>234</v>
      </c>
      <c r="B123" s="2">
        <v>8008440</v>
      </c>
      <c r="C123" t="s">
        <v>65</v>
      </c>
      <c r="D123">
        <v>22</v>
      </c>
      <c r="E123" t="s">
        <v>116</v>
      </c>
      <c r="F123">
        <v>80</v>
      </c>
      <c r="G123">
        <v>78</v>
      </c>
      <c r="H123">
        <v>29.8</v>
      </c>
      <c r="I123">
        <v>4.4000000000000004</v>
      </c>
      <c r="J123">
        <v>9.8000000000000007</v>
      </c>
      <c r="K123">
        <v>0.45300000000000001</v>
      </c>
      <c r="L123">
        <v>2.6</v>
      </c>
      <c r="M123">
        <v>6.3</v>
      </c>
      <c r="N123">
        <v>0.41099999999999998</v>
      </c>
      <c r="O123">
        <v>1.9</v>
      </c>
      <c r="P123">
        <v>3.5</v>
      </c>
      <c r="Q123">
        <v>0.52700000000000002</v>
      </c>
      <c r="R123">
        <v>0.58399999999999996</v>
      </c>
      <c r="S123">
        <v>0.8</v>
      </c>
      <c r="T123">
        <v>1</v>
      </c>
      <c r="U123">
        <v>0.76500000000000001</v>
      </c>
      <c r="V123">
        <v>1.1000000000000001</v>
      </c>
      <c r="W123">
        <v>3.5</v>
      </c>
      <c r="X123">
        <v>4.5999999999999996</v>
      </c>
      <c r="Y123">
        <v>1.2</v>
      </c>
      <c r="Z123">
        <v>0.8</v>
      </c>
      <c r="AA123">
        <v>0.5</v>
      </c>
      <c r="AB123">
        <v>0.8</v>
      </c>
      <c r="AC123">
        <v>2</v>
      </c>
      <c r="AD123">
        <v>12.2</v>
      </c>
      <c r="AE123">
        <v>2382</v>
      </c>
      <c r="AF123">
        <v>12.3</v>
      </c>
      <c r="AG123">
        <v>0.59699999999999998</v>
      </c>
      <c r="AH123">
        <v>0.64100000000000001</v>
      </c>
      <c r="AI123">
        <v>0.104</v>
      </c>
      <c r="AJ123">
        <v>4.3</v>
      </c>
      <c r="AK123">
        <v>13.4</v>
      </c>
      <c r="AL123">
        <v>8.9</v>
      </c>
      <c r="AM123">
        <v>5.5</v>
      </c>
      <c r="AN123">
        <v>1.2</v>
      </c>
      <c r="AO123">
        <v>1.5</v>
      </c>
      <c r="AP123">
        <v>6.8</v>
      </c>
      <c r="AQ123">
        <v>15.8</v>
      </c>
      <c r="AR123">
        <v>2.6</v>
      </c>
      <c r="AS123">
        <v>1.7</v>
      </c>
      <c r="AT123">
        <v>4.3</v>
      </c>
      <c r="AU123">
        <v>8.6999999999999994E-2</v>
      </c>
      <c r="AV123">
        <v>0.4</v>
      </c>
      <c r="AW123">
        <v>-1</v>
      </c>
      <c r="AX123">
        <v>-0.6</v>
      </c>
      <c r="AY123">
        <v>0.8</v>
      </c>
      <c r="AZ123" s="8">
        <v>1.8499999999999999</v>
      </c>
      <c r="BA123" s="8">
        <v>0.23100628836577408</v>
      </c>
      <c r="BB123" s="3">
        <v>0</v>
      </c>
    </row>
    <row r="124" spans="1:54" x14ac:dyDescent="0.25">
      <c r="A124" t="s">
        <v>237</v>
      </c>
      <c r="B124" s="2">
        <v>7804878</v>
      </c>
      <c r="C124" t="s">
        <v>52</v>
      </c>
      <c r="D124">
        <v>30</v>
      </c>
      <c r="E124" t="s">
        <v>63</v>
      </c>
      <c r="F124">
        <v>50</v>
      </c>
      <c r="G124">
        <v>14</v>
      </c>
      <c r="H124">
        <v>24.4</v>
      </c>
      <c r="I124">
        <v>2.8</v>
      </c>
      <c r="J124">
        <v>5.8</v>
      </c>
      <c r="K124">
        <v>0.47399999999999998</v>
      </c>
      <c r="L124">
        <v>0.8</v>
      </c>
      <c r="M124">
        <v>2.4</v>
      </c>
      <c r="N124">
        <v>0.34499999999999997</v>
      </c>
      <c r="O124">
        <v>1.9</v>
      </c>
      <c r="P124">
        <v>3.4</v>
      </c>
      <c r="Q124">
        <v>0.56399999999999995</v>
      </c>
      <c r="R124">
        <v>0.54500000000000004</v>
      </c>
      <c r="S124">
        <v>1</v>
      </c>
      <c r="T124">
        <v>1.2</v>
      </c>
      <c r="U124">
        <v>0.86699999999999999</v>
      </c>
      <c r="V124">
        <v>1.2</v>
      </c>
      <c r="W124">
        <v>2.4</v>
      </c>
      <c r="X124">
        <v>3.6</v>
      </c>
      <c r="Y124">
        <v>3.9</v>
      </c>
      <c r="Z124">
        <v>1.8</v>
      </c>
      <c r="AA124">
        <v>0.3</v>
      </c>
      <c r="AB124">
        <v>0.9</v>
      </c>
      <c r="AC124">
        <v>1.2</v>
      </c>
      <c r="AD124">
        <v>7.4</v>
      </c>
      <c r="AE124">
        <v>1221</v>
      </c>
      <c r="AF124">
        <v>16.3</v>
      </c>
      <c r="AG124">
        <v>0.58099999999999996</v>
      </c>
      <c r="AH124">
        <v>0.40899999999999997</v>
      </c>
      <c r="AI124">
        <v>0.20599999999999999</v>
      </c>
      <c r="AJ124">
        <v>5.5</v>
      </c>
      <c r="AK124">
        <v>10.7</v>
      </c>
      <c r="AL124">
        <v>8.1999999999999993</v>
      </c>
      <c r="AM124">
        <v>20.9</v>
      </c>
      <c r="AN124">
        <v>3.7</v>
      </c>
      <c r="AO124">
        <v>1.2</v>
      </c>
      <c r="AP124">
        <v>12.2</v>
      </c>
      <c r="AQ124">
        <v>12.9</v>
      </c>
      <c r="AR124">
        <v>2.1</v>
      </c>
      <c r="AS124">
        <v>1.6</v>
      </c>
      <c r="AT124">
        <v>3.7</v>
      </c>
      <c r="AU124">
        <v>0.14599999999999999</v>
      </c>
      <c r="AV124">
        <v>0.4</v>
      </c>
      <c r="AW124">
        <v>3.1</v>
      </c>
      <c r="AX124">
        <v>3.4</v>
      </c>
      <c r="AY124">
        <v>1.7</v>
      </c>
      <c r="AZ124" s="8">
        <v>3.55</v>
      </c>
      <c r="BA124" s="8">
        <v>0.45484375284277345</v>
      </c>
      <c r="BB124" s="3">
        <v>0</v>
      </c>
    </row>
    <row r="125" spans="1:54" x14ac:dyDescent="0.25">
      <c r="A125" t="s">
        <v>238</v>
      </c>
      <c r="B125" s="2">
        <v>7775400</v>
      </c>
      <c r="C125" t="s">
        <v>28</v>
      </c>
      <c r="D125">
        <v>21</v>
      </c>
      <c r="E125" t="s">
        <v>87</v>
      </c>
      <c r="F125">
        <v>82</v>
      </c>
      <c r="G125">
        <v>65</v>
      </c>
      <c r="H125">
        <v>28.3</v>
      </c>
      <c r="I125">
        <v>3.8</v>
      </c>
      <c r="J125">
        <v>8.3000000000000007</v>
      </c>
      <c r="K125">
        <v>0.46400000000000002</v>
      </c>
      <c r="L125">
        <v>1.4</v>
      </c>
      <c r="M125">
        <v>3.4</v>
      </c>
      <c r="N125">
        <v>0.41499999999999998</v>
      </c>
      <c r="O125">
        <v>2.4</v>
      </c>
      <c r="P125">
        <v>4.9000000000000004</v>
      </c>
      <c r="Q125">
        <v>0.498</v>
      </c>
      <c r="R125">
        <v>0.54900000000000004</v>
      </c>
      <c r="S125">
        <v>1.1000000000000001</v>
      </c>
      <c r="T125">
        <v>1.3</v>
      </c>
      <c r="U125">
        <v>0.85699999999999998</v>
      </c>
      <c r="V125">
        <v>1</v>
      </c>
      <c r="W125">
        <v>3</v>
      </c>
      <c r="X125">
        <v>4</v>
      </c>
      <c r="Y125">
        <v>1.2</v>
      </c>
      <c r="Z125">
        <v>0.9</v>
      </c>
      <c r="AA125">
        <v>0.9</v>
      </c>
      <c r="AB125">
        <v>1.2</v>
      </c>
      <c r="AC125">
        <v>1.8</v>
      </c>
      <c r="AD125">
        <v>10.199999999999999</v>
      </c>
      <c r="AE125">
        <v>2323</v>
      </c>
      <c r="AF125">
        <v>11.2</v>
      </c>
      <c r="AG125">
        <v>0.57599999999999996</v>
      </c>
      <c r="AH125">
        <v>0.40899999999999997</v>
      </c>
      <c r="AI125">
        <v>0.155</v>
      </c>
      <c r="AJ125">
        <v>3.9</v>
      </c>
      <c r="AK125">
        <v>12</v>
      </c>
      <c r="AL125">
        <v>8</v>
      </c>
      <c r="AM125">
        <v>5.8</v>
      </c>
      <c r="AN125">
        <v>1.5</v>
      </c>
      <c r="AO125">
        <v>2.9</v>
      </c>
      <c r="AP125">
        <v>12.3</v>
      </c>
      <c r="AQ125">
        <v>15.7</v>
      </c>
      <c r="AR125">
        <v>0.5</v>
      </c>
      <c r="AS125">
        <v>3</v>
      </c>
      <c r="AT125">
        <v>3.5</v>
      </c>
      <c r="AU125">
        <v>7.1999999999999995E-2</v>
      </c>
      <c r="AV125">
        <v>-1.7</v>
      </c>
      <c r="AW125">
        <v>0.4</v>
      </c>
      <c r="AX125">
        <v>-1.3</v>
      </c>
      <c r="AY125">
        <v>0.4</v>
      </c>
      <c r="AZ125" s="8">
        <v>1.1000000000000001</v>
      </c>
      <c r="BA125" s="8">
        <v>0.14147182138539496</v>
      </c>
      <c r="BB125" s="3">
        <v>0</v>
      </c>
    </row>
    <row r="126" spans="1:54" x14ac:dyDescent="0.25">
      <c r="A126" t="s">
        <v>239</v>
      </c>
      <c r="B126" s="2">
        <v>7644600</v>
      </c>
      <c r="C126" t="s">
        <v>65</v>
      </c>
      <c r="D126">
        <v>21</v>
      </c>
      <c r="E126" t="s">
        <v>91</v>
      </c>
      <c r="F126">
        <v>77</v>
      </c>
      <c r="G126">
        <v>76</v>
      </c>
      <c r="H126">
        <v>34.799999999999997</v>
      </c>
      <c r="I126">
        <v>6</v>
      </c>
      <c r="J126">
        <v>13.2</v>
      </c>
      <c r="K126">
        <v>0.45600000000000002</v>
      </c>
      <c r="L126">
        <v>0.8</v>
      </c>
      <c r="M126">
        <v>2.9</v>
      </c>
      <c r="N126">
        <v>0.28100000000000003</v>
      </c>
      <c r="O126">
        <v>5.2</v>
      </c>
      <c r="P126">
        <v>10.3</v>
      </c>
      <c r="Q126">
        <v>0.505</v>
      </c>
      <c r="R126">
        <v>0.48699999999999999</v>
      </c>
      <c r="S126">
        <v>2.5</v>
      </c>
      <c r="T126">
        <v>3.2</v>
      </c>
      <c r="U126">
        <v>0.77200000000000002</v>
      </c>
      <c r="V126">
        <v>2.2999999999999998</v>
      </c>
      <c r="W126">
        <v>4.3</v>
      </c>
      <c r="X126">
        <v>6.6</v>
      </c>
      <c r="Y126">
        <v>4.8</v>
      </c>
      <c r="Z126">
        <v>1.1000000000000001</v>
      </c>
      <c r="AA126">
        <v>0.8</v>
      </c>
      <c r="AB126">
        <v>2</v>
      </c>
      <c r="AC126">
        <v>2.2000000000000002</v>
      </c>
      <c r="AD126">
        <v>15.3</v>
      </c>
      <c r="AE126">
        <v>2678</v>
      </c>
      <c r="AF126">
        <v>15.5</v>
      </c>
      <c r="AG126">
        <v>0.52400000000000002</v>
      </c>
      <c r="AH126">
        <v>0.22</v>
      </c>
      <c r="AI126">
        <v>0.24199999999999999</v>
      </c>
      <c r="AJ126">
        <v>7.1</v>
      </c>
      <c r="AK126">
        <v>15.2</v>
      </c>
      <c r="AL126">
        <v>10.8</v>
      </c>
      <c r="AM126">
        <v>20</v>
      </c>
      <c r="AN126">
        <v>1.5</v>
      </c>
      <c r="AO126">
        <v>2.2000000000000002</v>
      </c>
      <c r="AP126">
        <v>12</v>
      </c>
      <c r="AQ126">
        <v>20.3</v>
      </c>
      <c r="AR126">
        <v>2.2999999999999998</v>
      </c>
      <c r="AS126">
        <v>2.7</v>
      </c>
      <c r="AT126">
        <v>5</v>
      </c>
      <c r="AU126">
        <v>0.09</v>
      </c>
      <c r="AV126">
        <v>0.5</v>
      </c>
      <c r="AW126">
        <v>-0.1</v>
      </c>
      <c r="AX126">
        <v>0.4</v>
      </c>
      <c r="AY126">
        <v>1.6</v>
      </c>
      <c r="AZ126" s="8">
        <v>2.7</v>
      </c>
      <c r="BA126" s="8">
        <v>0.35319048740287262</v>
      </c>
      <c r="BB126" s="3">
        <v>0</v>
      </c>
    </row>
    <row r="127" spans="1:54" x14ac:dyDescent="0.25">
      <c r="A127" t="s">
        <v>240</v>
      </c>
      <c r="B127" s="2">
        <v>7426088</v>
      </c>
      <c r="C127" t="s">
        <v>65</v>
      </c>
      <c r="D127">
        <v>27</v>
      </c>
      <c r="E127" t="s">
        <v>107</v>
      </c>
      <c r="F127">
        <v>77</v>
      </c>
      <c r="G127">
        <v>2</v>
      </c>
      <c r="H127">
        <v>20.100000000000001</v>
      </c>
      <c r="I127">
        <v>3.1</v>
      </c>
      <c r="J127">
        <v>6.9</v>
      </c>
      <c r="K127">
        <v>0.45100000000000001</v>
      </c>
      <c r="L127">
        <v>1.5</v>
      </c>
      <c r="M127">
        <v>4.0999999999999996</v>
      </c>
      <c r="N127">
        <v>0.372</v>
      </c>
      <c r="O127">
        <v>1.6</v>
      </c>
      <c r="P127">
        <v>2.8</v>
      </c>
      <c r="Q127">
        <v>0.56399999999999995</v>
      </c>
      <c r="R127">
        <v>0.56000000000000005</v>
      </c>
      <c r="S127">
        <v>1</v>
      </c>
      <c r="T127">
        <v>1.4</v>
      </c>
      <c r="U127">
        <v>0.69399999999999995</v>
      </c>
      <c r="V127">
        <v>0.3</v>
      </c>
      <c r="W127">
        <v>2</v>
      </c>
      <c r="X127">
        <v>2.2999999999999998</v>
      </c>
      <c r="Y127">
        <v>1.5</v>
      </c>
      <c r="Z127">
        <v>0.5</v>
      </c>
      <c r="AA127">
        <v>0.1</v>
      </c>
      <c r="AB127">
        <v>0.7</v>
      </c>
      <c r="AC127">
        <v>1.6</v>
      </c>
      <c r="AD127">
        <v>8.6999999999999993</v>
      </c>
      <c r="AE127">
        <v>1548</v>
      </c>
      <c r="AF127">
        <v>12</v>
      </c>
      <c r="AG127">
        <v>0.57899999999999996</v>
      </c>
      <c r="AH127">
        <v>0.58899999999999997</v>
      </c>
      <c r="AI127">
        <v>0.20399999999999999</v>
      </c>
      <c r="AJ127">
        <v>1.9</v>
      </c>
      <c r="AK127">
        <v>11.5</v>
      </c>
      <c r="AL127">
        <v>6.7</v>
      </c>
      <c r="AM127">
        <v>10.6</v>
      </c>
      <c r="AN127">
        <v>1.1000000000000001</v>
      </c>
      <c r="AO127">
        <v>0.7</v>
      </c>
      <c r="AP127">
        <v>8.3000000000000007</v>
      </c>
      <c r="AQ127">
        <v>18.2</v>
      </c>
      <c r="AR127">
        <v>1.4</v>
      </c>
      <c r="AS127">
        <v>1.9</v>
      </c>
      <c r="AT127">
        <v>3.3</v>
      </c>
      <c r="AU127">
        <v>0.10299999999999999</v>
      </c>
      <c r="AV127">
        <v>-0.8</v>
      </c>
      <c r="AW127">
        <v>0.2</v>
      </c>
      <c r="AX127">
        <v>-0.7</v>
      </c>
      <c r="AY127">
        <v>0.5</v>
      </c>
      <c r="AZ127" s="8">
        <v>1.2999999999999998</v>
      </c>
      <c r="BA127" s="8">
        <v>0.1750585234109803</v>
      </c>
      <c r="BB127" s="3">
        <v>0</v>
      </c>
    </row>
    <row r="128" spans="1:54" x14ac:dyDescent="0.25">
      <c r="A128" t="s">
        <v>241</v>
      </c>
      <c r="B128" s="2">
        <v>7413955</v>
      </c>
      <c r="C128" t="s">
        <v>62</v>
      </c>
      <c r="D128">
        <v>22</v>
      </c>
      <c r="E128" t="s">
        <v>87</v>
      </c>
      <c r="F128">
        <v>74</v>
      </c>
      <c r="G128">
        <v>2</v>
      </c>
      <c r="H128">
        <v>23.4</v>
      </c>
      <c r="I128">
        <v>3.6</v>
      </c>
      <c r="J128">
        <v>8</v>
      </c>
      <c r="K128">
        <v>0.443</v>
      </c>
      <c r="L128">
        <v>1.7</v>
      </c>
      <c r="M128">
        <v>4.5999999999999996</v>
      </c>
      <c r="N128">
        <v>0.372</v>
      </c>
      <c r="O128">
        <v>1.8</v>
      </c>
      <c r="P128">
        <v>3.4</v>
      </c>
      <c r="Q128">
        <v>0.54</v>
      </c>
      <c r="R128">
        <v>0.55100000000000005</v>
      </c>
      <c r="S128">
        <v>0.8</v>
      </c>
      <c r="T128">
        <v>0.9</v>
      </c>
      <c r="U128">
        <v>0.871</v>
      </c>
      <c r="V128">
        <v>0.2</v>
      </c>
      <c r="W128">
        <v>2.6</v>
      </c>
      <c r="X128">
        <v>2.9</v>
      </c>
      <c r="Y128">
        <v>2.8</v>
      </c>
      <c r="Z128">
        <v>0.7</v>
      </c>
      <c r="AA128">
        <v>0.1</v>
      </c>
      <c r="AB128">
        <v>1</v>
      </c>
      <c r="AC128">
        <v>1.6</v>
      </c>
      <c r="AD128">
        <v>9.6999999999999993</v>
      </c>
      <c r="AE128">
        <v>1730</v>
      </c>
      <c r="AF128">
        <v>12.5</v>
      </c>
      <c r="AG128">
        <v>0.57199999999999995</v>
      </c>
      <c r="AH128">
        <v>0.57899999999999996</v>
      </c>
      <c r="AI128">
        <v>0.11799999999999999</v>
      </c>
      <c r="AJ128">
        <v>1.1000000000000001</v>
      </c>
      <c r="AK128">
        <v>12.6</v>
      </c>
      <c r="AL128">
        <v>6.9</v>
      </c>
      <c r="AM128">
        <v>16.3</v>
      </c>
      <c r="AN128">
        <v>1.5</v>
      </c>
      <c r="AO128">
        <v>0.3</v>
      </c>
      <c r="AP128">
        <v>10.6</v>
      </c>
      <c r="AQ128">
        <v>17.899999999999999</v>
      </c>
      <c r="AR128">
        <v>1.2</v>
      </c>
      <c r="AS128">
        <v>1.9</v>
      </c>
      <c r="AT128">
        <v>3.1</v>
      </c>
      <c r="AU128">
        <v>8.6999999999999994E-2</v>
      </c>
      <c r="AV128">
        <v>-1</v>
      </c>
      <c r="AW128">
        <v>0.2</v>
      </c>
      <c r="AX128">
        <v>-0.8</v>
      </c>
      <c r="AY128">
        <v>0.5</v>
      </c>
      <c r="AZ128" s="8">
        <v>1.1499999999999999</v>
      </c>
      <c r="BA128" s="8">
        <v>0.15511289183708291</v>
      </c>
      <c r="BB128" s="3">
        <v>0</v>
      </c>
    </row>
    <row r="129" spans="1:54" x14ac:dyDescent="0.25">
      <c r="A129" t="s">
        <v>242</v>
      </c>
      <c r="B129" s="2">
        <v>7350000</v>
      </c>
      <c r="C129" t="s">
        <v>75</v>
      </c>
      <c r="D129">
        <v>25</v>
      </c>
      <c r="E129" t="s">
        <v>175</v>
      </c>
      <c r="F129">
        <v>63</v>
      </c>
      <c r="G129">
        <v>26</v>
      </c>
      <c r="H129">
        <v>22.9</v>
      </c>
      <c r="I129">
        <v>4.5</v>
      </c>
      <c r="J129">
        <v>8.6999999999999993</v>
      </c>
      <c r="K129">
        <v>0.51800000000000002</v>
      </c>
      <c r="L129">
        <v>0.9</v>
      </c>
      <c r="M129">
        <v>2.2999999999999998</v>
      </c>
      <c r="N129">
        <v>0.374</v>
      </c>
      <c r="O129">
        <v>3.6</v>
      </c>
      <c r="P129">
        <v>6.4</v>
      </c>
      <c r="Q129">
        <v>0.57099999999999995</v>
      </c>
      <c r="R129">
        <v>0.56799999999999995</v>
      </c>
      <c r="S129">
        <v>1.7</v>
      </c>
      <c r="T129">
        <v>2.2999999999999998</v>
      </c>
      <c r="U129">
        <v>0.76100000000000001</v>
      </c>
      <c r="V129">
        <v>1.8</v>
      </c>
      <c r="W129">
        <v>4.5</v>
      </c>
      <c r="X129">
        <v>6.4</v>
      </c>
      <c r="Y129">
        <v>2.9</v>
      </c>
      <c r="Z129">
        <v>0.6</v>
      </c>
      <c r="AA129">
        <v>0.8</v>
      </c>
      <c r="AB129">
        <v>2</v>
      </c>
      <c r="AC129">
        <v>3.2</v>
      </c>
      <c r="AD129">
        <v>11.6</v>
      </c>
      <c r="AE129">
        <v>1441</v>
      </c>
      <c r="AF129">
        <v>16.399999999999999</v>
      </c>
      <c r="AG129">
        <v>0.59899999999999998</v>
      </c>
      <c r="AH129">
        <v>0.26800000000000002</v>
      </c>
      <c r="AI129">
        <v>0.25900000000000001</v>
      </c>
      <c r="AJ129">
        <v>8.5</v>
      </c>
      <c r="AK129">
        <v>22.5</v>
      </c>
      <c r="AL129">
        <v>15.2</v>
      </c>
      <c r="AM129">
        <v>18</v>
      </c>
      <c r="AN129">
        <v>1.2</v>
      </c>
      <c r="AO129">
        <v>2.8</v>
      </c>
      <c r="AP129">
        <v>17.399999999999999</v>
      </c>
      <c r="AQ129">
        <v>21.2</v>
      </c>
      <c r="AR129">
        <v>1.2</v>
      </c>
      <c r="AS129">
        <v>1</v>
      </c>
      <c r="AT129">
        <v>2.2000000000000002</v>
      </c>
      <c r="AU129">
        <v>7.3999999999999996E-2</v>
      </c>
      <c r="AV129">
        <v>-0.5</v>
      </c>
      <c r="AW129">
        <v>0.3</v>
      </c>
      <c r="AX129">
        <v>-0.2</v>
      </c>
      <c r="AY129">
        <v>0.6</v>
      </c>
      <c r="AZ129" s="8">
        <v>1</v>
      </c>
      <c r="BA129" s="8">
        <v>0.1360544217687075</v>
      </c>
      <c r="BB129" s="3">
        <v>0</v>
      </c>
    </row>
    <row r="130" spans="1:54" x14ac:dyDescent="0.25">
      <c r="A130" t="s">
        <v>246</v>
      </c>
      <c r="B130" s="2">
        <v>7040880</v>
      </c>
      <c r="C130" t="s">
        <v>65</v>
      </c>
      <c r="D130">
        <v>22</v>
      </c>
      <c r="E130" t="s">
        <v>107</v>
      </c>
      <c r="F130">
        <v>76</v>
      </c>
      <c r="G130">
        <v>46</v>
      </c>
      <c r="H130">
        <v>21.7</v>
      </c>
      <c r="I130">
        <v>2.2999999999999998</v>
      </c>
      <c r="J130">
        <v>4.7</v>
      </c>
      <c r="K130">
        <v>0.49399999999999999</v>
      </c>
      <c r="L130">
        <v>0.8</v>
      </c>
      <c r="M130">
        <v>2.2999999999999998</v>
      </c>
      <c r="N130">
        <v>0.36299999999999999</v>
      </c>
      <c r="O130">
        <v>1.5</v>
      </c>
      <c r="P130">
        <v>2.4</v>
      </c>
      <c r="Q130">
        <v>0.61699999999999999</v>
      </c>
      <c r="R130">
        <v>0.58199999999999996</v>
      </c>
      <c r="S130">
        <v>1</v>
      </c>
      <c r="T130">
        <v>1.4</v>
      </c>
      <c r="U130">
        <v>0.75700000000000001</v>
      </c>
      <c r="V130">
        <v>0.7</v>
      </c>
      <c r="W130">
        <v>1.8</v>
      </c>
      <c r="X130">
        <v>2.5</v>
      </c>
      <c r="Y130">
        <v>1.1000000000000001</v>
      </c>
      <c r="Z130">
        <v>0.7</v>
      </c>
      <c r="AA130">
        <v>0.4</v>
      </c>
      <c r="AB130">
        <v>0.6</v>
      </c>
      <c r="AC130">
        <v>2.1</v>
      </c>
      <c r="AD130">
        <v>6.4</v>
      </c>
      <c r="AE130">
        <v>1652</v>
      </c>
      <c r="AF130">
        <v>10.7</v>
      </c>
      <c r="AG130">
        <v>0.61399999999999999</v>
      </c>
      <c r="AH130">
        <v>0.48299999999999998</v>
      </c>
      <c r="AI130">
        <v>0.29099999999999998</v>
      </c>
      <c r="AJ130">
        <v>3.7</v>
      </c>
      <c r="AK130">
        <v>9.6</v>
      </c>
      <c r="AL130">
        <v>6.7</v>
      </c>
      <c r="AM130">
        <v>7</v>
      </c>
      <c r="AN130">
        <v>1.7</v>
      </c>
      <c r="AO130">
        <v>1.7</v>
      </c>
      <c r="AP130">
        <v>9.5</v>
      </c>
      <c r="AQ130">
        <v>11.9</v>
      </c>
      <c r="AR130">
        <v>1.9</v>
      </c>
      <c r="AS130">
        <v>2.2999999999999998</v>
      </c>
      <c r="AT130">
        <v>4.2</v>
      </c>
      <c r="AU130">
        <v>0.122</v>
      </c>
      <c r="AV130">
        <v>-1.9</v>
      </c>
      <c r="AW130">
        <v>1.6</v>
      </c>
      <c r="AX130">
        <v>-0.3</v>
      </c>
      <c r="AY130">
        <v>0.7</v>
      </c>
      <c r="AZ130" s="8">
        <v>1.9500000000000002</v>
      </c>
      <c r="BA130" s="8">
        <v>0.27695401711149747</v>
      </c>
      <c r="BB130" s="3">
        <v>0</v>
      </c>
    </row>
    <row r="131" spans="1:54" x14ac:dyDescent="0.25">
      <c r="A131" t="s">
        <v>248</v>
      </c>
      <c r="B131" s="2">
        <v>6922320</v>
      </c>
      <c r="C131" t="s">
        <v>62</v>
      </c>
      <c r="D131">
        <v>21</v>
      </c>
      <c r="E131" t="s">
        <v>152</v>
      </c>
      <c r="F131">
        <v>53</v>
      </c>
      <c r="G131">
        <v>19</v>
      </c>
      <c r="H131">
        <v>23.5</v>
      </c>
      <c r="I131">
        <v>3.5</v>
      </c>
      <c r="J131">
        <v>8.4</v>
      </c>
      <c r="K131">
        <v>0.41899999999999998</v>
      </c>
      <c r="L131">
        <v>1.2</v>
      </c>
      <c r="M131">
        <v>3.8</v>
      </c>
      <c r="N131">
        <v>0.32700000000000001</v>
      </c>
      <c r="O131">
        <v>2.2999999999999998</v>
      </c>
      <c r="P131">
        <v>4.5999999999999996</v>
      </c>
      <c r="Q131">
        <v>0.496</v>
      </c>
      <c r="R131">
        <v>0.49299999999999999</v>
      </c>
      <c r="S131">
        <v>1.6</v>
      </c>
      <c r="T131">
        <v>2.2000000000000002</v>
      </c>
      <c r="U131">
        <v>0.72299999999999998</v>
      </c>
      <c r="V131">
        <v>1</v>
      </c>
      <c r="W131">
        <v>2</v>
      </c>
      <c r="X131">
        <v>3</v>
      </c>
      <c r="Y131">
        <v>2.9</v>
      </c>
      <c r="Z131">
        <v>1.3</v>
      </c>
      <c r="AA131">
        <v>0.5</v>
      </c>
      <c r="AB131">
        <v>1.8</v>
      </c>
      <c r="AC131">
        <v>2.2999999999999998</v>
      </c>
      <c r="AD131">
        <v>9.9</v>
      </c>
      <c r="AE131">
        <v>1246</v>
      </c>
      <c r="AF131">
        <v>12.5</v>
      </c>
      <c r="AG131">
        <v>0.52800000000000002</v>
      </c>
      <c r="AH131">
        <v>0.45500000000000002</v>
      </c>
      <c r="AI131">
        <v>0.26800000000000002</v>
      </c>
      <c r="AJ131">
        <v>5</v>
      </c>
      <c r="AK131">
        <v>9.6</v>
      </c>
      <c r="AL131">
        <v>7.3</v>
      </c>
      <c r="AM131">
        <v>18</v>
      </c>
      <c r="AN131">
        <v>2.6</v>
      </c>
      <c r="AO131">
        <v>2.1</v>
      </c>
      <c r="AP131">
        <v>15.9</v>
      </c>
      <c r="AQ131">
        <v>20.3</v>
      </c>
      <c r="AR131">
        <v>-0.2</v>
      </c>
      <c r="AS131">
        <v>1.5</v>
      </c>
      <c r="AT131">
        <v>1.4</v>
      </c>
      <c r="AU131">
        <v>5.2999999999999999E-2</v>
      </c>
      <c r="AV131">
        <v>-1.8</v>
      </c>
      <c r="AW131">
        <v>0.8</v>
      </c>
      <c r="AX131">
        <v>-1</v>
      </c>
      <c r="AY131">
        <v>0.3</v>
      </c>
      <c r="AZ131" s="8">
        <v>0.19999999999999996</v>
      </c>
      <c r="BA131" s="8">
        <v>2.8892047752776519E-2</v>
      </c>
      <c r="BB131" s="3">
        <v>0</v>
      </c>
    </row>
    <row r="132" spans="1:54" x14ac:dyDescent="0.25">
      <c r="A132" t="s">
        <v>252</v>
      </c>
      <c r="B132" s="2">
        <v>6479000</v>
      </c>
      <c r="C132" t="s">
        <v>65</v>
      </c>
      <c r="D132">
        <v>26</v>
      </c>
      <c r="E132" t="s">
        <v>103</v>
      </c>
      <c r="F132">
        <v>80</v>
      </c>
      <c r="G132">
        <v>31</v>
      </c>
      <c r="H132">
        <v>28.5</v>
      </c>
      <c r="I132">
        <v>4.5</v>
      </c>
      <c r="J132">
        <v>9.3000000000000007</v>
      </c>
      <c r="K132">
        <v>0.48299999999999998</v>
      </c>
      <c r="L132">
        <v>1.1000000000000001</v>
      </c>
      <c r="M132">
        <v>3.2</v>
      </c>
      <c r="N132">
        <v>0.35799999999999998</v>
      </c>
      <c r="O132">
        <v>3.3</v>
      </c>
      <c r="P132">
        <v>6.1</v>
      </c>
      <c r="Q132">
        <v>0.54800000000000004</v>
      </c>
      <c r="R132">
        <v>0.54500000000000004</v>
      </c>
      <c r="S132">
        <v>1.5</v>
      </c>
      <c r="T132">
        <v>1.9</v>
      </c>
      <c r="U132">
        <v>0.75800000000000001</v>
      </c>
      <c r="V132">
        <v>0.8</v>
      </c>
      <c r="W132">
        <v>3.3</v>
      </c>
      <c r="X132">
        <v>4.0999999999999996</v>
      </c>
      <c r="Y132">
        <v>3.4</v>
      </c>
      <c r="Z132">
        <v>1.1000000000000001</v>
      </c>
      <c r="AA132">
        <v>0.6</v>
      </c>
      <c r="AB132">
        <v>1.5</v>
      </c>
      <c r="AC132">
        <v>2.4</v>
      </c>
      <c r="AD132">
        <v>11.5</v>
      </c>
      <c r="AE132">
        <v>2280</v>
      </c>
      <c r="AF132">
        <v>13.3</v>
      </c>
      <c r="AG132">
        <v>0.57099999999999995</v>
      </c>
      <c r="AH132">
        <v>0.34300000000000003</v>
      </c>
      <c r="AI132">
        <v>0.20599999999999999</v>
      </c>
      <c r="AJ132">
        <v>3.3</v>
      </c>
      <c r="AK132">
        <v>13</v>
      </c>
      <c r="AL132">
        <v>8.3000000000000007</v>
      </c>
      <c r="AM132">
        <v>15.7</v>
      </c>
      <c r="AN132">
        <v>1.9</v>
      </c>
      <c r="AO132">
        <v>2</v>
      </c>
      <c r="AP132">
        <v>13.2</v>
      </c>
      <c r="AQ132">
        <v>17.8</v>
      </c>
      <c r="AR132">
        <v>1.7</v>
      </c>
      <c r="AS132">
        <v>2.6</v>
      </c>
      <c r="AT132">
        <v>4.3</v>
      </c>
      <c r="AU132">
        <v>0.09</v>
      </c>
      <c r="AV132">
        <v>-1.1000000000000001</v>
      </c>
      <c r="AW132">
        <v>0.6</v>
      </c>
      <c r="AX132">
        <v>-0.5</v>
      </c>
      <c r="AY132">
        <v>0.9</v>
      </c>
      <c r="AZ132" s="8">
        <v>1.9</v>
      </c>
      <c r="BA132" s="8">
        <v>0.2932551319648094</v>
      </c>
      <c r="BB132" s="3">
        <v>0</v>
      </c>
    </row>
    <row r="133" spans="1:54" x14ac:dyDescent="0.25">
      <c r="A133" t="s">
        <v>253</v>
      </c>
      <c r="B133" s="2">
        <v>6479000</v>
      </c>
      <c r="C133" t="s">
        <v>65</v>
      </c>
      <c r="D133">
        <v>27</v>
      </c>
      <c r="E133" t="s">
        <v>80</v>
      </c>
      <c r="F133">
        <v>71</v>
      </c>
      <c r="G133">
        <v>49</v>
      </c>
      <c r="H133">
        <v>29.3</v>
      </c>
      <c r="I133">
        <v>3.6</v>
      </c>
      <c r="J133">
        <v>7.7</v>
      </c>
      <c r="K133">
        <v>0.46400000000000002</v>
      </c>
      <c r="L133">
        <v>1.2</v>
      </c>
      <c r="M133">
        <v>3.3</v>
      </c>
      <c r="N133">
        <v>0.35599999999999998</v>
      </c>
      <c r="O133">
        <v>2.4</v>
      </c>
      <c r="P133">
        <v>4.4000000000000004</v>
      </c>
      <c r="Q133">
        <v>0.54500000000000004</v>
      </c>
      <c r="R133">
        <v>0.54</v>
      </c>
      <c r="S133">
        <v>1.3</v>
      </c>
      <c r="T133">
        <v>1.6</v>
      </c>
      <c r="U133">
        <v>0.80500000000000005</v>
      </c>
      <c r="V133">
        <v>1.2</v>
      </c>
      <c r="W133">
        <v>3.6</v>
      </c>
      <c r="X133">
        <v>4.8</v>
      </c>
      <c r="Y133">
        <v>1.6</v>
      </c>
      <c r="Z133">
        <v>1</v>
      </c>
      <c r="AA133">
        <v>0.4</v>
      </c>
      <c r="AB133">
        <v>1.1000000000000001</v>
      </c>
      <c r="AC133">
        <v>2</v>
      </c>
      <c r="AD133">
        <v>9.6</v>
      </c>
      <c r="AE133">
        <v>2077</v>
      </c>
      <c r="AF133">
        <v>11.4</v>
      </c>
      <c r="AG133">
        <v>0.57099999999999995</v>
      </c>
      <c r="AH133">
        <v>0.43099999999999999</v>
      </c>
      <c r="AI133">
        <v>0.20599999999999999</v>
      </c>
      <c r="AJ133">
        <v>4.8</v>
      </c>
      <c r="AK133">
        <v>15</v>
      </c>
      <c r="AL133">
        <v>9.6999999999999993</v>
      </c>
      <c r="AM133">
        <v>8.1999999999999993</v>
      </c>
      <c r="AN133">
        <v>1.7</v>
      </c>
      <c r="AO133">
        <v>1.5</v>
      </c>
      <c r="AP133">
        <v>11.5</v>
      </c>
      <c r="AQ133">
        <v>14.4</v>
      </c>
      <c r="AR133">
        <v>1.2</v>
      </c>
      <c r="AS133">
        <v>2.5</v>
      </c>
      <c r="AT133">
        <v>3.7</v>
      </c>
      <c r="AU133">
        <v>8.5999999999999993E-2</v>
      </c>
      <c r="AV133">
        <v>-1.8</v>
      </c>
      <c r="AW133">
        <v>0.5</v>
      </c>
      <c r="AX133">
        <v>-1.2</v>
      </c>
      <c r="AY133">
        <v>0.4</v>
      </c>
      <c r="AZ133" s="8">
        <v>1.25</v>
      </c>
      <c r="BA133" s="8">
        <v>0.19293100787158513</v>
      </c>
      <c r="BB133" s="3">
        <v>0</v>
      </c>
    </row>
    <row r="134" spans="1:54" x14ac:dyDescent="0.25">
      <c r="A134" t="s">
        <v>254</v>
      </c>
      <c r="B134" s="2">
        <v>6479000</v>
      </c>
      <c r="C134" t="s">
        <v>65</v>
      </c>
      <c r="D134">
        <v>35</v>
      </c>
      <c r="E134" t="s">
        <v>68</v>
      </c>
      <c r="F134">
        <v>46</v>
      </c>
      <c r="G134">
        <v>0</v>
      </c>
      <c r="H134">
        <v>22.7</v>
      </c>
      <c r="I134">
        <v>2.2999999999999998</v>
      </c>
      <c r="J134">
        <v>5.4</v>
      </c>
      <c r="K134">
        <v>0.435</v>
      </c>
      <c r="L134">
        <v>1.8</v>
      </c>
      <c r="M134">
        <v>4.4000000000000004</v>
      </c>
      <c r="N134">
        <v>0.40899999999999997</v>
      </c>
      <c r="O134">
        <v>0.5</v>
      </c>
      <c r="P134">
        <v>1</v>
      </c>
      <c r="Q134">
        <v>0.55600000000000005</v>
      </c>
      <c r="R134">
        <v>0.60299999999999998</v>
      </c>
      <c r="S134">
        <v>0.4</v>
      </c>
      <c r="T134">
        <v>0.5</v>
      </c>
      <c r="U134">
        <v>0.85699999999999998</v>
      </c>
      <c r="V134">
        <v>0.3</v>
      </c>
      <c r="W134">
        <v>2.5</v>
      </c>
      <c r="X134">
        <v>2.8</v>
      </c>
      <c r="Y134">
        <v>3.3</v>
      </c>
      <c r="Z134">
        <v>0.7</v>
      </c>
      <c r="AA134">
        <v>0.1</v>
      </c>
      <c r="AB134">
        <v>1.2</v>
      </c>
      <c r="AC134">
        <v>1.6</v>
      </c>
      <c r="AD134">
        <v>6.9</v>
      </c>
      <c r="AE134">
        <v>1044</v>
      </c>
      <c r="AF134">
        <v>10.7</v>
      </c>
      <c r="AG134">
        <v>0.61599999999999999</v>
      </c>
      <c r="AH134">
        <v>0.81899999999999995</v>
      </c>
      <c r="AI134">
        <v>8.5000000000000006E-2</v>
      </c>
      <c r="AJ134">
        <v>1.4</v>
      </c>
      <c r="AK134">
        <v>11.1</v>
      </c>
      <c r="AL134">
        <v>6.4</v>
      </c>
      <c r="AM134">
        <v>18.399999999999999</v>
      </c>
      <c r="AN134">
        <v>1.5</v>
      </c>
      <c r="AO134">
        <v>0.5</v>
      </c>
      <c r="AP134">
        <v>17.600000000000001</v>
      </c>
      <c r="AQ134">
        <v>12.6</v>
      </c>
      <c r="AR134">
        <v>1.1000000000000001</v>
      </c>
      <c r="AS134">
        <v>1.2</v>
      </c>
      <c r="AT134">
        <v>2.2999999999999998</v>
      </c>
      <c r="AU134">
        <v>0.107</v>
      </c>
      <c r="AV134">
        <v>-1.6</v>
      </c>
      <c r="AW134">
        <v>0.8</v>
      </c>
      <c r="AX134">
        <v>-0.7</v>
      </c>
      <c r="AY134">
        <v>0.3</v>
      </c>
      <c r="AZ134" s="8">
        <v>0.79999999999999993</v>
      </c>
      <c r="BA134" s="8">
        <v>0.12347584503781446</v>
      </c>
      <c r="BB134" s="3">
        <v>0</v>
      </c>
    </row>
    <row r="135" spans="1:54" x14ac:dyDescent="0.25">
      <c r="A135" t="s">
        <v>255</v>
      </c>
      <c r="B135" s="2">
        <v>6395160</v>
      </c>
      <c r="C135" t="s">
        <v>75</v>
      </c>
      <c r="D135">
        <v>22</v>
      </c>
      <c r="E135" t="s">
        <v>85</v>
      </c>
      <c r="F135">
        <v>80</v>
      </c>
      <c r="G135">
        <v>18</v>
      </c>
      <c r="H135">
        <v>23.1</v>
      </c>
      <c r="I135">
        <v>4</v>
      </c>
      <c r="J135">
        <v>6.2</v>
      </c>
      <c r="K135">
        <v>0.63800000000000001</v>
      </c>
      <c r="L135">
        <v>0.1</v>
      </c>
      <c r="M135">
        <v>0.2</v>
      </c>
      <c r="N135">
        <v>0.308</v>
      </c>
      <c r="O135">
        <v>3.9</v>
      </c>
      <c r="P135">
        <v>6.1</v>
      </c>
      <c r="Q135">
        <v>0.64700000000000002</v>
      </c>
      <c r="R135">
        <v>0.64200000000000002</v>
      </c>
      <c r="S135">
        <v>1.9</v>
      </c>
      <c r="T135">
        <v>2.5</v>
      </c>
      <c r="U135">
        <v>0.78100000000000003</v>
      </c>
      <c r="V135">
        <v>2.7</v>
      </c>
      <c r="W135">
        <v>4.5</v>
      </c>
      <c r="X135">
        <v>7.2</v>
      </c>
      <c r="Y135">
        <v>1</v>
      </c>
      <c r="Z135">
        <v>0.7</v>
      </c>
      <c r="AA135">
        <v>1.3</v>
      </c>
      <c r="AB135">
        <v>1</v>
      </c>
      <c r="AC135">
        <v>3.1</v>
      </c>
      <c r="AD135">
        <v>9.9</v>
      </c>
      <c r="AE135">
        <v>1849</v>
      </c>
      <c r="AF135">
        <v>19.399999999999999</v>
      </c>
      <c r="AG135">
        <v>0.67800000000000005</v>
      </c>
      <c r="AH135">
        <v>2.5999999999999999E-2</v>
      </c>
      <c r="AI135">
        <v>0.39400000000000002</v>
      </c>
      <c r="AJ135">
        <v>12.7</v>
      </c>
      <c r="AK135">
        <v>21.5</v>
      </c>
      <c r="AL135">
        <v>17</v>
      </c>
      <c r="AM135">
        <v>5.8</v>
      </c>
      <c r="AN135">
        <v>1.4</v>
      </c>
      <c r="AO135">
        <v>4.9000000000000004</v>
      </c>
      <c r="AP135">
        <v>12.2</v>
      </c>
      <c r="AQ135">
        <v>15.1</v>
      </c>
      <c r="AR135">
        <v>4.7</v>
      </c>
      <c r="AS135">
        <v>2.4</v>
      </c>
      <c r="AT135">
        <v>7.1</v>
      </c>
      <c r="AU135">
        <v>0.185</v>
      </c>
      <c r="AV135">
        <v>0</v>
      </c>
      <c r="AW135">
        <v>0.8</v>
      </c>
      <c r="AX135">
        <v>0.8</v>
      </c>
      <c r="AY135">
        <v>1.3</v>
      </c>
      <c r="AZ135" s="8">
        <v>3.9499999999999997</v>
      </c>
      <c r="BA135" s="8">
        <v>0.61765460129222716</v>
      </c>
      <c r="BB135" s="3">
        <v>0</v>
      </c>
    </row>
    <row r="136" spans="1:54" x14ac:dyDescent="0.25">
      <c r="A136" t="s">
        <v>256</v>
      </c>
      <c r="B136" s="2">
        <v>6287400</v>
      </c>
      <c r="C136" t="s">
        <v>28</v>
      </c>
      <c r="D136">
        <v>20</v>
      </c>
      <c r="E136" t="s">
        <v>109</v>
      </c>
      <c r="F136">
        <v>76</v>
      </c>
      <c r="G136">
        <v>76</v>
      </c>
      <c r="H136">
        <v>31.1</v>
      </c>
      <c r="I136">
        <v>7.1</v>
      </c>
      <c r="J136">
        <v>14.7</v>
      </c>
      <c r="K136">
        <v>0.48199999999999998</v>
      </c>
      <c r="L136">
        <v>1</v>
      </c>
      <c r="M136">
        <v>3.1</v>
      </c>
      <c r="N136">
        <v>0.32500000000000001</v>
      </c>
      <c r="O136">
        <v>6.1</v>
      </c>
      <c r="P136">
        <v>11.6</v>
      </c>
      <c r="Q136">
        <v>0.52400000000000002</v>
      </c>
      <c r="R136">
        <v>0.51600000000000001</v>
      </c>
      <c r="S136">
        <v>1.4</v>
      </c>
      <c r="T136">
        <v>1.9</v>
      </c>
      <c r="U136">
        <v>0.73099999999999998</v>
      </c>
      <c r="V136">
        <v>1.9</v>
      </c>
      <c r="W136">
        <v>5.9</v>
      </c>
      <c r="X136">
        <v>7.9</v>
      </c>
      <c r="Y136">
        <v>6.2</v>
      </c>
      <c r="Z136">
        <v>0.8</v>
      </c>
      <c r="AA136">
        <v>0.4</v>
      </c>
      <c r="AB136">
        <v>2.8</v>
      </c>
      <c r="AC136">
        <v>1.9</v>
      </c>
      <c r="AD136">
        <v>16.600000000000001</v>
      </c>
      <c r="AE136">
        <v>2367</v>
      </c>
      <c r="AF136">
        <v>17.100000000000001</v>
      </c>
      <c r="AG136">
        <v>0.53300000000000003</v>
      </c>
      <c r="AH136">
        <v>0.20899999999999999</v>
      </c>
      <c r="AI136">
        <v>0.13</v>
      </c>
      <c r="AJ136">
        <v>6.6</v>
      </c>
      <c r="AK136">
        <v>20.9</v>
      </c>
      <c r="AL136">
        <v>13.6</v>
      </c>
      <c r="AM136">
        <v>29.9</v>
      </c>
      <c r="AN136">
        <v>1.1000000000000001</v>
      </c>
      <c r="AO136">
        <v>1.2</v>
      </c>
      <c r="AP136">
        <v>15.1</v>
      </c>
      <c r="AQ136">
        <v>24.6</v>
      </c>
      <c r="AR136">
        <v>1.3</v>
      </c>
      <c r="AS136">
        <v>2.7</v>
      </c>
      <c r="AT136">
        <v>4</v>
      </c>
      <c r="AU136">
        <v>8.1000000000000003E-2</v>
      </c>
      <c r="AV136">
        <v>1.5</v>
      </c>
      <c r="AW136">
        <v>-0.3</v>
      </c>
      <c r="AX136">
        <v>1.2</v>
      </c>
      <c r="AY136">
        <v>1.9</v>
      </c>
      <c r="AZ136" s="8">
        <v>2.6</v>
      </c>
      <c r="BA136" s="8">
        <v>0.413525463625664</v>
      </c>
      <c r="BB136" s="3">
        <v>0</v>
      </c>
    </row>
    <row r="137" spans="1:54" x14ac:dyDescent="0.25">
      <c r="A137" t="s">
        <v>259</v>
      </c>
      <c r="B137" s="2">
        <v>6025000</v>
      </c>
      <c r="C137" t="s">
        <v>52</v>
      </c>
      <c r="D137">
        <v>27</v>
      </c>
      <c r="E137" t="s">
        <v>68</v>
      </c>
      <c r="F137">
        <v>81</v>
      </c>
      <c r="G137">
        <v>39</v>
      </c>
      <c r="H137">
        <v>22.3</v>
      </c>
      <c r="I137">
        <v>3</v>
      </c>
      <c r="J137">
        <v>7</v>
      </c>
      <c r="K137">
        <v>0.42299999999999999</v>
      </c>
      <c r="L137">
        <v>1.8</v>
      </c>
      <c r="M137">
        <v>4.2</v>
      </c>
      <c r="N137">
        <v>0.42099999999999999</v>
      </c>
      <c r="O137">
        <v>1.2</v>
      </c>
      <c r="P137">
        <v>2.8</v>
      </c>
      <c r="Q137">
        <v>0.42499999999999999</v>
      </c>
      <c r="R137">
        <v>0.54900000000000004</v>
      </c>
      <c r="S137">
        <v>0.4</v>
      </c>
      <c r="T137">
        <v>0.5</v>
      </c>
      <c r="U137">
        <v>0.81599999999999995</v>
      </c>
      <c r="V137">
        <v>0.4</v>
      </c>
      <c r="W137">
        <v>2.1</v>
      </c>
      <c r="X137">
        <v>2.5</v>
      </c>
      <c r="Y137">
        <v>2.4</v>
      </c>
      <c r="Z137">
        <v>0.8</v>
      </c>
      <c r="AA137">
        <v>0.4</v>
      </c>
      <c r="AB137">
        <v>1</v>
      </c>
      <c r="AC137">
        <v>2</v>
      </c>
      <c r="AD137">
        <v>8</v>
      </c>
      <c r="AE137">
        <v>1810</v>
      </c>
      <c r="AF137">
        <v>10.9</v>
      </c>
      <c r="AG137">
        <v>0.56000000000000005</v>
      </c>
      <c r="AH137">
        <v>0.59599999999999997</v>
      </c>
      <c r="AI137">
        <v>6.7000000000000004E-2</v>
      </c>
      <c r="AJ137">
        <v>2.1</v>
      </c>
      <c r="AK137">
        <v>9.3000000000000007</v>
      </c>
      <c r="AL137">
        <v>5.8</v>
      </c>
      <c r="AM137">
        <v>14.5</v>
      </c>
      <c r="AN137">
        <v>1.7</v>
      </c>
      <c r="AO137">
        <v>1.3</v>
      </c>
      <c r="AP137">
        <v>11.8</v>
      </c>
      <c r="AQ137">
        <v>15.3</v>
      </c>
      <c r="AR137">
        <v>1.2</v>
      </c>
      <c r="AS137">
        <v>2.2999999999999998</v>
      </c>
      <c r="AT137">
        <v>3.5</v>
      </c>
      <c r="AU137">
        <v>9.1999999999999998E-2</v>
      </c>
      <c r="AV137">
        <v>-1.9</v>
      </c>
      <c r="AW137">
        <v>1.2</v>
      </c>
      <c r="AX137">
        <v>-0.6</v>
      </c>
      <c r="AY137">
        <v>0.6</v>
      </c>
      <c r="AZ137" s="8">
        <v>1.45</v>
      </c>
      <c r="BA137" s="8">
        <v>0.24066390041493776</v>
      </c>
      <c r="BB137" s="3">
        <v>0</v>
      </c>
    </row>
    <row r="138" spans="1:54" x14ac:dyDescent="0.25">
      <c r="A138" t="s">
        <v>264</v>
      </c>
      <c r="B138" s="2">
        <v>5887899</v>
      </c>
      <c r="C138" t="s">
        <v>28</v>
      </c>
      <c r="D138">
        <v>26</v>
      </c>
      <c r="E138" t="s">
        <v>60</v>
      </c>
      <c r="F138">
        <v>42</v>
      </c>
      <c r="G138">
        <v>41</v>
      </c>
      <c r="H138">
        <v>28.5</v>
      </c>
      <c r="I138">
        <v>5.3</v>
      </c>
      <c r="J138">
        <v>11.3</v>
      </c>
      <c r="K138">
        <v>0.47</v>
      </c>
      <c r="L138">
        <v>2.5</v>
      </c>
      <c r="M138">
        <v>6.1</v>
      </c>
      <c r="N138">
        <v>0.40400000000000003</v>
      </c>
      <c r="O138">
        <v>2.9</v>
      </c>
      <c r="P138">
        <v>5.2</v>
      </c>
      <c r="Q138">
        <v>0.54800000000000004</v>
      </c>
      <c r="R138">
        <v>0.57899999999999996</v>
      </c>
      <c r="S138">
        <v>2.4</v>
      </c>
      <c r="T138">
        <v>2.9</v>
      </c>
      <c r="U138">
        <v>0.84199999999999997</v>
      </c>
      <c r="V138">
        <v>0.8</v>
      </c>
      <c r="W138">
        <v>3.6</v>
      </c>
      <c r="X138">
        <v>4.4000000000000004</v>
      </c>
      <c r="Y138">
        <v>1.9</v>
      </c>
      <c r="Z138">
        <v>1.2</v>
      </c>
      <c r="AA138">
        <v>0.3</v>
      </c>
      <c r="AB138">
        <v>0.9</v>
      </c>
      <c r="AC138">
        <v>2</v>
      </c>
      <c r="AD138">
        <v>15.5</v>
      </c>
      <c r="AE138">
        <v>1199</v>
      </c>
      <c r="AF138">
        <v>17.100000000000001</v>
      </c>
      <c r="AG138">
        <v>0.61699999999999999</v>
      </c>
      <c r="AH138">
        <v>0.53800000000000003</v>
      </c>
      <c r="AI138">
        <v>0.253</v>
      </c>
      <c r="AJ138">
        <v>3.2</v>
      </c>
      <c r="AK138">
        <v>14</v>
      </c>
      <c r="AL138">
        <v>8.6</v>
      </c>
      <c r="AM138">
        <v>9.6</v>
      </c>
      <c r="AN138">
        <v>2</v>
      </c>
      <c r="AO138">
        <v>1</v>
      </c>
      <c r="AP138">
        <v>6.6</v>
      </c>
      <c r="AQ138">
        <v>20.6</v>
      </c>
      <c r="AR138">
        <v>2.1</v>
      </c>
      <c r="AS138">
        <v>1.4</v>
      </c>
      <c r="AT138">
        <v>3.5</v>
      </c>
      <c r="AU138">
        <v>0.14199999999999999</v>
      </c>
      <c r="AV138">
        <v>2</v>
      </c>
      <c r="AW138">
        <v>0.6</v>
      </c>
      <c r="AX138">
        <v>2.6</v>
      </c>
      <c r="AY138">
        <v>1.4</v>
      </c>
      <c r="AZ138" s="8">
        <v>3.05</v>
      </c>
      <c r="BA138" s="8">
        <v>0.5180116031202302</v>
      </c>
      <c r="BB138" s="3">
        <v>0</v>
      </c>
    </row>
    <row r="139" spans="1:54" x14ac:dyDescent="0.25">
      <c r="A139" t="s">
        <v>267</v>
      </c>
      <c r="B139" s="2">
        <v>5739840</v>
      </c>
      <c r="C139" t="s">
        <v>28</v>
      </c>
      <c r="D139">
        <v>20</v>
      </c>
      <c r="E139" t="s">
        <v>53</v>
      </c>
      <c r="F139">
        <v>67</v>
      </c>
      <c r="G139">
        <v>16</v>
      </c>
      <c r="H139">
        <v>20.8</v>
      </c>
      <c r="I139">
        <v>3.9</v>
      </c>
      <c r="J139">
        <v>7.4</v>
      </c>
      <c r="K139">
        <v>0.52500000000000002</v>
      </c>
      <c r="L139">
        <v>0.8</v>
      </c>
      <c r="M139">
        <v>2.2000000000000002</v>
      </c>
      <c r="N139">
        <v>0.37</v>
      </c>
      <c r="O139">
        <v>3.1</v>
      </c>
      <c r="P139">
        <v>5.2</v>
      </c>
      <c r="Q139">
        <v>0.59</v>
      </c>
      <c r="R139">
        <v>0.57899999999999996</v>
      </c>
      <c r="S139">
        <v>1.3</v>
      </c>
      <c r="T139">
        <v>2.1</v>
      </c>
      <c r="U139">
        <v>0.65200000000000002</v>
      </c>
      <c r="V139">
        <v>1</v>
      </c>
      <c r="W139">
        <v>2.4</v>
      </c>
      <c r="X139">
        <v>3.4</v>
      </c>
      <c r="Y139">
        <v>1.9</v>
      </c>
      <c r="Z139">
        <v>0.6</v>
      </c>
      <c r="AA139">
        <v>0.5</v>
      </c>
      <c r="AB139">
        <v>1.4</v>
      </c>
      <c r="AC139">
        <v>2.2999999999999998</v>
      </c>
      <c r="AD139">
        <v>9.9</v>
      </c>
      <c r="AE139">
        <v>1394</v>
      </c>
      <c r="AF139">
        <v>13.3</v>
      </c>
      <c r="AG139">
        <v>0.59699999999999998</v>
      </c>
      <c r="AH139">
        <v>0.29399999999999998</v>
      </c>
      <c r="AI139">
        <v>0.27800000000000002</v>
      </c>
      <c r="AJ139">
        <v>5.6</v>
      </c>
      <c r="AK139">
        <v>12.5</v>
      </c>
      <c r="AL139">
        <v>9.1</v>
      </c>
      <c r="AM139">
        <v>12.7</v>
      </c>
      <c r="AN139">
        <v>1.4</v>
      </c>
      <c r="AO139">
        <v>2</v>
      </c>
      <c r="AP139">
        <v>14.6</v>
      </c>
      <c r="AQ139">
        <v>19.600000000000001</v>
      </c>
      <c r="AR139">
        <v>1</v>
      </c>
      <c r="AS139">
        <v>1.4</v>
      </c>
      <c r="AT139">
        <v>2.4</v>
      </c>
      <c r="AU139">
        <v>8.4000000000000005E-2</v>
      </c>
      <c r="AV139">
        <v>-1.7</v>
      </c>
      <c r="AW139">
        <v>-0.1</v>
      </c>
      <c r="AX139">
        <v>-1.7</v>
      </c>
      <c r="AY139">
        <v>0.1</v>
      </c>
      <c r="AZ139" s="8">
        <v>0.35</v>
      </c>
      <c r="BA139" s="8">
        <v>6.0977309472041032E-2</v>
      </c>
      <c r="BB139" s="3">
        <v>0</v>
      </c>
    </row>
    <row r="140" spans="1:54" x14ac:dyDescent="0.25">
      <c r="A140" t="s">
        <v>268</v>
      </c>
      <c r="B140" s="2">
        <v>5728393</v>
      </c>
      <c r="C140" t="s">
        <v>65</v>
      </c>
      <c r="D140">
        <v>30</v>
      </c>
      <c r="E140" t="s">
        <v>68</v>
      </c>
      <c r="F140">
        <v>61</v>
      </c>
      <c r="G140">
        <v>33</v>
      </c>
      <c r="H140">
        <v>23.7</v>
      </c>
      <c r="I140">
        <v>2.7</v>
      </c>
      <c r="J140">
        <v>6.9</v>
      </c>
      <c r="K140">
        <v>0.39200000000000002</v>
      </c>
      <c r="L140">
        <v>1.8</v>
      </c>
      <c r="M140">
        <v>5.3</v>
      </c>
      <c r="N140">
        <v>0.33900000000000002</v>
      </c>
      <c r="O140">
        <v>0.9</v>
      </c>
      <c r="P140">
        <v>1.6</v>
      </c>
      <c r="Q140">
        <v>0.56599999999999995</v>
      </c>
      <c r="R140">
        <v>0.52100000000000002</v>
      </c>
      <c r="S140">
        <v>0.4</v>
      </c>
      <c r="T140">
        <v>0.7</v>
      </c>
      <c r="U140">
        <v>0.65900000000000003</v>
      </c>
      <c r="V140">
        <v>0.8</v>
      </c>
      <c r="W140">
        <v>3.8</v>
      </c>
      <c r="X140">
        <v>4.5999999999999996</v>
      </c>
      <c r="Y140">
        <v>1.3</v>
      </c>
      <c r="Z140">
        <v>0.6</v>
      </c>
      <c r="AA140">
        <v>0.2</v>
      </c>
      <c r="AB140">
        <v>0.5</v>
      </c>
      <c r="AC140">
        <v>1.1000000000000001</v>
      </c>
      <c r="AD140">
        <v>7.6</v>
      </c>
      <c r="AE140">
        <v>1443</v>
      </c>
      <c r="AF140">
        <v>10</v>
      </c>
      <c r="AG140">
        <v>0.53100000000000003</v>
      </c>
      <c r="AH140">
        <v>0.76500000000000001</v>
      </c>
      <c r="AI140">
        <v>9.7000000000000003E-2</v>
      </c>
      <c r="AJ140">
        <v>3.8</v>
      </c>
      <c r="AK140">
        <v>16.2</v>
      </c>
      <c r="AL140">
        <v>10.199999999999999</v>
      </c>
      <c r="AM140">
        <v>6.9</v>
      </c>
      <c r="AN140">
        <v>1.2</v>
      </c>
      <c r="AO140">
        <v>0.6</v>
      </c>
      <c r="AP140">
        <v>7</v>
      </c>
      <c r="AQ140">
        <v>13.8</v>
      </c>
      <c r="AR140">
        <v>0.7</v>
      </c>
      <c r="AS140">
        <v>1.8</v>
      </c>
      <c r="AT140">
        <v>2.5</v>
      </c>
      <c r="AU140">
        <v>8.5000000000000006E-2</v>
      </c>
      <c r="AV140">
        <v>-1.3</v>
      </c>
      <c r="AW140">
        <v>0.3</v>
      </c>
      <c r="AX140">
        <v>-1</v>
      </c>
      <c r="AY140">
        <v>0.3</v>
      </c>
      <c r="AZ140" s="8">
        <v>0.75</v>
      </c>
      <c r="BA140" s="8">
        <v>0.1309267712602819</v>
      </c>
      <c r="BB140" s="3">
        <v>0</v>
      </c>
    </row>
    <row r="141" spans="1:54" x14ac:dyDescent="0.25">
      <c r="A141" t="s">
        <v>269</v>
      </c>
      <c r="B141" s="2">
        <v>5722116</v>
      </c>
      <c r="C141" t="s">
        <v>62</v>
      </c>
      <c r="D141">
        <v>23</v>
      </c>
      <c r="E141" t="s">
        <v>80</v>
      </c>
      <c r="F141">
        <v>67</v>
      </c>
      <c r="G141">
        <v>67</v>
      </c>
      <c r="H141">
        <v>34.9</v>
      </c>
      <c r="I141">
        <v>7.3</v>
      </c>
      <c r="J141">
        <v>16.600000000000001</v>
      </c>
      <c r="K141">
        <v>0.439</v>
      </c>
      <c r="L141">
        <v>3</v>
      </c>
      <c r="M141">
        <v>8</v>
      </c>
      <c r="N141">
        <v>0.378</v>
      </c>
      <c r="O141">
        <v>4.2</v>
      </c>
      <c r="P141">
        <v>8.5</v>
      </c>
      <c r="Q141">
        <v>0.497</v>
      </c>
      <c r="R141">
        <v>0.53100000000000003</v>
      </c>
      <c r="S141">
        <v>2.5</v>
      </c>
      <c r="T141">
        <v>2.7</v>
      </c>
      <c r="U141">
        <v>0.93400000000000005</v>
      </c>
      <c r="V141">
        <v>0.4</v>
      </c>
      <c r="W141">
        <v>5</v>
      </c>
      <c r="X141">
        <v>5.4</v>
      </c>
      <c r="Y141">
        <v>4.2</v>
      </c>
      <c r="Z141">
        <v>0.8</v>
      </c>
      <c r="AA141">
        <v>0.2</v>
      </c>
      <c r="AB141">
        <v>2.4</v>
      </c>
      <c r="AC141">
        <v>1.5</v>
      </c>
      <c r="AD141">
        <v>20.100000000000001</v>
      </c>
      <c r="AE141">
        <v>2337</v>
      </c>
      <c r="AF141">
        <v>15.3</v>
      </c>
      <c r="AG141">
        <v>0.56599999999999995</v>
      </c>
      <c r="AH141">
        <v>0.48399999999999999</v>
      </c>
      <c r="AI141">
        <v>0.16400000000000001</v>
      </c>
      <c r="AJ141">
        <v>1.3</v>
      </c>
      <c r="AK141">
        <v>17.3</v>
      </c>
      <c r="AL141">
        <v>9</v>
      </c>
      <c r="AM141">
        <v>19.899999999999999</v>
      </c>
      <c r="AN141">
        <v>1.1000000000000001</v>
      </c>
      <c r="AO141">
        <v>0.7</v>
      </c>
      <c r="AP141">
        <v>11.7</v>
      </c>
      <c r="AQ141">
        <v>25.6</v>
      </c>
      <c r="AR141">
        <v>1.1000000000000001</v>
      </c>
      <c r="AS141">
        <v>2.4</v>
      </c>
      <c r="AT141">
        <v>3.5</v>
      </c>
      <c r="AU141">
        <v>7.1999999999999995E-2</v>
      </c>
      <c r="AV141">
        <v>1.5</v>
      </c>
      <c r="AW141">
        <v>-0.8</v>
      </c>
      <c r="AX141">
        <v>0.6</v>
      </c>
      <c r="AY141">
        <v>1.6</v>
      </c>
      <c r="AZ141" s="8">
        <v>2.0499999999999998</v>
      </c>
      <c r="BA141" s="8">
        <v>0.35825907758598391</v>
      </c>
      <c r="BB141" s="3">
        <v>0</v>
      </c>
    </row>
    <row r="142" spans="1:54" x14ac:dyDescent="0.25">
      <c r="A142" t="s">
        <v>274</v>
      </c>
      <c r="B142" s="2">
        <v>5348280</v>
      </c>
      <c r="C142" t="s">
        <v>28</v>
      </c>
      <c r="D142">
        <v>24</v>
      </c>
      <c r="E142" t="s">
        <v>123</v>
      </c>
      <c r="F142">
        <v>67</v>
      </c>
      <c r="G142">
        <v>5</v>
      </c>
      <c r="H142">
        <v>15.7</v>
      </c>
      <c r="I142">
        <v>2.8</v>
      </c>
      <c r="J142">
        <v>6.3</v>
      </c>
      <c r="K142">
        <v>0.44600000000000001</v>
      </c>
      <c r="L142">
        <v>1.3</v>
      </c>
      <c r="M142">
        <v>3.7</v>
      </c>
      <c r="N142">
        <v>0.34399999999999997</v>
      </c>
      <c r="O142">
        <v>1.5</v>
      </c>
      <c r="P142">
        <v>2.6</v>
      </c>
      <c r="Q142">
        <v>0.59299999999999997</v>
      </c>
      <c r="R142">
        <v>0.54800000000000004</v>
      </c>
      <c r="S142">
        <v>0.6</v>
      </c>
      <c r="T142">
        <v>0.7</v>
      </c>
      <c r="U142">
        <v>0.80900000000000005</v>
      </c>
      <c r="V142">
        <v>0.4</v>
      </c>
      <c r="W142">
        <v>2.4</v>
      </c>
      <c r="X142">
        <v>2.8</v>
      </c>
      <c r="Y142">
        <v>1</v>
      </c>
      <c r="Z142">
        <v>0.3</v>
      </c>
      <c r="AA142">
        <v>0.2</v>
      </c>
      <c r="AB142">
        <v>0.6</v>
      </c>
      <c r="AC142">
        <v>1</v>
      </c>
      <c r="AD142">
        <v>7.4</v>
      </c>
      <c r="AE142">
        <v>1050</v>
      </c>
      <c r="AF142">
        <v>13.6</v>
      </c>
      <c r="AG142">
        <v>0.56499999999999995</v>
      </c>
      <c r="AH142">
        <v>0.58899999999999997</v>
      </c>
      <c r="AI142">
        <v>0.112</v>
      </c>
      <c r="AJ142">
        <v>3</v>
      </c>
      <c r="AK142">
        <v>16.600000000000001</v>
      </c>
      <c r="AL142">
        <v>9.8000000000000007</v>
      </c>
      <c r="AM142">
        <v>9.1999999999999993</v>
      </c>
      <c r="AN142">
        <v>1.1000000000000001</v>
      </c>
      <c r="AO142">
        <v>1.1000000000000001</v>
      </c>
      <c r="AP142">
        <v>8</v>
      </c>
      <c r="AQ142">
        <v>19.5</v>
      </c>
      <c r="AR142">
        <v>1.1000000000000001</v>
      </c>
      <c r="AS142">
        <v>1</v>
      </c>
      <c r="AT142">
        <v>2.1</v>
      </c>
      <c r="AU142">
        <v>9.5000000000000001E-2</v>
      </c>
      <c r="AV142">
        <v>0.3</v>
      </c>
      <c r="AW142">
        <v>-0.8</v>
      </c>
      <c r="AX142">
        <v>-0.5</v>
      </c>
      <c r="AY142">
        <v>0.4</v>
      </c>
      <c r="AZ142" s="8">
        <v>0.8</v>
      </c>
      <c r="BA142" s="8">
        <v>0.14958079980853659</v>
      </c>
      <c r="BB142" s="3">
        <v>0</v>
      </c>
    </row>
    <row r="143" spans="1:54" x14ac:dyDescent="0.25">
      <c r="A143" t="s">
        <v>278</v>
      </c>
      <c r="B143" s="2">
        <v>5155500</v>
      </c>
      <c r="C143" t="s">
        <v>52</v>
      </c>
      <c r="D143">
        <v>31</v>
      </c>
      <c r="E143" t="s">
        <v>201</v>
      </c>
      <c r="F143">
        <v>62</v>
      </c>
      <c r="G143">
        <v>2</v>
      </c>
      <c r="H143">
        <v>19.8</v>
      </c>
      <c r="I143">
        <v>2.4</v>
      </c>
      <c r="J143">
        <v>5.7</v>
      </c>
      <c r="K143">
        <v>0.42699999999999999</v>
      </c>
      <c r="L143">
        <v>1.1000000000000001</v>
      </c>
      <c r="M143">
        <v>2.9</v>
      </c>
      <c r="N143">
        <v>0.38900000000000001</v>
      </c>
      <c r="O143">
        <v>1.3</v>
      </c>
      <c r="P143">
        <v>2.8</v>
      </c>
      <c r="Q143">
        <v>0.46800000000000003</v>
      </c>
      <c r="R143">
        <v>0.52700000000000002</v>
      </c>
      <c r="S143">
        <v>0.9</v>
      </c>
      <c r="T143">
        <v>1.2</v>
      </c>
      <c r="U143">
        <v>0.79200000000000004</v>
      </c>
      <c r="V143">
        <v>0.3</v>
      </c>
      <c r="W143">
        <v>1.4</v>
      </c>
      <c r="X143">
        <v>1.7</v>
      </c>
      <c r="Y143">
        <v>3.5</v>
      </c>
      <c r="Z143">
        <v>0.5</v>
      </c>
      <c r="AA143">
        <v>0.1</v>
      </c>
      <c r="AB143">
        <v>0.9</v>
      </c>
      <c r="AC143">
        <v>1.4</v>
      </c>
      <c r="AD143">
        <v>6.9</v>
      </c>
      <c r="AE143">
        <v>1227</v>
      </c>
      <c r="AF143">
        <v>12.1</v>
      </c>
      <c r="AG143">
        <v>0.55800000000000005</v>
      </c>
      <c r="AH143">
        <v>0.51300000000000001</v>
      </c>
      <c r="AI143">
        <v>0.20499999999999999</v>
      </c>
      <c r="AJ143">
        <v>1.8</v>
      </c>
      <c r="AK143">
        <v>7.9</v>
      </c>
      <c r="AL143">
        <v>4.8</v>
      </c>
      <c r="AM143">
        <v>25.4</v>
      </c>
      <c r="AN143">
        <v>1.3</v>
      </c>
      <c r="AO143">
        <v>0.6</v>
      </c>
      <c r="AP143">
        <v>12.8</v>
      </c>
      <c r="AQ143">
        <v>15.2</v>
      </c>
      <c r="AR143">
        <v>1.5</v>
      </c>
      <c r="AS143">
        <v>0.3</v>
      </c>
      <c r="AT143">
        <v>1.8</v>
      </c>
      <c r="AU143">
        <v>7.0000000000000007E-2</v>
      </c>
      <c r="AV143">
        <v>-0.7</v>
      </c>
      <c r="AW143">
        <v>-0.8</v>
      </c>
      <c r="AX143">
        <v>-1.5</v>
      </c>
      <c r="AY143">
        <v>0.2</v>
      </c>
      <c r="AZ143" s="8">
        <v>0.15000000000000002</v>
      </c>
      <c r="BA143" s="8">
        <v>2.9095141111434394E-2</v>
      </c>
      <c r="BB143" s="3">
        <v>0</v>
      </c>
    </row>
    <row r="144" spans="1:54" x14ac:dyDescent="0.25">
      <c r="A144" t="s">
        <v>280</v>
      </c>
      <c r="B144" s="2">
        <v>5121951</v>
      </c>
      <c r="C144" t="s">
        <v>28</v>
      </c>
      <c r="D144">
        <v>32</v>
      </c>
      <c r="E144" t="s">
        <v>60</v>
      </c>
      <c r="F144">
        <v>79</v>
      </c>
      <c r="G144">
        <v>60</v>
      </c>
      <c r="H144">
        <v>24.7</v>
      </c>
      <c r="I144">
        <v>2.9</v>
      </c>
      <c r="J144">
        <v>6.3</v>
      </c>
      <c r="K144">
        <v>0.45600000000000002</v>
      </c>
      <c r="L144">
        <v>1.3</v>
      </c>
      <c r="M144">
        <v>3.2</v>
      </c>
      <c r="N144">
        <v>0.39500000000000002</v>
      </c>
      <c r="O144">
        <v>1.6</v>
      </c>
      <c r="P144">
        <v>3.1</v>
      </c>
      <c r="Q144">
        <v>0.51800000000000002</v>
      </c>
      <c r="R144">
        <v>0.55600000000000005</v>
      </c>
      <c r="S144">
        <v>0.4</v>
      </c>
      <c r="T144">
        <v>0.6</v>
      </c>
      <c r="U144">
        <v>0.71099999999999997</v>
      </c>
      <c r="V144">
        <v>1.8</v>
      </c>
      <c r="W144">
        <v>3.6</v>
      </c>
      <c r="X144">
        <v>5.4</v>
      </c>
      <c r="Y144">
        <v>1.5</v>
      </c>
      <c r="Z144">
        <v>0.6</v>
      </c>
      <c r="AA144">
        <v>0.8</v>
      </c>
      <c r="AB144">
        <v>0.9</v>
      </c>
      <c r="AC144">
        <v>2.2999999999999998</v>
      </c>
      <c r="AD144">
        <v>7.4</v>
      </c>
      <c r="AE144">
        <v>1948</v>
      </c>
      <c r="AF144">
        <v>11.6</v>
      </c>
      <c r="AG144">
        <v>0.56599999999999995</v>
      </c>
      <c r="AH144">
        <v>0.50600000000000001</v>
      </c>
      <c r="AI144">
        <v>0.09</v>
      </c>
      <c r="AJ144">
        <v>8.1</v>
      </c>
      <c r="AK144">
        <v>16.3</v>
      </c>
      <c r="AL144">
        <v>12.1</v>
      </c>
      <c r="AM144">
        <v>7.9</v>
      </c>
      <c r="AN144">
        <v>1.3</v>
      </c>
      <c r="AO144">
        <v>2.9</v>
      </c>
      <c r="AP144">
        <v>12.3</v>
      </c>
      <c r="AQ144">
        <v>13</v>
      </c>
      <c r="AR144">
        <v>1.5</v>
      </c>
      <c r="AS144">
        <v>2.5</v>
      </c>
      <c r="AT144">
        <v>4</v>
      </c>
      <c r="AU144">
        <v>9.8000000000000004E-2</v>
      </c>
      <c r="AV144">
        <v>-1.3</v>
      </c>
      <c r="AW144">
        <v>0.7</v>
      </c>
      <c r="AX144">
        <v>-0.6</v>
      </c>
      <c r="AY144">
        <v>0.7</v>
      </c>
      <c r="AZ144" s="8">
        <v>1.7</v>
      </c>
      <c r="BA144" s="8">
        <v>0.33190477612925229</v>
      </c>
      <c r="BB144" s="3">
        <v>0</v>
      </c>
    </row>
    <row r="145" spans="1:54" x14ac:dyDescent="0.25">
      <c r="A145" t="s">
        <v>284</v>
      </c>
      <c r="B145" s="2">
        <v>4916160</v>
      </c>
      <c r="C145" t="s">
        <v>65</v>
      </c>
      <c r="D145">
        <v>22</v>
      </c>
      <c r="E145" t="s">
        <v>63</v>
      </c>
      <c r="F145">
        <v>76</v>
      </c>
      <c r="G145">
        <v>40</v>
      </c>
      <c r="H145">
        <v>26.6</v>
      </c>
      <c r="I145">
        <v>3.3</v>
      </c>
      <c r="J145">
        <v>7.6</v>
      </c>
      <c r="K145">
        <v>0.437</v>
      </c>
      <c r="L145">
        <v>0.9</v>
      </c>
      <c r="M145">
        <v>3.1</v>
      </c>
      <c r="N145">
        <v>0.29699999999999999</v>
      </c>
      <c r="O145">
        <v>2.4</v>
      </c>
      <c r="P145">
        <v>4.5999999999999996</v>
      </c>
      <c r="Q145">
        <v>0.53</v>
      </c>
      <c r="R145">
        <v>0.497</v>
      </c>
      <c r="S145">
        <v>1.6</v>
      </c>
      <c r="T145">
        <v>2.2000000000000002</v>
      </c>
      <c r="U145">
        <v>0.73899999999999999</v>
      </c>
      <c r="V145">
        <v>1</v>
      </c>
      <c r="W145">
        <v>5.4</v>
      </c>
      <c r="X145">
        <v>6.4</v>
      </c>
      <c r="Y145">
        <v>2.8</v>
      </c>
      <c r="Z145">
        <v>0.9</v>
      </c>
      <c r="AA145">
        <v>0.4</v>
      </c>
      <c r="AB145">
        <v>1.6</v>
      </c>
      <c r="AC145">
        <v>2.8</v>
      </c>
      <c r="AD145">
        <v>9.1999999999999993</v>
      </c>
      <c r="AE145">
        <v>2020</v>
      </c>
      <c r="AF145">
        <v>11.2</v>
      </c>
      <c r="AG145">
        <v>0.53500000000000003</v>
      </c>
      <c r="AH145">
        <v>0.40100000000000002</v>
      </c>
      <c r="AI145">
        <v>0.28499999999999998</v>
      </c>
      <c r="AJ145">
        <v>4.2</v>
      </c>
      <c r="AK145">
        <v>21.9</v>
      </c>
      <c r="AL145">
        <v>13.4</v>
      </c>
      <c r="AM145">
        <v>13.9</v>
      </c>
      <c r="AN145">
        <v>1.6</v>
      </c>
      <c r="AO145">
        <v>1.2</v>
      </c>
      <c r="AP145">
        <v>15.9</v>
      </c>
      <c r="AQ145">
        <v>16.7</v>
      </c>
      <c r="AR145">
        <v>0</v>
      </c>
      <c r="AS145">
        <v>2.2999999999999998</v>
      </c>
      <c r="AT145">
        <v>2.2999999999999998</v>
      </c>
      <c r="AU145">
        <v>5.3999999999999999E-2</v>
      </c>
      <c r="AV145">
        <v>-2.8</v>
      </c>
      <c r="AW145">
        <v>0.5</v>
      </c>
      <c r="AX145">
        <v>-2.2999999999999998</v>
      </c>
      <c r="AY145">
        <v>-0.1</v>
      </c>
      <c r="AZ145" s="8">
        <v>0</v>
      </c>
      <c r="BA145" s="8">
        <v>0</v>
      </c>
      <c r="BB145" s="3">
        <v>0</v>
      </c>
    </row>
    <row r="146" spans="1:54" x14ac:dyDescent="0.25">
      <c r="A146" t="s">
        <v>288</v>
      </c>
      <c r="B146" s="2">
        <v>4670160</v>
      </c>
      <c r="C146" t="s">
        <v>75</v>
      </c>
      <c r="D146">
        <v>22</v>
      </c>
      <c r="E146" t="s">
        <v>93</v>
      </c>
      <c r="F146">
        <v>68</v>
      </c>
      <c r="G146">
        <v>31</v>
      </c>
      <c r="H146">
        <v>18.8</v>
      </c>
      <c r="I146">
        <v>3.6</v>
      </c>
      <c r="J146">
        <v>7.5</v>
      </c>
      <c r="K146">
        <v>0.47599999999999998</v>
      </c>
      <c r="L146">
        <v>0.8</v>
      </c>
      <c r="M146">
        <v>2.8</v>
      </c>
      <c r="N146">
        <v>0.28299999999999997</v>
      </c>
      <c r="O146">
        <v>2.8</v>
      </c>
      <c r="P146">
        <v>4.7</v>
      </c>
      <c r="Q146">
        <v>0.59299999999999997</v>
      </c>
      <c r="R146">
        <v>0.53</v>
      </c>
      <c r="S146">
        <v>1.5</v>
      </c>
      <c r="T146">
        <v>2</v>
      </c>
      <c r="U146">
        <v>0.75900000000000001</v>
      </c>
      <c r="V146">
        <v>1.9</v>
      </c>
      <c r="W146">
        <v>3.9</v>
      </c>
      <c r="X146">
        <v>5.8</v>
      </c>
      <c r="Y146">
        <v>1</v>
      </c>
      <c r="Z146">
        <v>0.3</v>
      </c>
      <c r="AA146">
        <v>0.9</v>
      </c>
      <c r="AB146">
        <v>1.1000000000000001</v>
      </c>
      <c r="AC146">
        <v>2.2999999999999998</v>
      </c>
      <c r="AD146">
        <v>9.4</v>
      </c>
      <c r="AE146">
        <v>1279</v>
      </c>
      <c r="AF146">
        <v>15.9</v>
      </c>
      <c r="AG146">
        <v>0.56499999999999995</v>
      </c>
      <c r="AH146">
        <v>0.376</v>
      </c>
      <c r="AI146">
        <v>0.27</v>
      </c>
      <c r="AJ146">
        <v>11.2</v>
      </c>
      <c r="AK146">
        <v>22.9</v>
      </c>
      <c r="AL146">
        <v>17.100000000000001</v>
      </c>
      <c r="AM146">
        <v>7.6</v>
      </c>
      <c r="AN146">
        <v>0.8</v>
      </c>
      <c r="AO146">
        <v>4</v>
      </c>
      <c r="AP146">
        <v>11.2</v>
      </c>
      <c r="AQ146">
        <v>21</v>
      </c>
      <c r="AR146">
        <v>1.1000000000000001</v>
      </c>
      <c r="AS146">
        <v>1.1000000000000001</v>
      </c>
      <c r="AT146">
        <v>2.2999999999999998</v>
      </c>
      <c r="AU146">
        <v>8.5000000000000006E-2</v>
      </c>
      <c r="AV146">
        <v>-0.9</v>
      </c>
      <c r="AW146">
        <v>-1.1000000000000001</v>
      </c>
      <c r="AX146">
        <v>-2.1</v>
      </c>
      <c r="AY146">
        <v>0</v>
      </c>
      <c r="AZ146" s="8">
        <v>9.9999999999999867E-2</v>
      </c>
      <c r="BA146" s="8">
        <v>2.1412542610959769E-2</v>
      </c>
      <c r="BB146" s="3">
        <v>0</v>
      </c>
    </row>
    <row r="147" spans="1:54" x14ac:dyDescent="0.25">
      <c r="A147" t="s">
        <v>292</v>
      </c>
      <c r="B147" s="2">
        <v>4500000</v>
      </c>
      <c r="C147" t="s">
        <v>62</v>
      </c>
      <c r="D147">
        <v>26</v>
      </c>
      <c r="E147" t="s">
        <v>53</v>
      </c>
      <c r="F147">
        <v>72</v>
      </c>
      <c r="G147">
        <v>36</v>
      </c>
      <c r="H147">
        <v>26.3</v>
      </c>
      <c r="I147">
        <v>3.3</v>
      </c>
      <c r="J147">
        <v>7.5</v>
      </c>
      <c r="K147">
        <v>0.435</v>
      </c>
      <c r="L147">
        <v>2.1</v>
      </c>
      <c r="M147">
        <v>5.3</v>
      </c>
      <c r="N147">
        <v>0.39700000000000002</v>
      </c>
      <c r="O147">
        <v>1.2</v>
      </c>
      <c r="P147">
        <v>2.2999999999999998</v>
      </c>
      <c r="Q147">
        <v>0.52500000000000002</v>
      </c>
      <c r="R147">
        <v>0.57399999999999995</v>
      </c>
      <c r="S147">
        <v>0.8</v>
      </c>
      <c r="T147">
        <v>1</v>
      </c>
      <c r="U147">
        <v>0.81699999999999995</v>
      </c>
      <c r="V147">
        <v>1.1000000000000001</v>
      </c>
      <c r="W147">
        <v>3.4</v>
      </c>
      <c r="X147">
        <v>4.5</v>
      </c>
      <c r="Y147">
        <v>3.5</v>
      </c>
      <c r="Z147">
        <v>1.3</v>
      </c>
      <c r="AA147">
        <v>0.1</v>
      </c>
      <c r="AB147">
        <v>1.6</v>
      </c>
      <c r="AC147">
        <v>1.8</v>
      </c>
      <c r="AD147">
        <v>9.4</v>
      </c>
      <c r="AE147">
        <v>1894</v>
      </c>
      <c r="AF147">
        <v>12.8</v>
      </c>
      <c r="AG147">
        <v>0.59299999999999997</v>
      </c>
      <c r="AH147">
        <v>0.7</v>
      </c>
      <c r="AI147">
        <v>0.13100000000000001</v>
      </c>
      <c r="AJ147">
        <v>4.7</v>
      </c>
      <c r="AK147">
        <v>14</v>
      </c>
      <c r="AL147">
        <v>9.4</v>
      </c>
      <c r="AM147">
        <v>17.3</v>
      </c>
      <c r="AN147">
        <v>2.4</v>
      </c>
      <c r="AO147">
        <v>0.5</v>
      </c>
      <c r="AP147">
        <v>16.399999999999999</v>
      </c>
      <c r="AQ147">
        <v>15.1</v>
      </c>
      <c r="AR147">
        <v>1.9</v>
      </c>
      <c r="AS147">
        <v>2.2999999999999998</v>
      </c>
      <c r="AT147">
        <v>4.2</v>
      </c>
      <c r="AU147">
        <v>0.106</v>
      </c>
      <c r="AV147">
        <v>-0.6</v>
      </c>
      <c r="AW147">
        <v>1.3</v>
      </c>
      <c r="AX147">
        <v>0.7</v>
      </c>
      <c r="AY147">
        <v>1.3</v>
      </c>
      <c r="AZ147" s="8">
        <v>2.4500000000000002</v>
      </c>
      <c r="BA147" s="8">
        <v>0.5444444444444444</v>
      </c>
      <c r="BB147" s="3">
        <v>0</v>
      </c>
    </row>
    <row r="148" spans="1:54" x14ac:dyDescent="0.25">
      <c r="A148" t="s">
        <v>293</v>
      </c>
      <c r="B148" s="2">
        <v>4437000</v>
      </c>
      <c r="C148" t="s">
        <v>62</v>
      </c>
      <c r="D148">
        <v>22</v>
      </c>
      <c r="E148" t="s">
        <v>175</v>
      </c>
      <c r="F148">
        <v>38</v>
      </c>
      <c r="G148">
        <v>32</v>
      </c>
      <c r="H148">
        <v>31</v>
      </c>
      <c r="I148">
        <v>6.9</v>
      </c>
      <c r="J148">
        <v>15.7</v>
      </c>
      <c r="K148">
        <v>0.439</v>
      </c>
      <c r="L148">
        <v>2.7</v>
      </c>
      <c r="M148">
        <v>7</v>
      </c>
      <c r="N148">
        <v>0.38700000000000001</v>
      </c>
      <c r="O148">
        <v>4.2</v>
      </c>
      <c r="P148">
        <v>8.6999999999999993</v>
      </c>
      <c r="Q148">
        <v>0.48</v>
      </c>
      <c r="R148">
        <v>0.52500000000000002</v>
      </c>
      <c r="S148">
        <v>2.1</v>
      </c>
      <c r="T148">
        <v>2.6</v>
      </c>
      <c r="U148">
        <v>0.78</v>
      </c>
      <c r="V148">
        <v>0.2</v>
      </c>
      <c r="W148">
        <v>3.7</v>
      </c>
      <c r="X148">
        <v>3.9</v>
      </c>
      <c r="Y148">
        <v>3.6</v>
      </c>
      <c r="Z148">
        <v>1.1000000000000001</v>
      </c>
      <c r="AA148">
        <v>0.4</v>
      </c>
      <c r="AB148">
        <v>1.5</v>
      </c>
      <c r="AC148">
        <v>1.5</v>
      </c>
      <c r="AD148">
        <v>18.5</v>
      </c>
      <c r="AE148">
        <v>1178</v>
      </c>
      <c r="AF148">
        <v>15.5</v>
      </c>
      <c r="AG148">
        <v>0.55000000000000004</v>
      </c>
      <c r="AH148">
        <v>0.44700000000000001</v>
      </c>
      <c r="AI148">
        <v>0.16800000000000001</v>
      </c>
      <c r="AJ148">
        <v>0.7</v>
      </c>
      <c r="AK148">
        <v>13.5</v>
      </c>
      <c r="AL148">
        <v>6.9</v>
      </c>
      <c r="AM148">
        <v>17.3</v>
      </c>
      <c r="AN148">
        <v>1.7</v>
      </c>
      <c r="AO148">
        <v>1.2</v>
      </c>
      <c r="AP148">
        <v>8.1999999999999993</v>
      </c>
      <c r="AQ148">
        <v>24.4</v>
      </c>
      <c r="AR148">
        <v>0.7</v>
      </c>
      <c r="AS148">
        <v>0.5</v>
      </c>
      <c r="AT148">
        <v>1.2</v>
      </c>
      <c r="AU148">
        <v>5.0999999999999997E-2</v>
      </c>
      <c r="AV148">
        <v>1.3</v>
      </c>
      <c r="AW148">
        <v>-0.9</v>
      </c>
      <c r="AX148">
        <v>0.4</v>
      </c>
      <c r="AY148">
        <v>0.7</v>
      </c>
      <c r="AZ148" s="8">
        <v>0.8</v>
      </c>
      <c r="BA148" s="8">
        <v>0.18030200585981518</v>
      </c>
      <c r="BB148" s="3">
        <v>0</v>
      </c>
    </row>
    <row r="149" spans="1:54" x14ac:dyDescent="0.25">
      <c r="A149" t="s">
        <v>294</v>
      </c>
      <c r="B149" s="2">
        <v>4379526</v>
      </c>
      <c r="C149" t="s">
        <v>62</v>
      </c>
      <c r="D149">
        <v>25</v>
      </c>
      <c r="E149" t="s">
        <v>70</v>
      </c>
      <c r="F149">
        <v>71</v>
      </c>
      <c r="G149">
        <v>28</v>
      </c>
      <c r="H149">
        <v>16.899999999999999</v>
      </c>
      <c r="I149">
        <v>1.5</v>
      </c>
      <c r="J149">
        <v>3.6</v>
      </c>
      <c r="K149">
        <v>0.435</v>
      </c>
      <c r="L149">
        <v>0.8</v>
      </c>
      <c r="M149">
        <v>2.1</v>
      </c>
      <c r="N149">
        <v>0.36499999999999999</v>
      </c>
      <c r="O149">
        <v>0.8</v>
      </c>
      <c r="P149">
        <v>1.5</v>
      </c>
      <c r="Q149">
        <v>0.53300000000000003</v>
      </c>
      <c r="R149">
        <v>0.54200000000000004</v>
      </c>
      <c r="S149">
        <v>0.3</v>
      </c>
      <c r="T149">
        <v>0.4</v>
      </c>
      <c r="U149">
        <v>0.67900000000000005</v>
      </c>
      <c r="V149">
        <v>0.6</v>
      </c>
      <c r="W149">
        <v>1.4</v>
      </c>
      <c r="X149">
        <v>2</v>
      </c>
      <c r="Y149">
        <v>0.7</v>
      </c>
      <c r="Z149">
        <v>1.2</v>
      </c>
      <c r="AA149">
        <v>0.5</v>
      </c>
      <c r="AB149">
        <v>0.3</v>
      </c>
      <c r="AC149">
        <v>1.6</v>
      </c>
      <c r="AD149">
        <v>4.0999999999999996</v>
      </c>
      <c r="AE149">
        <v>1200</v>
      </c>
      <c r="AF149">
        <v>10.5</v>
      </c>
      <c r="AG149">
        <v>0.55200000000000005</v>
      </c>
      <c r="AH149">
        <v>0.58499999999999996</v>
      </c>
      <c r="AI149">
        <v>0.111</v>
      </c>
      <c r="AJ149">
        <v>3.9</v>
      </c>
      <c r="AK149">
        <v>9.6999999999999993</v>
      </c>
      <c r="AL149">
        <v>6.8</v>
      </c>
      <c r="AM149">
        <v>5.9</v>
      </c>
      <c r="AN149">
        <v>3.4</v>
      </c>
      <c r="AO149">
        <v>2.4</v>
      </c>
      <c r="AP149">
        <v>8.3000000000000007</v>
      </c>
      <c r="AQ149">
        <v>10.6</v>
      </c>
      <c r="AR149">
        <v>0.6</v>
      </c>
      <c r="AS149">
        <v>1.5</v>
      </c>
      <c r="AT149">
        <v>2.1</v>
      </c>
      <c r="AU149">
        <v>8.5999999999999993E-2</v>
      </c>
      <c r="AV149">
        <v>-2.7</v>
      </c>
      <c r="AW149">
        <v>2.2000000000000002</v>
      </c>
      <c r="AX149">
        <v>-0.5</v>
      </c>
      <c r="AY149">
        <v>0.4</v>
      </c>
      <c r="AZ149" s="8">
        <v>0.8</v>
      </c>
      <c r="BA149" s="8">
        <v>0.18266817002570598</v>
      </c>
      <c r="BB149" s="3">
        <v>0</v>
      </c>
    </row>
    <row r="150" spans="1:54" x14ac:dyDescent="0.25">
      <c r="A150" t="s">
        <v>295</v>
      </c>
      <c r="B150" s="2">
        <v>4374000</v>
      </c>
      <c r="C150" t="s">
        <v>28</v>
      </c>
      <c r="D150">
        <v>23</v>
      </c>
      <c r="E150" t="s">
        <v>130</v>
      </c>
      <c r="F150">
        <v>78</v>
      </c>
      <c r="G150">
        <v>65</v>
      </c>
      <c r="H150">
        <v>24.1</v>
      </c>
      <c r="I150">
        <v>3.2</v>
      </c>
      <c r="J150">
        <v>5.8</v>
      </c>
      <c r="K150">
        <v>0.54800000000000004</v>
      </c>
      <c r="L150">
        <v>0.4</v>
      </c>
      <c r="M150">
        <v>1.2</v>
      </c>
      <c r="N150">
        <v>0.32200000000000001</v>
      </c>
      <c r="O150">
        <v>2.8</v>
      </c>
      <c r="P150">
        <v>4.5999999999999996</v>
      </c>
      <c r="Q150">
        <v>0.60399999999999998</v>
      </c>
      <c r="R150">
        <v>0.57999999999999996</v>
      </c>
      <c r="S150">
        <v>1.2</v>
      </c>
      <c r="T150">
        <v>1.8</v>
      </c>
      <c r="U150">
        <v>0.69099999999999995</v>
      </c>
      <c r="V150">
        <v>2.2000000000000002</v>
      </c>
      <c r="W150">
        <v>5.3</v>
      </c>
      <c r="X150">
        <v>7.5</v>
      </c>
      <c r="Y150">
        <v>2.4</v>
      </c>
      <c r="Z150">
        <v>1.1000000000000001</v>
      </c>
      <c r="AA150">
        <v>0.3</v>
      </c>
      <c r="AB150">
        <v>1.2</v>
      </c>
      <c r="AC150">
        <v>2.4</v>
      </c>
      <c r="AD150">
        <v>7.9</v>
      </c>
      <c r="AE150">
        <v>1879</v>
      </c>
      <c r="AF150">
        <v>15.1</v>
      </c>
      <c r="AG150">
        <v>0.60399999999999998</v>
      </c>
      <c r="AH150">
        <v>0.2</v>
      </c>
      <c r="AI150">
        <v>0.308</v>
      </c>
      <c r="AJ150">
        <v>10</v>
      </c>
      <c r="AK150">
        <v>23.2</v>
      </c>
      <c r="AL150">
        <v>16.7</v>
      </c>
      <c r="AM150">
        <v>13.1</v>
      </c>
      <c r="AN150">
        <v>2.1</v>
      </c>
      <c r="AO150">
        <v>0.9</v>
      </c>
      <c r="AP150">
        <v>15.9</v>
      </c>
      <c r="AQ150">
        <v>13.6</v>
      </c>
      <c r="AR150">
        <v>2.7</v>
      </c>
      <c r="AS150">
        <v>2.5</v>
      </c>
      <c r="AT150">
        <v>5.2</v>
      </c>
      <c r="AU150">
        <v>0.13200000000000001</v>
      </c>
      <c r="AV150">
        <v>-0.6</v>
      </c>
      <c r="AW150">
        <v>1.6</v>
      </c>
      <c r="AX150">
        <v>1.1000000000000001</v>
      </c>
      <c r="AY150">
        <v>1.5</v>
      </c>
      <c r="AZ150" s="8">
        <v>3.1500000000000004</v>
      </c>
      <c r="BA150" s="8">
        <v>0.72016460905349799</v>
      </c>
      <c r="BB150" s="3">
        <v>0</v>
      </c>
    </row>
    <row r="151" spans="1:54" x14ac:dyDescent="0.25">
      <c r="A151" t="s">
        <v>298</v>
      </c>
      <c r="B151" s="2">
        <v>4341480</v>
      </c>
      <c r="C151" t="s">
        <v>62</v>
      </c>
      <c r="D151">
        <v>21</v>
      </c>
      <c r="E151" t="s">
        <v>109</v>
      </c>
      <c r="F151">
        <v>75</v>
      </c>
      <c r="G151">
        <v>62</v>
      </c>
      <c r="H151">
        <v>30.3</v>
      </c>
      <c r="I151">
        <v>5.5</v>
      </c>
      <c r="J151">
        <v>10.6</v>
      </c>
      <c r="K151">
        <v>0.52100000000000002</v>
      </c>
      <c r="L151">
        <v>1</v>
      </c>
      <c r="M151">
        <v>2.7</v>
      </c>
      <c r="N151">
        <v>0.35599999999999998</v>
      </c>
      <c r="O151">
        <v>4.5</v>
      </c>
      <c r="P151">
        <v>7.9</v>
      </c>
      <c r="Q151">
        <v>0.57899999999999996</v>
      </c>
      <c r="R151">
        <v>0.56699999999999995</v>
      </c>
      <c r="S151">
        <v>2.1</v>
      </c>
      <c r="T151">
        <v>2.5</v>
      </c>
      <c r="U151">
        <v>0.81200000000000006</v>
      </c>
      <c r="V151">
        <v>1.1000000000000001</v>
      </c>
      <c r="W151">
        <v>3.4</v>
      </c>
      <c r="X151">
        <v>4.5</v>
      </c>
      <c r="Y151">
        <v>3.3</v>
      </c>
      <c r="Z151">
        <v>1.4</v>
      </c>
      <c r="AA151">
        <v>0.5</v>
      </c>
      <c r="AB151">
        <v>1.6</v>
      </c>
      <c r="AC151">
        <v>2.5</v>
      </c>
      <c r="AD151">
        <v>14.1</v>
      </c>
      <c r="AE151">
        <v>2276</v>
      </c>
      <c r="AF151">
        <v>15.6</v>
      </c>
      <c r="AG151">
        <v>0.60099999999999998</v>
      </c>
      <c r="AH151">
        <v>0.25800000000000001</v>
      </c>
      <c r="AI151">
        <v>0.24099999999999999</v>
      </c>
      <c r="AJ151">
        <v>3.9</v>
      </c>
      <c r="AK151">
        <v>12.2</v>
      </c>
      <c r="AL151">
        <v>7.9</v>
      </c>
      <c r="AM151">
        <v>15.4</v>
      </c>
      <c r="AN151">
        <v>2.1</v>
      </c>
      <c r="AO151">
        <v>1.4</v>
      </c>
      <c r="AP151">
        <v>12.3</v>
      </c>
      <c r="AQ151">
        <v>18.399999999999999</v>
      </c>
      <c r="AR151">
        <v>3</v>
      </c>
      <c r="AS151">
        <v>2.6</v>
      </c>
      <c r="AT151">
        <v>5.6</v>
      </c>
      <c r="AU151">
        <v>0.11899999999999999</v>
      </c>
      <c r="AV151">
        <v>-0.4</v>
      </c>
      <c r="AW151">
        <v>0.7</v>
      </c>
      <c r="AX151">
        <v>0.3</v>
      </c>
      <c r="AY151">
        <v>1.3</v>
      </c>
      <c r="AZ151" s="8">
        <v>2.9499999999999997</v>
      </c>
      <c r="BA151" s="8">
        <v>0.67949178621115369</v>
      </c>
      <c r="BB151" s="3">
        <v>0</v>
      </c>
    </row>
    <row r="152" spans="1:54" x14ac:dyDescent="0.25">
      <c r="A152" t="s">
        <v>299</v>
      </c>
      <c r="B152" s="2">
        <v>4306281</v>
      </c>
      <c r="C152" t="s">
        <v>28</v>
      </c>
      <c r="D152">
        <v>24</v>
      </c>
      <c r="E152" t="s">
        <v>113</v>
      </c>
      <c r="F152">
        <v>79</v>
      </c>
      <c r="G152">
        <v>23</v>
      </c>
      <c r="H152">
        <v>25.9</v>
      </c>
      <c r="I152">
        <v>2.7</v>
      </c>
      <c r="J152">
        <v>6</v>
      </c>
      <c r="K152">
        <v>0.45400000000000001</v>
      </c>
      <c r="L152">
        <v>1.5</v>
      </c>
      <c r="M152">
        <v>3.7</v>
      </c>
      <c r="N152">
        <v>0.39500000000000002</v>
      </c>
      <c r="O152">
        <v>1.3</v>
      </c>
      <c r="P152">
        <v>2.2999999999999998</v>
      </c>
      <c r="Q152">
        <v>0.54600000000000004</v>
      </c>
      <c r="R152">
        <v>0.57499999999999996</v>
      </c>
      <c r="S152">
        <v>1.2</v>
      </c>
      <c r="T152">
        <v>1.5</v>
      </c>
      <c r="U152">
        <v>0.77</v>
      </c>
      <c r="V152">
        <v>1.1000000000000001</v>
      </c>
      <c r="W152">
        <v>3.5</v>
      </c>
      <c r="X152">
        <v>4.5999999999999996</v>
      </c>
      <c r="Y152">
        <v>1.7</v>
      </c>
      <c r="Z152">
        <v>0.5</v>
      </c>
      <c r="AA152">
        <v>0.4</v>
      </c>
      <c r="AB152">
        <v>1</v>
      </c>
      <c r="AC152">
        <v>2.4</v>
      </c>
      <c r="AD152">
        <v>8.1</v>
      </c>
      <c r="AE152">
        <v>2045</v>
      </c>
      <c r="AF152">
        <v>10.3</v>
      </c>
      <c r="AG152">
        <v>0.60499999999999998</v>
      </c>
      <c r="AH152">
        <v>0.61099999999999999</v>
      </c>
      <c r="AI152">
        <v>0.25600000000000001</v>
      </c>
      <c r="AJ152">
        <v>4.7</v>
      </c>
      <c r="AK152">
        <v>14.5</v>
      </c>
      <c r="AL152">
        <v>9.6999999999999993</v>
      </c>
      <c r="AM152">
        <v>8.4</v>
      </c>
      <c r="AN152">
        <v>1</v>
      </c>
      <c r="AO152">
        <v>1.3</v>
      </c>
      <c r="AP152">
        <v>13.4</v>
      </c>
      <c r="AQ152">
        <v>13.1</v>
      </c>
      <c r="AR152">
        <v>1.9</v>
      </c>
      <c r="AS152">
        <v>2.6</v>
      </c>
      <c r="AT152">
        <v>4.4000000000000004</v>
      </c>
      <c r="AU152">
        <v>0.104</v>
      </c>
      <c r="AV152">
        <v>-1.8</v>
      </c>
      <c r="AW152">
        <v>0.7</v>
      </c>
      <c r="AX152">
        <v>-1.1000000000000001</v>
      </c>
      <c r="AY152">
        <v>0.5</v>
      </c>
      <c r="AZ152" s="8">
        <v>1.6500000000000001</v>
      </c>
      <c r="BA152" s="8">
        <v>0.38316124748942304</v>
      </c>
      <c r="BB152" s="3">
        <v>0</v>
      </c>
    </row>
    <row r="153" spans="1:54" x14ac:dyDescent="0.25">
      <c r="A153" t="s">
        <v>303</v>
      </c>
      <c r="B153" s="2">
        <v>4124280</v>
      </c>
      <c r="C153" t="s">
        <v>75</v>
      </c>
      <c r="D153">
        <v>19</v>
      </c>
      <c r="E153" t="s">
        <v>201</v>
      </c>
      <c r="F153">
        <v>67</v>
      </c>
      <c r="G153">
        <v>31</v>
      </c>
      <c r="H153">
        <v>24.9</v>
      </c>
      <c r="I153">
        <v>3.9</v>
      </c>
      <c r="J153">
        <v>5.9</v>
      </c>
      <c r="K153">
        <v>0.64800000000000002</v>
      </c>
      <c r="L153">
        <v>0</v>
      </c>
      <c r="M153">
        <v>0</v>
      </c>
      <c r="N153">
        <v>0</v>
      </c>
      <c r="O153">
        <v>3.9</v>
      </c>
      <c r="P153">
        <v>5.9</v>
      </c>
      <c r="Q153">
        <v>0.65200000000000002</v>
      </c>
      <c r="R153">
        <v>0.64800000000000002</v>
      </c>
      <c r="S153">
        <v>1.4</v>
      </c>
      <c r="T153">
        <v>2.2999999999999998</v>
      </c>
      <c r="U153">
        <v>0.61099999999999999</v>
      </c>
      <c r="V153">
        <v>3.4</v>
      </c>
      <c r="W153">
        <v>5.5</v>
      </c>
      <c r="X153">
        <v>8.9</v>
      </c>
      <c r="Y153">
        <v>1.1000000000000001</v>
      </c>
      <c r="Z153">
        <v>0.7</v>
      </c>
      <c r="AA153">
        <v>0.9</v>
      </c>
      <c r="AB153">
        <v>1.4</v>
      </c>
      <c r="AC153">
        <v>2.7</v>
      </c>
      <c r="AD153">
        <v>9.1</v>
      </c>
      <c r="AE153">
        <v>1670</v>
      </c>
      <c r="AF153">
        <v>17.3</v>
      </c>
      <c r="AG153">
        <v>0.65500000000000003</v>
      </c>
      <c r="AH153">
        <v>5.0000000000000001E-3</v>
      </c>
      <c r="AI153">
        <v>0.39400000000000002</v>
      </c>
      <c r="AJ153">
        <v>14.7</v>
      </c>
      <c r="AK153">
        <v>25.1</v>
      </c>
      <c r="AL153">
        <v>19.7</v>
      </c>
      <c r="AM153">
        <v>6.8</v>
      </c>
      <c r="AN153">
        <v>1.3</v>
      </c>
      <c r="AO153">
        <v>3.1</v>
      </c>
      <c r="AP153">
        <v>16.5</v>
      </c>
      <c r="AQ153">
        <v>14.3</v>
      </c>
      <c r="AR153">
        <v>2.9</v>
      </c>
      <c r="AS153">
        <v>1.6</v>
      </c>
      <c r="AT153">
        <v>4.5</v>
      </c>
      <c r="AU153">
        <v>0.129</v>
      </c>
      <c r="AV153">
        <v>-0.4</v>
      </c>
      <c r="AW153">
        <v>-0.4</v>
      </c>
      <c r="AX153">
        <v>-0.8</v>
      </c>
      <c r="AY153">
        <v>0.5</v>
      </c>
      <c r="AZ153" s="8">
        <v>1.85</v>
      </c>
      <c r="BA153" s="8">
        <v>0.44856314314256063</v>
      </c>
      <c r="BB153" s="3">
        <v>0</v>
      </c>
    </row>
    <row r="154" spans="1:54" x14ac:dyDescent="0.25">
      <c r="A154" t="s">
        <v>313</v>
      </c>
      <c r="B154" s="2">
        <v>3901399</v>
      </c>
      <c r="C154" t="s">
        <v>52</v>
      </c>
      <c r="D154">
        <v>23</v>
      </c>
      <c r="E154" t="s">
        <v>53</v>
      </c>
      <c r="F154">
        <v>82</v>
      </c>
      <c r="G154">
        <v>43</v>
      </c>
      <c r="H154">
        <v>30</v>
      </c>
      <c r="I154">
        <v>6.7</v>
      </c>
      <c r="J154">
        <v>15.6</v>
      </c>
      <c r="K154">
        <v>0.43</v>
      </c>
      <c r="L154">
        <v>2.6</v>
      </c>
      <c r="M154">
        <v>7.8</v>
      </c>
      <c r="N154">
        <v>0.33600000000000002</v>
      </c>
      <c r="O154">
        <v>4.0999999999999996</v>
      </c>
      <c r="P154">
        <v>7.8</v>
      </c>
      <c r="Q154">
        <v>0.52400000000000002</v>
      </c>
      <c r="R154">
        <v>0.51400000000000001</v>
      </c>
      <c r="S154">
        <v>4.4000000000000004</v>
      </c>
      <c r="T154">
        <v>5.0999999999999996</v>
      </c>
      <c r="U154">
        <v>0.87</v>
      </c>
      <c r="V154">
        <v>0.4</v>
      </c>
      <c r="W154">
        <v>2.4</v>
      </c>
      <c r="X154">
        <v>2.7</v>
      </c>
      <c r="Y154">
        <v>4.5</v>
      </c>
      <c r="Z154">
        <v>0.8</v>
      </c>
      <c r="AA154">
        <v>0.3</v>
      </c>
      <c r="AB154">
        <v>3.1</v>
      </c>
      <c r="AC154">
        <v>2.6</v>
      </c>
      <c r="AD154">
        <v>20.399999999999999</v>
      </c>
      <c r="AE154">
        <v>2458</v>
      </c>
      <c r="AF154">
        <v>14.6</v>
      </c>
      <c r="AG154">
        <v>0.57299999999999995</v>
      </c>
      <c r="AH154">
        <v>0.498</v>
      </c>
      <c r="AI154">
        <v>0.32500000000000001</v>
      </c>
      <c r="AJ154">
        <v>1.5</v>
      </c>
      <c r="AK154">
        <v>8.5</v>
      </c>
      <c r="AL154">
        <v>5</v>
      </c>
      <c r="AM154">
        <v>22.5</v>
      </c>
      <c r="AN154">
        <v>1.2</v>
      </c>
      <c r="AO154">
        <v>0.8</v>
      </c>
      <c r="AP154">
        <v>14.7</v>
      </c>
      <c r="AQ154">
        <v>29.2</v>
      </c>
      <c r="AR154">
        <v>1.4</v>
      </c>
      <c r="AS154">
        <v>1.9</v>
      </c>
      <c r="AT154">
        <v>3.2</v>
      </c>
      <c r="AU154">
        <v>6.3E-2</v>
      </c>
      <c r="AV154">
        <v>-0.1</v>
      </c>
      <c r="AW154">
        <v>-1.8</v>
      </c>
      <c r="AX154">
        <v>-1.9</v>
      </c>
      <c r="AY154">
        <v>0.1</v>
      </c>
      <c r="AZ154" s="8">
        <v>0.65000000000000013</v>
      </c>
      <c r="BA154" s="8">
        <v>0.16660690178061771</v>
      </c>
      <c r="BB154" s="3">
        <v>0</v>
      </c>
    </row>
    <row r="155" spans="1:54" x14ac:dyDescent="0.25">
      <c r="A155" t="s">
        <v>319</v>
      </c>
      <c r="B155" s="2">
        <v>3613680</v>
      </c>
      <c r="C155" t="s">
        <v>52</v>
      </c>
      <c r="D155">
        <v>22</v>
      </c>
      <c r="E155" t="s">
        <v>152</v>
      </c>
      <c r="F155">
        <v>60</v>
      </c>
      <c r="G155">
        <v>4</v>
      </c>
      <c r="H155">
        <v>25.9</v>
      </c>
      <c r="I155">
        <v>4.5999999999999996</v>
      </c>
      <c r="J155">
        <v>10.199999999999999</v>
      </c>
      <c r="K155">
        <v>0.45400000000000001</v>
      </c>
      <c r="L155">
        <v>1.3</v>
      </c>
      <c r="M155">
        <v>3.4</v>
      </c>
      <c r="N155">
        <v>0.36399999999999999</v>
      </c>
      <c r="O155">
        <v>3.4</v>
      </c>
      <c r="P155">
        <v>6.7</v>
      </c>
      <c r="Q155">
        <v>0.5</v>
      </c>
      <c r="R155">
        <v>0.51600000000000001</v>
      </c>
      <c r="S155">
        <v>2.5</v>
      </c>
      <c r="T155">
        <v>2.8</v>
      </c>
      <c r="U155">
        <v>0.89400000000000002</v>
      </c>
      <c r="V155">
        <v>0.8</v>
      </c>
      <c r="W155">
        <v>4</v>
      </c>
      <c r="X155">
        <v>4.8</v>
      </c>
      <c r="Y155">
        <v>3.9</v>
      </c>
      <c r="Z155">
        <v>0.6</v>
      </c>
      <c r="AA155">
        <v>0.5</v>
      </c>
      <c r="AB155">
        <v>1.5</v>
      </c>
      <c r="AC155">
        <v>2.6</v>
      </c>
      <c r="AD155">
        <v>13</v>
      </c>
      <c r="AE155">
        <v>1552</v>
      </c>
      <c r="AF155">
        <v>16</v>
      </c>
      <c r="AG155">
        <v>0.56999999999999995</v>
      </c>
      <c r="AH155">
        <v>0.33800000000000002</v>
      </c>
      <c r="AI155">
        <v>0.27900000000000003</v>
      </c>
      <c r="AJ155">
        <v>3.4</v>
      </c>
      <c r="AK155">
        <v>17.600000000000001</v>
      </c>
      <c r="AL155">
        <v>10.5</v>
      </c>
      <c r="AM155">
        <v>22.9</v>
      </c>
      <c r="AN155">
        <v>1.2</v>
      </c>
      <c r="AO155">
        <v>1.9</v>
      </c>
      <c r="AP155">
        <v>11.7</v>
      </c>
      <c r="AQ155">
        <v>21.5</v>
      </c>
      <c r="AR155">
        <v>2.1</v>
      </c>
      <c r="AS155">
        <v>1.7</v>
      </c>
      <c r="AT155">
        <v>3.7</v>
      </c>
      <c r="AU155">
        <v>0.11600000000000001</v>
      </c>
      <c r="AV155">
        <v>0.7</v>
      </c>
      <c r="AW155">
        <v>0.5</v>
      </c>
      <c r="AX155">
        <v>1.3</v>
      </c>
      <c r="AY155">
        <v>1.3</v>
      </c>
      <c r="AZ155" s="8">
        <v>2.5</v>
      </c>
      <c r="BA155" s="8">
        <v>0.69181554537203072</v>
      </c>
      <c r="BB155" s="3">
        <v>0</v>
      </c>
    </row>
    <row r="156" spans="1:54" x14ac:dyDescent="0.25">
      <c r="A156" t="s">
        <v>320</v>
      </c>
      <c r="B156" s="2">
        <v>3552840</v>
      </c>
      <c r="C156" t="s">
        <v>65</v>
      </c>
      <c r="D156">
        <v>23</v>
      </c>
      <c r="E156" t="s">
        <v>63</v>
      </c>
      <c r="F156">
        <v>74</v>
      </c>
      <c r="G156">
        <v>45</v>
      </c>
      <c r="H156">
        <v>28.3</v>
      </c>
      <c r="I156">
        <v>3.9</v>
      </c>
      <c r="J156">
        <v>7.9</v>
      </c>
      <c r="K156">
        <v>0.497</v>
      </c>
      <c r="L156">
        <v>2.2000000000000002</v>
      </c>
      <c r="M156">
        <v>5.2</v>
      </c>
      <c r="N156">
        <v>0.42399999999999999</v>
      </c>
      <c r="O156">
        <v>1.7</v>
      </c>
      <c r="P156">
        <v>2.7</v>
      </c>
      <c r="Q156">
        <v>0.63700000000000001</v>
      </c>
      <c r="R156">
        <v>0.63700000000000001</v>
      </c>
      <c r="S156">
        <v>1</v>
      </c>
      <c r="T156">
        <v>1.2</v>
      </c>
      <c r="U156">
        <v>0.85199999999999998</v>
      </c>
      <c r="V156">
        <v>0.4</v>
      </c>
      <c r="W156">
        <v>2.4</v>
      </c>
      <c r="X156">
        <v>2.8</v>
      </c>
      <c r="Y156">
        <v>1.2</v>
      </c>
      <c r="Z156">
        <v>0.4</v>
      </c>
      <c r="AA156">
        <v>0.1</v>
      </c>
      <c r="AB156">
        <v>0.7</v>
      </c>
      <c r="AC156">
        <v>1.3</v>
      </c>
      <c r="AD156">
        <v>11.1</v>
      </c>
      <c r="AE156">
        <v>2093</v>
      </c>
      <c r="AF156">
        <v>11.5</v>
      </c>
      <c r="AG156">
        <v>0.65700000000000003</v>
      </c>
      <c r="AH156">
        <v>0.65600000000000003</v>
      </c>
      <c r="AI156">
        <v>0.15</v>
      </c>
      <c r="AJ156">
        <v>1.8</v>
      </c>
      <c r="AK156">
        <v>8.9</v>
      </c>
      <c r="AL156">
        <v>5.5</v>
      </c>
      <c r="AM156">
        <v>5.7</v>
      </c>
      <c r="AN156">
        <v>0.7</v>
      </c>
      <c r="AO156">
        <v>0.4</v>
      </c>
      <c r="AP156">
        <v>8.1</v>
      </c>
      <c r="AQ156">
        <v>14.1</v>
      </c>
      <c r="AR156">
        <v>2.9</v>
      </c>
      <c r="AS156">
        <v>0.9</v>
      </c>
      <c r="AT156">
        <v>3.8</v>
      </c>
      <c r="AU156">
        <v>8.7999999999999995E-2</v>
      </c>
      <c r="AV156">
        <v>-0.1</v>
      </c>
      <c r="AW156">
        <v>-1.4</v>
      </c>
      <c r="AX156">
        <v>-1.5</v>
      </c>
      <c r="AY156">
        <v>0.2</v>
      </c>
      <c r="AZ156" s="8">
        <v>1.1499999999999999</v>
      </c>
      <c r="BA156" s="8">
        <v>0.32368471420047062</v>
      </c>
      <c r="BB156" s="3">
        <v>0</v>
      </c>
    </row>
    <row r="157" spans="1:54" x14ac:dyDescent="0.25">
      <c r="A157" t="s">
        <v>321</v>
      </c>
      <c r="B157" s="2">
        <v>3536160</v>
      </c>
      <c r="C157" t="s">
        <v>65</v>
      </c>
      <c r="D157">
        <v>19</v>
      </c>
      <c r="E157" t="s">
        <v>85</v>
      </c>
      <c r="F157">
        <v>72</v>
      </c>
      <c r="G157">
        <v>12</v>
      </c>
      <c r="H157">
        <v>19.5</v>
      </c>
      <c r="I157">
        <v>3.4</v>
      </c>
      <c r="J157">
        <v>7.4</v>
      </c>
      <c r="K157">
        <v>0.46500000000000002</v>
      </c>
      <c r="L157">
        <v>1.4</v>
      </c>
      <c r="M157">
        <v>3.6</v>
      </c>
      <c r="N157">
        <v>0.39</v>
      </c>
      <c r="O157">
        <v>2</v>
      </c>
      <c r="P157">
        <v>3.8</v>
      </c>
      <c r="Q157">
        <v>0.53600000000000003</v>
      </c>
      <c r="R157">
        <v>0.56000000000000005</v>
      </c>
      <c r="S157">
        <v>0.6</v>
      </c>
      <c r="T157">
        <v>0.7</v>
      </c>
      <c r="U157">
        <v>0.89400000000000002</v>
      </c>
      <c r="V157">
        <v>0.5</v>
      </c>
      <c r="W157">
        <v>1.6</v>
      </c>
      <c r="X157">
        <v>2.1</v>
      </c>
      <c r="Y157">
        <v>1</v>
      </c>
      <c r="Z157">
        <v>0.6</v>
      </c>
      <c r="AA157">
        <v>0.2</v>
      </c>
      <c r="AB157">
        <v>0.6</v>
      </c>
      <c r="AC157">
        <v>1.2</v>
      </c>
      <c r="AD157">
        <v>8.9</v>
      </c>
      <c r="AE157">
        <v>1401</v>
      </c>
      <c r="AF157">
        <v>12.6</v>
      </c>
      <c r="AG157">
        <v>0.57699999999999996</v>
      </c>
      <c r="AH157">
        <v>0.48599999999999999</v>
      </c>
      <c r="AI157">
        <v>8.7999999999999995E-2</v>
      </c>
      <c r="AJ157">
        <v>2.9</v>
      </c>
      <c r="AK157">
        <v>9.1999999999999993</v>
      </c>
      <c r="AL157">
        <v>6</v>
      </c>
      <c r="AM157">
        <v>7</v>
      </c>
      <c r="AN157">
        <v>1.4</v>
      </c>
      <c r="AO157">
        <v>0.7</v>
      </c>
      <c r="AP157">
        <v>7.1</v>
      </c>
      <c r="AQ157">
        <v>17.899999999999999</v>
      </c>
      <c r="AR157">
        <v>1.3</v>
      </c>
      <c r="AS157">
        <v>0.9</v>
      </c>
      <c r="AT157">
        <v>2.2000000000000002</v>
      </c>
      <c r="AU157">
        <v>7.4999999999999997E-2</v>
      </c>
      <c r="AV157">
        <v>-0.3</v>
      </c>
      <c r="AW157">
        <v>-0.5</v>
      </c>
      <c r="AX157">
        <v>-0.8</v>
      </c>
      <c r="AY157">
        <v>0.4</v>
      </c>
      <c r="AZ157" s="8">
        <v>0.70000000000000007</v>
      </c>
      <c r="BA157" s="8">
        <v>0.19795484367223207</v>
      </c>
      <c r="BB157" s="3">
        <v>0</v>
      </c>
    </row>
    <row r="158" spans="1:54" x14ac:dyDescent="0.25">
      <c r="A158" t="s">
        <v>323</v>
      </c>
      <c r="B158" s="2">
        <v>3465000</v>
      </c>
      <c r="C158" t="s">
        <v>28</v>
      </c>
      <c r="D158">
        <v>29</v>
      </c>
      <c r="E158" t="s">
        <v>82</v>
      </c>
      <c r="F158">
        <v>78</v>
      </c>
      <c r="G158">
        <v>1</v>
      </c>
      <c r="H158">
        <v>19.399999999999999</v>
      </c>
      <c r="I158">
        <v>2.8</v>
      </c>
      <c r="J158">
        <v>6.4</v>
      </c>
      <c r="K158">
        <v>0.442</v>
      </c>
      <c r="L158">
        <v>2</v>
      </c>
      <c r="M158">
        <v>4.9000000000000004</v>
      </c>
      <c r="N158">
        <v>0.40100000000000002</v>
      </c>
      <c r="O158">
        <v>0.9</v>
      </c>
      <c r="P158">
        <v>1.5</v>
      </c>
      <c r="Q158">
        <v>0.57599999999999996</v>
      </c>
      <c r="R158">
        <v>0.59599999999999997</v>
      </c>
      <c r="S158">
        <v>0.5</v>
      </c>
      <c r="T158">
        <v>0.6</v>
      </c>
      <c r="U158">
        <v>0.86699999999999999</v>
      </c>
      <c r="V158">
        <v>0.2</v>
      </c>
      <c r="W158">
        <v>2.1</v>
      </c>
      <c r="X158">
        <v>2.4</v>
      </c>
      <c r="Y158">
        <v>1</v>
      </c>
      <c r="Z158">
        <v>0.4</v>
      </c>
      <c r="AA158">
        <v>0.2</v>
      </c>
      <c r="AB158">
        <v>0.7</v>
      </c>
      <c r="AC158">
        <v>1.9</v>
      </c>
      <c r="AD158">
        <v>8.1999999999999993</v>
      </c>
      <c r="AE158">
        <v>1512</v>
      </c>
      <c r="AF158">
        <v>10.9</v>
      </c>
      <c r="AG158">
        <v>0.61</v>
      </c>
      <c r="AH158">
        <v>0.76500000000000001</v>
      </c>
      <c r="AI158">
        <v>0.09</v>
      </c>
      <c r="AJ158">
        <v>1.5</v>
      </c>
      <c r="AK158">
        <v>12.8</v>
      </c>
      <c r="AL158">
        <v>7.2</v>
      </c>
      <c r="AM158">
        <v>7.3</v>
      </c>
      <c r="AN158">
        <v>1</v>
      </c>
      <c r="AO158">
        <v>0.9</v>
      </c>
      <c r="AP158">
        <v>9.4</v>
      </c>
      <c r="AQ158">
        <v>17</v>
      </c>
      <c r="AR158">
        <v>1.1000000000000001</v>
      </c>
      <c r="AS158">
        <v>1.4</v>
      </c>
      <c r="AT158">
        <v>2.5</v>
      </c>
      <c r="AU158">
        <v>7.8E-2</v>
      </c>
      <c r="AV158">
        <v>-0.4</v>
      </c>
      <c r="AW158">
        <v>-1</v>
      </c>
      <c r="AX158">
        <v>-1.4</v>
      </c>
      <c r="AY158">
        <v>0.2</v>
      </c>
      <c r="AZ158" s="8">
        <v>0.55000000000000004</v>
      </c>
      <c r="BA158" s="8">
        <v>0.15873015873015872</v>
      </c>
      <c r="BB158" s="3">
        <v>0</v>
      </c>
    </row>
    <row r="159" spans="1:54" x14ac:dyDescent="0.25">
      <c r="A159" t="s">
        <v>327</v>
      </c>
      <c r="B159" s="2">
        <v>3359160</v>
      </c>
      <c r="C159" t="s">
        <v>28</v>
      </c>
      <c r="D159">
        <v>21</v>
      </c>
      <c r="E159" t="s">
        <v>213</v>
      </c>
      <c r="F159">
        <v>82</v>
      </c>
      <c r="G159">
        <v>5</v>
      </c>
      <c r="H159">
        <v>21.5</v>
      </c>
      <c r="I159">
        <v>3.6</v>
      </c>
      <c r="J159">
        <v>8</v>
      </c>
      <c r="K159">
        <v>0.44800000000000001</v>
      </c>
      <c r="L159">
        <v>0.7</v>
      </c>
      <c r="M159">
        <v>2.1</v>
      </c>
      <c r="N159">
        <v>0.34300000000000003</v>
      </c>
      <c r="O159">
        <v>2.9</v>
      </c>
      <c r="P159">
        <v>6</v>
      </c>
      <c r="Q159">
        <v>0.48599999999999999</v>
      </c>
      <c r="R159">
        <v>0.49299999999999999</v>
      </c>
      <c r="S159">
        <v>1.3</v>
      </c>
      <c r="T159">
        <v>1.8</v>
      </c>
      <c r="U159">
        <v>0.752</v>
      </c>
      <c r="V159">
        <v>2.4</v>
      </c>
      <c r="W159">
        <v>3.7</v>
      </c>
      <c r="X159">
        <v>6</v>
      </c>
      <c r="Y159">
        <v>1.1000000000000001</v>
      </c>
      <c r="Z159">
        <v>1.2</v>
      </c>
      <c r="AA159">
        <v>0.6</v>
      </c>
      <c r="AB159">
        <v>1.2</v>
      </c>
      <c r="AC159">
        <v>2.2999999999999998</v>
      </c>
      <c r="AD159">
        <v>9.3000000000000007</v>
      </c>
      <c r="AE159">
        <v>1767</v>
      </c>
      <c r="AF159">
        <v>15.2</v>
      </c>
      <c r="AG159">
        <v>0.52500000000000002</v>
      </c>
      <c r="AH159">
        <v>0.26100000000000001</v>
      </c>
      <c r="AI159">
        <v>0.22</v>
      </c>
      <c r="AJ159">
        <v>12</v>
      </c>
      <c r="AK159">
        <v>18.899999999999999</v>
      </c>
      <c r="AL159">
        <v>15.4</v>
      </c>
      <c r="AM159">
        <v>7.4</v>
      </c>
      <c r="AN159">
        <v>2.6</v>
      </c>
      <c r="AO159">
        <v>2.6</v>
      </c>
      <c r="AP159">
        <v>12.2</v>
      </c>
      <c r="AQ159">
        <v>19.3</v>
      </c>
      <c r="AR159">
        <v>0.9</v>
      </c>
      <c r="AS159">
        <v>1.7</v>
      </c>
      <c r="AT159">
        <v>2.6</v>
      </c>
      <c r="AU159">
        <v>7.0000000000000007E-2</v>
      </c>
      <c r="AV159">
        <v>-1.3</v>
      </c>
      <c r="AW159">
        <v>-0.4</v>
      </c>
      <c r="AX159">
        <v>-1.7</v>
      </c>
      <c r="AY159">
        <v>0.1</v>
      </c>
      <c r="AZ159" s="8">
        <v>0.45000000000000007</v>
      </c>
      <c r="BA159" s="8">
        <v>0.13396206194405746</v>
      </c>
      <c r="BB159" s="3">
        <v>0</v>
      </c>
    </row>
    <row r="160" spans="1:54" x14ac:dyDescent="0.25">
      <c r="A160" t="s">
        <v>333</v>
      </c>
      <c r="B160" s="2">
        <v>3098400</v>
      </c>
      <c r="C160" t="s">
        <v>62</v>
      </c>
      <c r="D160">
        <v>22</v>
      </c>
      <c r="E160" t="s">
        <v>73</v>
      </c>
      <c r="F160">
        <v>60</v>
      </c>
      <c r="G160">
        <v>21</v>
      </c>
      <c r="H160">
        <v>25.7</v>
      </c>
      <c r="I160">
        <v>3.4</v>
      </c>
      <c r="J160">
        <v>6.4</v>
      </c>
      <c r="K160">
        <v>0.53700000000000003</v>
      </c>
      <c r="L160">
        <v>1.1000000000000001</v>
      </c>
      <c r="M160">
        <v>2.8</v>
      </c>
      <c r="N160">
        <v>0.40200000000000002</v>
      </c>
      <c r="O160">
        <v>2.2999999999999998</v>
      </c>
      <c r="P160">
        <v>3.6</v>
      </c>
      <c r="Q160">
        <v>0.64300000000000002</v>
      </c>
      <c r="R160">
        <v>0.626</v>
      </c>
      <c r="S160">
        <v>1.1000000000000001</v>
      </c>
      <c r="T160">
        <v>1.6</v>
      </c>
      <c r="U160">
        <v>0.72299999999999998</v>
      </c>
      <c r="V160">
        <v>0.9</v>
      </c>
      <c r="W160">
        <v>2.1</v>
      </c>
      <c r="X160">
        <v>3</v>
      </c>
      <c r="Y160">
        <v>1.7</v>
      </c>
      <c r="Z160">
        <v>0.7</v>
      </c>
      <c r="AA160">
        <v>0.1</v>
      </c>
      <c r="AB160">
        <v>1.2</v>
      </c>
      <c r="AC160">
        <v>2.6</v>
      </c>
      <c r="AD160">
        <v>9.1</v>
      </c>
      <c r="AE160">
        <v>1539</v>
      </c>
      <c r="AF160">
        <v>11.2</v>
      </c>
      <c r="AG160">
        <v>0.64500000000000002</v>
      </c>
      <c r="AH160">
        <v>0.442</v>
      </c>
      <c r="AI160">
        <v>0.246</v>
      </c>
      <c r="AJ160">
        <v>4.0999999999999996</v>
      </c>
      <c r="AK160">
        <v>9.6999999999999993</v>
      </c>
      <c r="AL160">
        <v>6.9</v>
      </c>
      <c r="AM160">
        <v>9.6999999999999993</v>
      </c>
      <c r="AN160">
        <v>1.4</v>
      </c>
      <c r="AO160">
        <v>0.3</v>
      </c>
      <c r="AP160">
        <v>14.5</v>
      </c>
      <c r="AQ160">
        <v>14.6</v>
      </c>
      <c r="AR160">
        <v>1.7</v>
      </c>
      <c r="AS160">
        <v>0.9</v>
      </c>
      <c r="AT160">
        <v>2.6</v>
      </c>
      <c r="AU160">
        <v>8.2000000000000003E-2</v>
      </c>
      <c r="AV160">
        <v>-1.9</v>
      </c>
      <c r="AW160">
        <v>-0.6</v>
      </c>
      <c r="AX160">
        <v>-2.4</v>
      </c>
      <c r="AY160">
        <v>-0.2</v>
      </c>
      <c r="AZ160" s="8">
        <v>0.10000000000000009</v>
      </c>
      <c r="BA160" s="8">
        <v>3.227472243738707E-2</v>
      </c>
      <c r="BB160" s="3">
        <v>0</v>
      </c>
    </row>
    <row r="161" spans="1:54" x14ac:dyDescent="0.25">
      <c r="A161" t="s">
        <v>337</v>
      </c>
      <c r="B161" s="2">
        <v>2959080</v>
      </c>
      <c r="C161" t="s">
        <v>65</v>
      </c>
      <c r="D161">
        <v>23</v>
      </c>
      <c r="E161" t="s">
        <v>85</v>
      </c>
      <c r="F161">
        <v>77</v>
      </c>
      <c r="G161">
        <v>37</v>
      </c>
      <c r="H161">
        <v>27.6</v>
      </c>
      <c r="I161">
        <v>4.5999999999999996</v>
      </c>
      <c r="J161">
        <v>10.9</v>
      </c>
      <c r="K161">
        <v>0.42199999999999999</v>
      </c>
      <c r="L161">
        <v>2</v>
      </c>
      <c r="M161">
        <v>5.4</v>
      </c>
      <c r="N161">
        <v>0.36099999999999999</v>
      </c>
      <c r="O161">
        <v>2.6</v>
      </c>
      <c r="P161">
        <v>5.4</v>
      </c>
      <c r="Q161">
        <v>0.48299999999999998</v>
      </c>
      <c r="R161">
        <v>0.51300000000000001</v>
      </c>
      <c r="S161">
        <v>2.7</v>
      </c>
      <c r="T161">
        <v>3.1</v>
      </c>
      <c r="U161">
        <v>0.86099999999999999</v>
      </c>
      <c r="V161">
        <v>1.3</v>
      </c>
      <c r="W161">
        <v>3.4</v>
      </c>
      <c r="X161">
        <v>4.7</v>
      </c>
      <c r="Y161">
        <v>1.5</v>
      </c>
      <c r="Z161">
        <v>0.9</v>
      </c>
      <c r="AA161">
        <v>0.2</v>
      </c>
      <c r="AB161">
        <v>0.9</v>
      </c>
      <c r="AC161">
        <v>1.6</v>
      </c>
      <c r="AD161">
        <v>13.8</v>
      </c>
      <c r="AE161">
        <v>2129</v>
      </c>
      <c r="AF161">
        <v>14.6</v>
      </c>
      <c r="AG161">
        <v>0.56399999999999995</v>
      </c>
      <c r="AH161">
        <v>0.5</v>
      </c>
      <c r="AI161">
        <v>0.28499999999999998</v>
      </c>
      <c r="AJ161">
        <v>5</v>
      </c>
      <c r="AK161">
        <v>14</v>
      </c>
      <c r="AL161">
        <v>9.4</v>
      </c>
      <c r="AM161">
        <v>8.1</v>
      </c>
      <c r="AN161">
        <v>1.6</v>
      </c>
      <c r="AO161">
        <v>0.5</v>
      </c>
      <c r="AP161">
        <v>7</v>
      </c>
      <c r="AQ161">
        <v>20.2</v>
      </c>
      <c r="AR161">
        <v>2.6</v>
      </c>
      <c r="AS161">
        <v>1.2</v>
      </c>
      <c r="AT161">
        <v>3.9</v>
      </c>
      <c r="AU161">
        <v>8.6999999999999994E-2</v>
      </c>
      <c r="AV161">
        <v>0.9</v>
      </c>
      <c r="AW161">
        <v>-1.2</v>
      </c>
      <c r="AX161">
        <v>-0.3</v>
      </c>
      <c r="AY161">
        <v>0.9</v>
      </c>
      <c r="AZ161" s="8">
        <v>1.8</v>
      </c>
      <c r="BA161" s="8">
        <v>0.6082971734458007</v>
      </c>
      <c r="BB161" s="3">
        <v>0</v>
      </c>
    </row>
    <row r="162" spans="1:54" x14ac:dyDescent="0.25">
      <c r="A162" t="s">
        <v>354</v>
      </c>
      <c r="B162" s="2">
        <v>2792640</v>
      </c>
      <c r="C162" t="s">
        <v>65</v>
      </c>
      <c r="D162">
        <v>21</v>
      </c>
      <c r="E162" t="s">
        <v>85</v>
      </c>
      <c r="F162">
        <v>70</v>
      </c>
      <c r="G162">
        <v>6</v>
      </c>
      <c r="H162">
        <v>14.9</v>
      </c>
      <c r="I162">
        <v>2.2999999999999998</v>
      </c>
      <c r="J162">
        <v>4.5999999999999996</v>
      </c>
      <c r="K162">
        <v>0.49099999999999999</v>
      </c>
      <c r="L162">
        <v>0.4</v>
      </c>
      <c r="M162">
        <v>1.5</v>
      </c>
      <c r="N162">
        <v>0.28799999999999998</v>
      </c>
      <c r="O162">
        <v>1.8</v>
      </c>
      <c r="P162">
        <v>3.1</v>
      </c>
      <c r="Q162">
        <v>0.58699999999999997</v>
      </c>
      <c r="R162">
        <v>0.53700000000000003</v>
      </c>
      <c r="S162">
        <v>0.7</v>
      </c>
      <c r="T162">
        <v>1.1000000000000001</v>
      </c>
      <c r="U162">
        <v>0.628</v>
      </c>
      <c r="V162">
        <v>0.7</v>
      </c>
      <c r="W162">
        <v>3.3</v>
      </c>
      <c r="X162">
        <v>4</v>
      </c>
      <c r="Y162">
        <v>1.2</v>
      </c>
      <c r="Z162">
        <v>0.5</v>
      </c>
      <c r="AA162">
        <v>0.5</v>
      </c>
      <c r="AB162">
        <v>0.6</v>
      </c>
      <c r="AC162">
        <v>1.6</v>
      </c>
      <c r="AD162">
        <v>5.6</v>
      </c>
      <c r="AE162">
        <v>1042</v>
      </c>
      <c r="AF162">
        <v>14.1</v>
      </c>
      <c r="AG162">
        <v>0.55400000000000005</v>
      </c>
      <c r="AH162">
        <v>0.32300000000000001</v>
      </c>
      <c r="AI162">
        <v>0.24199999999999999</v>
      </c>
      <c r="AJ162">
        <v>5.3</v>
      </c>
      <c r="AK162">
        <v>24.6</v>
      </c>
      <c r="AL162">
        <v>14.8</v>
      </c>
      <c r="AM162">
        <v>10.4</v>
      </c>
      <c r="AN162">
        <v>1.7</v>
      </c>
      <c r="AO162">
        <v>2.8</v>
      </c>
      <c r="AP162">
        <v>10.3</v>
      </c>
      <c r="AQ162">
        <v>16</v>
      </c>
      <c r="AR162">
        <v>0.8</v>
      </c>
      <c r="AS162">
        <v>1.3</v>
      </c>
      <c r="AT162">
        <v>2.1</v>
      </c>
      <c r="AU162">
        <v>9.9000000000000005E-2</v>
      </c>
      <c r="AV162">
        <v>-1.2</v>
      </c>
      <c r="AW162">
        <v>1.5</v>
      </c>
      <c r="AX162">
        <v>0.3</v>
      </c>
      <c r="AY162">
        <v>0.6</v>
      </c>
      <c r="AZ162" s="8">
        <v>1.2</v>
      </c>
      <c r="BA162" s="8">
        <v>0.42970092815400479</v>
      </c>
      <c r="BB162" s="3">
        <v>0</v>
      </c>
    </row>
    <row r="163" spans="1:54" x14ac:dyDescent="0.25">
      <c r="A163" t="s">
        <v>355</v>
      </c>
      <c r="B163" s="2">
        <v>2726880</v>
      </c>
      <c r="C163" t="s">
        <v>62</v>
      </c>
      <c r="D163">
        <v>22</v>
      </c>
      <c r="E163" t="s">
        <v>82</v>
      </c>
      <c r="F163">
        <v>60</v>
      </c>
      <c r="G163">
        <v>41</v>
      </c>
      <c r="H163">
        <v>33.6</v>
      </c>
      <c r="I163">
        <v>7.3</v>
      </c>
      <c r="J163">
        <v>15.2</v>
      </c>
      <c r="K163">
        <v>0.48099999999999998</v>
      </c>
      <c r="L163">
        <v>2.7</v>
      </c>
      <c r="M163">
        <v>6.2</v>
      </c>
      <c r="N163">
        <v>0.434</v>
      </c>
      <c r="O163">
        <v>4.7</v>
      </c>
      <c r="P163">
        <v>9.1</v>
      </c>
      <c r="Q163">
        <v>0.51300000000000001</v>
      </c>
      <c r="R163">
        <v>0.56799999999999995</v>
      </c>
      <c r="S163">
        <v>3</v>
      </c>
      <c r="T163">
        <v>3.6</v>
      </c>
      <c r="U163">
        <v>0.84499999999999997</v>
      </c>
      <c r="V163">
        <v>0.4</v>
      </c>
      <c r="W163">
        <v>2.6</v>
      </c>
      <c r="X163">
        <v>2.9</v>
      </c>
      <c r="Y163">
        <v>3.5</v>
      </c>
      <c r="Z163">
        <v>0.8</v>
      </c>
      <c r="AA163">
        <v>0.1</v>
      </c>
      <c r="AB163">
        <v>1.3</v>
      </c>
      <c r="AC163">
        <v>2.2000000000000002</v>
      </c>
      <c r="AD163">
        <v>20.3</v>
      </c>
      <c r="AE163">
        <v>2016</v>
      </c>
      <c r="AF163">
        <v>17</v>
      </c>
      <c r="AG163">
        <v>0.60499999999999998</v>
      </c>
      <c r="AH163">
        <v>0.40400000000000003</v>
      </c>
      <c r="AI163">
        <v>0.23300000000000001</v>
      </c>
      <c r="AJ163">
        <v>1.4</v>
      </c>
      <c r="AK163">
        <v>8.8000000000000007</v>
      </c>
      <c r="AL163">
        <v>5.2</v>
      </c>
      <c r="AM163">
        <v>16.899999999999999</v>
      </c>
      <c r="AN163">
        <v>1.2</v>
      </c>
      <c r="AO163">
        <v>0.4</v>
      </c>
      <c r="AP163">
        <v>7.4</v>
      </c>
      <c r="AQ163">
        <v>24.1</v>
      </c>
      <c r="AR163">
        <v>3.7</v>
      </c>
      <c r="AS163">
        <v>1.6</v>
      </c>
      <c r="AT163">
        <v>5.4</v>
      </c>
      <c r="AU163">
        <v>0.128</v>
      </c>
      <c r="AV163">
        <v>1.9</v>
      </c>
      <c r="AW163">
        <v>-1.2</v>
      </c>
      <c r="AX163">
        <v>0.6</v>
      </c>
      <c r="AY163">
        <v>1.3</v>
      </c>
      <c r="AZ163" s="8">
        <v>3</v>
      </c>
      <c r="BA163" s="8">
        <v>1.1001584228128851</v>
      </c>
      <c r="BB163" s="3">
        <v>0</v>
      </c>
    </row>
    <row r="164" spans="1:54" x14ac:dyDescent="0.25">
      <c r="A164" t="s">
        <v>361</v>
      </c>
      <c r="B164" s="2">
        <v>2625000</v>
      </c>
      <c r="C164" t="s">
        <v>28</v>
      </c>
      <c r="D164">
        <v>27</v>
      </c>
      <c r="E164" t="s">
        <v>116</v>
      </c>
      <c r="F164">
        <v>74</v>
      </c>
      <c r="G164">
        <v>0</v>
      </c>
      <c r="H164">
        <v>16.899999999999999</v>
      </c>
      <c r="I164">
        <v>2.5</v>
      </c>
      <c r="J164">
        <v>5.5</v>
      </c>
      <c r="K164">
        <v>0.45800000000000002</v>
      </c>
      <c r="L164">
        <v>1.2</v>
      </c>
      <c r="M164">
        <v>3.2</v>
      </c>
      <c r="N164">
        <v>0.36299999999999999</v>
      </c>
      <c r="O164">
        <v>1.4</v>
      </c>
      <c r="P164">
        <v>2.2999999999999998</v>
      </c>
      <c r="Q164">
        <v>0.59499999999999997</v>
      </c>
      <c r="R164">
        <v>0.56499999999999995</v>
      </c>
      <c r="S164">
        <v>1.4</v>
      </c>
      <c r="T164">
        <v>1.7</v>
      </c>
      <c r="U164">
        <v>0.81499999999999995</v>
      </c>
      <c r="V164">
        <v>0.9</v>
      </c>
      <c r="W164">
        <v>3.1</v>
      </c>
      <c r="X164">
        <v>4.0999999999999996</v>
      </c>
      <c r="Y164">
        <v>0.9</v>
      </c>
      <c r="Z164">
        <v>0.4</v>
      </c>
      <c r="AA164">
        <v>0.4</v>
      </c>
      <c r="AB164">
        <v>0.9</v>
      </c>
      <c r="AC164">
        <v>1.3</v>
      </c>
      <c r="AD164">
        <v>7.6</v>
      </c>
      <c r="AE164">
        <v>1247</v>
      </c>
      <c r="AF164">
        <v>14.2</v>
      </c>
      <c r="AG164">
        <v>0.60699999999999998</v>
      </c>
      <c r="AH164">
        <v>0.58799999999999997</v>
      </c>
      <c r="AI164">
        <v>0.30399999999999999</v>
      </c>
      <c r="AJ164">
        <v>6.3</v>
      </c>
      <c r="AK164">
        <v>21.1</v>
      </c>
      <c r="AL164">
        <v>13.7</v>
      </c>
      <c r="AM164">
        <v>7</v>
      </c>
      <c r="AN164">
        <v>1</v>
      </c>
      <c r="AO164">
        <v>2.2000000000000002</v>
      </c>
      <c r="AP164">
        <v>12.2</v>
      </c>
      <c r="AQ164">
        <v>18.100000000000001</v>
      </c>
      <c r="AR164">
        <v>1.4</v>
      </c>
      <c r="AS164">
        <v>1.2</v>
      </c>
      <c r="AT164">
        <v>2.6</v>
      </c>
      <c r="AU164">
        <v>9.8000000000000004E-2</v>
      </c>
      <c r="AV164">
        <v>0</v>
      </c>
      <c r="AW164">
        <v>-0.9</v>
      </c>
      <c r="AX164">
        <v>-1</v>
      </c>
      <c r="AY164">
        <v>0.3</v>
      </c>
      <c r="AZ164" s="8">
        <v>0.8</v>
      </c>
      <c r="BA164" s="8">
        <v>0.30476190476190479</v>
      </c>
      <c r="BB164" s="3">
        <v>0</v>
      </c>
    </row>
    <row r="165" spans="1:54" x14ac:dyDescent="0.25">
      <c r="A165" t="s">
        <v>364</v>
      </c>
      <c r="B165" s="2">
        <v>2573760</v>
      </c>
      <c r="C165" t="s">
        <v>75</v>
      </c>
      <c r="D165">
        <v>21</v>
      </c>
      <c r="E165" t="s">
        <v>93</v>
      </c>
      <c r="F165">
        <v>63</v>
      </c>
      <c r="G165">
        <v>12</v>
      </c>
      <c r="H165">
        <v>16.5</v>
      </c>
      <c r="I165">
        <v>2.8</v>
      </c>
      <c r="J165">
        <v>5</v>
      </c>
      <c r="K165">
        <v>0.56299999999999994</v>
      </c>
      <c r="L165">
        <v>0</v>
      </c>
      <c r="M165">
        <v>0.2</v>
      </c>
      <c r="N165">
        <v>0.14299999999999999</v>
      </c>
      <c r="O165">
        <v>2.8</v>
      </c>
      <c r="P165">
        <v>4.8</v>
      </c>
      <c r="Q165">
        <v>0.58199999999999996</v>
      </c>
      <c r="R165">
        <v>0.56599999999999995</v>
      </c>
      <c r="S165">
        <v>1.5</v>
      </c>
      <c r="T165">
        <v>2.2999999999999998</v>
      </c>
      <c r="U165">
        <v>0.65100000000000002</v>
      </c>
      <c r="V165">
        <v>1.8</v>
      </c>
      <c r="W165">
        <v>2.7</v>
      </c>
      <c r="X165">
        <v>4.5</v>
      </c>
      <c r="Y165">
        <v>0.8</v>
      </c>
      <c r="Z165">
        <v>0.5</v>
      </c>
      <c r="AA165">
        <v>1.5</v>
      </c>
      <c r="AB165">
        <v>0.8</v>
      </c>
      <c r="AC165">
        <v>2.4</v>
      </c>
      <c r="AD165">
        <v>7.2</v>
      </c>
      <c r="AE165">
        <v>1042</v>
      </c>
      <c r="AF165">
        <v>17.5</v>
      </c>
      <c r="AG165">
        <v>0.59499999999999997</v>
      </c>
      <c r="AH165">
        <v>4.3999999999999997E-2</v>
      </c>
      <c r="AI165">
        <v>0.45900000000000002</v>
      </c>
      <c r="AJ165">
        <v>12.1</v>
      </c>
      <c r="AK165">
        <v>18</v>
      </c>
      <c r="AL165">
        <v>15</v>
      </c>
      <c r="AM165">
        <v>7</v>
      </c>
      <c r="AN165">
        <v>1.4</v>
      </c>
      <c r="AO165">
        <v>7.7</v>
      </c>
      <c r="AP165">
        <v>11.8</v>
      </c>
      <c r="AQ165">
        <v>17.399999999999999</v>
      </c>
      <c r="AR165">
        <v>1.5</v>
      </c>
      <c r="AS165">
        <v>1.2</v>
      </c>
      <c r="AT165">
        <v>2.7</v>
      </c>
      <c r="AU165">
        <v>0.124</v>
      </c>
      <c r="AV165">
        <v>-1.7</v>
      </c>
      <c r="AW165">
        <v>0.9</v>
      </c>
      <c r="AX165">
        <v>-0.8</v>
      </c>
      <c r="AY165">
        <v>0.3</v>
      </c>
      <c r="AZ165" s="8">
        <v>0.95000000000000007</v>
      </c>
      <c r="BA165" s="8">
        <v>0.36910978490612961</v>
      </c>
      <c r="BB165" s="3">
        <v>0</v>
      </c>
    </row>
    <row r="166" spans="1:54" x14ac:dyDescent="0.25">
      <c r="A166" t="s">
        <v>375</v>
      </c>
      <c r="B166" s="2">
        <v>2300000</v>
      </c>
      <c r="C166" t="s">
        <v>65</v>
      </c>
      <c r="D166">
        <v>26</v>
      </c>
      <c r="E166" t="s">
        <v>150</v>
      </c>
      <c r="F166">
        <v>72</v>
      </c>
      <c r="G166">
        <v>23</v>
      </c>
      <c r="H166">
        <v>20.8</v>
      </c>
      <c r="I166">
        <v>1.9</v>
      </c>
      <c r="J166">
        <v>4.4000000000000004</v>
      </c>
      <c r="K166">
        <v>0.43099999999999999</v>
      </c>
      <c r="L166">
        <v>0.8</v>
      </c>
      <c r="M166">
        <v>2.5</v>
      </c>
      <c r="N166">
        <v>0.33900000000000002</v>
      </c>
      <c r="O166">
        <v>1.1000000000000001</v>
      </c>
      <c r="P166">
        <v>2</v>
      </c>
      <c r="Q166">
        <v>0.54500000000000004</v>
      </c>
      <c r="R166">
        <v>0.52500000000000002</v>
      </c>
      <c r="S166">
        <v>0.4</v>
      </c>
      <c r="T166">
        <v>0.5</v>
      </c>
      <c r="U166">
        <v>0.77800000000000002</v>
      </c>
      <c r="V166">
        <v>0.9</v>
      </c>
      <c r="W166">
        <v>3.4</v>
      </c>
      <c r="X166">
        <v>4.3</v>
      </c>
      <c r="Y166">
        <v>1.4</v>
      </c>
      <c r="Z166">
        <v>1.1000000000000001</v>
      </c>
      <c r="AA166">
        <v>0.3</v>
      </c>
      <c r="AB166">
        <v>0.5</v>
      </c>
      <c r="AC166">
        <v>1.6</v>
      </c>
      <c r="AD166">
        <v>5.0999999999999996</v>
      </c>
      <c r="AE166">
        <v>1494</v>
      </c>
      <c r="AF166">
        <v>10.8</v>
      </c>
      <c r="AG166">
        <v>0.54200000000000004</v>
      </c>
      <c r="AH166">
        <v>0.55300000000000005</v>
      </c>
      <c r="AI166">
        <v>0.113</v>
      </c>
      <c r="AJ166">
        <v>4.5</v>
      </c>
      <c r="AK166">
        <v>17.399999999999999</v>
      </c>
      <c r="AL166">
        <v>11</v>
      </c>
      <c r="AM166">
        <v>8.1999999999999993</v>
      </c>
      <c r="AN166">
        <v>2.4</v>
      </c>
      <c r="AO166">
        <v>1.5</v>
      </c>
      <c r="AP166">
        <v>9.9</v>
      </c>
      <c r="AQ166">
        <v>10.4</v>
      </c>
      <c r="AR166">
        <v>1</v>
      </c>
      <c r="AS166">
        <v>2.5</v>
      </c>
      <c r="AT166">
        <v>3.5</v>
      </c>
      <c r="AU166">
        <v>0.111</v>
      </c>
      <c r="AV166">
        <v>-1.9</v>
      </c>
      <c r="AW166">
        <v>2.4</v>
      </c>
      <c r="AX166">
        <v>0.5</v>
      </c>
      <c r="AY166">
        <v>0.9</v>
      </c>
      <c r="AZ166" s="8">
        <v>2</v>
      </c>
      <c r="BA166" s="8">
        <v>0.86956521739130432</v>
      </c>
      <c r="BB166" s="3">
        <v>0</v>
      </c>
    </row>
    <row r="167" spans="1:54" x14ac:dyDescent="0.25">
      <c r="A167" t="s">
        <v>379</v>
      </c>
      <c r="B167" s="2">
        <v>2277000</v>
      </c>
      <c r="C167" t="s">
        <v>62</v>
      </c>
      <c r="D167">
        <v>22</v>
      </c>
      <c r="E167" t="s">
        <v>123</v>
      </c>
      <c r="F167">
        <v>71</v>
      </c>
      <c r="G167">
        <v>66</v>
      </c>
      <c r="H167">
        <v>29.9</v>
      </c>
      <c r="I167">
        <v>4</v>
      </c>
      <c r="J167">
        <v>8.5</v>
      </c>
      <c r="K167">
        <v>0.46800000000000003</v>
      </c>
      <c r="L167">
        <v>2.2000000000000002</v>
      </c>
      <c r="M167">
        <v>5.7</v>
      </c>
      <c r="N167">
        <v>0.38600000000000001</v>
      </c>
      <c r="O167">
        <v>1.8</v>
      </c>
      <c r="P167">
        <v>2.7</v>
      </c>
      <c r="Q167">
        <v>0.64100000000000001</v>
      </c>
      <c r="R167">
        <v>0.59899999999999998</v>
      </c>
      <c r="S167">
        <v>1.1000000000000001</v>
      </c>
      <c r="T167">
        <v>1.4</v>
      </c>
      <c r="U167">
        <v>0.79600000000000004</v>
      </c>
      <c r="V167">
        <v>0.7</v>
      </c>
      <c r="W167">
        <v>2.5</v>
      </c>
      <c r="X167">
        <v>3.2</v>
      </c>
      <c r="Y167">
        <v>2.1</v>
      </c>
      <c r="Z167">
        <v>0.7</v>
      </c>
      <c r="AA167">
        <v>0.4</v>
      </c>
      <c r="AB167">
        <v>1</v>
      </c>
      <c r="AC167">
        <v>2.5</v>
      </c>
      <c r="AD167">
        <v>11.3</v>
      </c>
      <c r="AE167">
        <v>2121</v>
      </c>
      <c r="AF167">
        <v>11.7</v>
      </c>
      <c r="AG167">
        <v>0.61899999999999999</v>
      </c>
      <c r="AH167">
        <v>0.67600000000000005</v>
      </c>
      <c r="AI167">
        <v>0.16300000000000001</v>
      </c>
      <c r="AJ167">
        <v>2.5</v>
      </c>
      <c r="AK167">
        <v>9.4</v>
      </c>
      <c r="AL167">
        <v>5.9</v>
      </c>
      <c r="AM167">
        <v>9.6999999999999993</v>
      </c>
      <c r="AN167">
        <v>1.1000000000000001</v>
      </c>
      <c r="AO167">
        <v>1.2</v>
      </c>
      <c r="AP167">
        <v>9.6999999999999993</v>
      </c>
      <c r="AQ167">
        <v>14.4</v>
      </c>
      <c r="AR167">
        <v>3.2</v>
      </c>
      <c r="AS167">
        <v>1.6</v>
      </c>
      <c r="AT167">
        <v>4.8</v>
      </c>
      <c r="AU167">
        <v>0.108</v>
      </c>
      <c r="AV167">
        <v>-0.3</v>
      </c>
      <c r="AW167">
        <v>0.1</v>
      </c>
      <c r="AX167">
        <v>-0.1</v>
      </c>
      <c r="AY167">
        <v>1</v>
      </c>
      <c r="AZ167" s="8">
        <v>2.35</v>
      </c>
      <c r="BA167" s="8">
        <v>1.0320597277119017</v>
      </c>
      <c r="BB167" s="3">
        <v>0</v>
      </c>
    </row>
    <row r="168" spans="1:54" x14ac:dyDescent="0.25">
      <c r="A168" t="s">
        <v>383</v>
      </c>
      <c r="B168" s="2">
        <v>2201520</v>
      </c>
      <c r="C168" t="s">
        <v>52</v>
      </c>
      <c r="D168">
        <v>22</v>
      </c>
      <c r="E168" t="s">
        <v>55</v>
      </c>
      <c r="F168">
        <v>56</v>
      </c>
      <c r="G168">
        <v>1</v>
      </c>
      <c r="H168">
        <v>19.399999999999999</v>
      </c>
      <c r="I168">
        <v>4.0999999999999996</v>
      </c>
      <c r="J168">
        <v>10.199999999999999</v>
      </c>
      <c r="K168">
        <v>0.39900000000000002</v>
      </c>
      <c r="L168">
        <v>2.1</v>
      </c>
      <c r="M168">
        <v>5.6</v>
      </c>
      <c r="N168">
        <v>0.371</v>
      </c>
      <c r="O168">
        <v>2</v>
      </c>
      <c r="P168">
        <v>4.5999999999999996</v>
      </c>
      <c r="Q168">
        <v>0.434</v>
      </c>
      <c r="R168">
        <v>0.502</v>
      </c>
      <c r="S168">
        <v>1.5</v>
      </c>
      <c r="T168">
        <v>1.8</v>
      </c>
      <c r="U168">
        <v>0.84299999999999997</v>
      </c>
      <c r="V168">
        <v>0.4</v>
      </c>
      <c r="W168">
        <v>2.1</v>
      </c>
      <c r="X168">
        <v>2.4</v>
      </c>
      <c r="Y168">
        <v>3.1</v>
      </c>
      <c r="Z168">
        <v>0.7</v>
      </c>
      <c r="AA168">
        <v>0.3</v>
      </c>
      <c r="AB168">
        <v>1.5</v>
      </c>
      <c r="AC168">
        <v>1.7</v>
      </c>
      <c r="AD168">
        <v>11.8</v>
      </c>
      <c r="AE168">
        <v>1085</v>
      </c>
      <c r="AF168">
        <v>14.9</v>
      </c>
      <c r="AG168">
        <v>0.53500000000000003</v>
      </c>
      <c r="AH168">
        <v>0.55200000000000005</v>
      </c>
      <c r="AI168">
        <v>0.17899999999999999</v>
      </c>
      <c r="AJ168">
        <v>2.1</v>
      </c>
      <c r="AK168">
        <v>11.8</v>
      </c>
      <c r="AL168">
        <v>7.1</v>
      </c>
      <c r="AM168">
        <v>23.4</v>
      </c>
      <c r="AN168">
        <v>1.8</v>
      </c>
      <c r="AO168">
        <v>1.2</v>
      </c>
      <c r="AP168">
        <v>11.7</v>
      </c>
      <c r="AQ168">
        <v>28</v>
      </c>
      <c r="AR168">
        <v>0.3</v>
      </c>
      <c r="AS168">
        <v>1.1000000000000001</v>
      </c>
      <c r="AT168">
        <v>1.4</v>
      </c>
      <c r="AU168">
        <v>6.2E-2</v>
      </c>
      <c r="AV168">
        <v>0.4</v>
      </c>
      <c r="AW168">
        <v>-1.2</v>
      </c>
      <c r="AX168">
        <v>-0.8</v>
      </c>
      <c r="AY168">
        <v>0.3</v>
      </c>
      <c r="AZ168" s="8">
        <v>0.29999999999999993</v>
      </c>
      <c r="BA168" s="8">
        <v>0.1362694865365747</v>
      </c>
      <c r="BB168" s="3">
        <v>0</v>
      </c>
    </row>
    <row r="169" spans="1:54" x14ac:dyDescent="0.25">
      <c r="A169" t="s">
        <v>384</v>
      </c>
      <c r="B169" s="2">
        <v>2200000</v>
      </c>
      <c r="C169" t="s">
        <v>28</v>
      </c>
      <c r="D169">
        <v>23</v>
      </c>
      <c r="E169" t="s">
        <v>152</v>
      </c>
      <c r="F169">
        <v>70</v>
      </c>
      <c r="G169">
        <v>33</v>
      </c>
      <c r="H169">
        <v>21.5</v>
      </c>
      <c r="I169">
        <v>3.7</v>
      </c>
      <c r="J169">
        <v>6.8</v>
      </c>
      <c r="K169">
        <v>0.54600000000000004</v>
      </c>
      <c r="L169">
        <v>0.4</v>
      </c>
      <c r="M169">
        <v>1.6</v>
      </c>
      <c r="N169">
        <v>0.26500000000000001</v>
      </c>
      <c r="O169">
        <v>3.3</v>
      </c>
      <c r="P169">
        <v>5.2</v>
      </c>
      <c r="Q169">
        <v>0.63300000000000001</v>
      </c>
      <c r="R169">
        <v>0.57699999999999996</v>
      </c>
      <c r="S169">
        <v>1.2</v>
      </c>
      <c r="T169">
        <v>1.5</v>
      </c>
      <c r="U169">
        <v>0.75900000000000001</v>
      </c>
      <c r="V169">
        <v>1</v>
      </c>
      <c r="W169">
        <v>4.8</v>
      </c>
      <c r="X169">
        <v>5.8</v>
      </c>
      <c r="Y169">
        <v>1</v>
      </c>
      <c r="Z169">
        <v>0.4</v>
      </c>
      <c r="AA169">
        <v>1.2</v>
      </c>
      <c r="AB169">
        <v>1.6</v>
      </c>
      <c r="AC169">
        <v>1.3</v>
      </c>
      <c r="AD169">
        <v>9.1</v>
      </c>
      <c r="AE169">
        <v>1505</v>
      </c>
      <c r="AF169">
        <v>14.4</v>
      </c>
      <c r="AG169">
        <v>0.60299999999999998</v>
      </c>
      <c r="AH169">
        <v>0.23599999999999999</v>
      </c>
      <c r="AI169">
        <v>0.22600000000000001</v>
      </c>
      <c r="AJ169">
        <v>5.2</v>
      </c>
      <c r="AK169">
        <v>25.3</v>
      </c>
      <c r="AL169">
        <v>15.2</v>
      </c>
      <c r="AM169">
        <v>6.9</v>
      </c>
      <c r="AN169">
        <v>1</v>
      </c>
      <c r="AO169">
        <v>5.5</v>
      </c>
      <c r="AP169">
        <v>17.600000000000001</v>
      </c>
      <c r="AQ169">
        <v>18.2</v>
      </c>
      <c r="AR169">
        <v>0</v>
      </c>
      <c r="AS169">
        <v>2.2000000000000002</v>
      </c>
      <c r="AT169">
        <v>2.2999999999999998</v>
      </c>
      <c r="AU169">
        <v>7.1999999999999995E-2</v>
      </c>
      <c r="AV169">
        <v>-1.8</v>
      </c>
      <c r="AW169">
        <v>0.9</v>
      </c>
      <c r="AX169">
        <v>-0.9</v>
      </c>
      <c r="AY169">
        <v>0.4</v>
      </c>
      <c r="AZ169" s="8">
        <v>0.7</v>
      </c>
      <c r="BA169" s="8">
        <v>0.31818181818181818</v>
      </c>
      <c r="BB169" s="3">
        <v>0</v>
      </c>
    </row>
    <row r="170" spans="1:54" x14ac:dyDescent="0.25">
      <c r="A170" t="s">
        <v>387</v>
      </c>
      <c r="B170" s="2">
        <v>2161440</v>
      </c>
      <c r="C170" t="s">
        <v>65</v>
      </c>
      <c r="D170">
        <v>22</v>
      </c>
      <c r="E170" t="s">
        <v>76</v>
      </c>
      <c r="F170">
        <v>79</v>
      </c>
      <c r="G170">
        <v>79</v>
      </c>
      <c r="H170">
        <v>30.6</v>
      </c>
      <c r="I170">
        <v>4.7</v>
      </c>
      <c r="J170">
        <v>9.1</v>
      </c>
      <c r="K170">
        <v>0.51700000000000002</v>
      </c>
      <c r="L170">
        <v>1.4</v>
      </c>
      <c r="M170">
        <v>3.4</v>
      </c>
      <c r="N170">
        <v>0.39800000000000002</v>
      </c>
      <c r="O170">
        <v>3.3</v>
      </c>
      <c r="P170">
        <v>5.7</v>
      </c>
      <c r="Q170">
        <v>0.58799999999999997</v>
      </c>
      <c r="R170">
        <v>0.59099999999999997</v>
      </c>
      <c r="S170">
        <v>1.3</v>
      </c>
      <c r="T170">
        <v>1.8</v>
      </c>
      <c r="U170">
        <v>0.73599999999999999</v>
      </c>
      <c r="V170">
        <v>1.2</v>
      </c>
      <c r="W170">
        <v>2.7</v>
      </c>
      <c r="X170">
        <v>3.9</v>
      </c>
      <c r="Y170">
        <v>1.9</v>
      </c>
      <c r="Z170">
        <v>0.9</v>
      </c>
      <c r="AA170">
        <v>1</v>
      </c>
      <c r="AB170">
        <v>1.4</v>
      </c>
      <c r="AC170">
        <v>3.4</v>
      </c>
      <c r="AD170">
        <v>12.1</v>
      </c>
      <c r="AE170">
        <v>2416</v>
      </c>
      <c r="AF170">
        <v>12</v>
      </c>
      <c r="AG170">
        <v>0.61099999999999999</v>
      </c>
      <c r="AH170">
        <v>0.376</v>
      </c>
      <c r="AI170">
        <v>0.20100000000000001</v>
      </c>
      <c r="AJ170">
        <v>4.3</v>
      </c>
      <c r="AK170">
        <v>9.8000000000000007</v>
      </c>
      <c r="AL170">
        <v>7.1</v>
      </c>
      <c r="AM170">
        <v>8.4</v>
      </c>
      <c r="AN170">
        <v>1.5</v>
      </c>
      <c r="AO170">
        <v>2.7</v>
      </c>
      <c r="AP170">
        <v>12.6</v>
      </c>
      <c r="AQ170">
        <v>15.8</v>
      </c>
      <c r="AR170">
        <v>2</v>
      </c>
      <c r="AS170">
        <v>2.4</v>
      </c>
      <c r="AT170">
        <v>4.4000000000000004</v>
      </c>
      <c r="AU170">
        <v>8.6999999999999994E-2</v>
      </c>
      <c r="AV170">
        <v>-1.7</v>
      </c>
      <c r="AW170">
        <v>0.5</v>
      </c>
      <c r="AX170">
        <v>-1.2</v>
      </c>
      <c r="AY170">
        <v>0.5</v>
      </c>
      <c r="AZ170" s="8">
        <v>1.6</v>
      </c>
      <c r="BA170" s="8">
        <v>0.74024724257902141</v>
      </c>
      <c r="BB170" s="3">
        <v>0</v>
      </c>
    </row>
    <row r="171" spans="1:54" x14ac:dyDescent="0.25">
      <c r="A171" t="s">
        <v>392</v>
      </c>
      <c r="B171" s="2">
        <v>2133278</v>
      </c>
      <c r="C171" t="s">
        <v>62</v>
      </c>
      <c r="D171">
        <v>30</v>
      </c>
      <c r="E171" t="s">
        <v>60</v>
      </c>
      <c r="F171">
        <v>74</v>
      </c>
      <c r="G171">
        <v>5</v>
      </c>
      <c r="H171">
        <v>20.399999999999999</v>
      </c>
      <c r="I171">
        <v>2.7</v>
      </c>
      <c r="J171">
        <v>6.1</v>
      </c>
      <c r="K171">
        <v>0.442</v>
      </c>
      <c r="L171">
        <v>1.5</v>
      </c>
      <c r="M171">
        <v>3.3</v>
      </c>
      <c r="N171">
        <v>0.44500000000000001</v>
      </c>
      <c r="O171">
        <v>1.2</v>
      </c>
      <c r="P171">
        <v>2.8</v>
      </c>
      <c r="Q171">
        <v>0.439</v>
      </c>
      <c r="R171">
        <v>0.56399999999999995</v>
      </c>
      <c r="S171">
        <v>1.3</v>
      </c>
      <c r="T171">
        <v>1.4</v>
      </c>
      <c r="U171">
        <v>0.90400000000000003</v>
      </c>
      <c r="V171">
        <v>0.5</v>
      </c>
      <c r="W171">
        <v>2.5</v>
      </c>
      <c r="X171">
        <v>3</v>
      </c>
      <c r="Y171">
        <v>1.3</v>
      </c>
      <c r="Z171">
        <v>0.4</v>
      </c>
      <c r="AA171">
        <v>0.1</v>
      </c>
      <c r="AB171">
        <v>1.1000000000000001</v>
      </c>
      <c r="AC171">
        <v>1.6</v>
      </c>
      <c r="AD171">
        <v>8.1999999999999993</v>
      </c>
      <c r="AE171">
        <v>1506</v>
      </c>
      <c r="AF171">
        <v>10.7</v>
      </c>
      <c r="AG171">
        <v>0.60699999999999998</v>
      </c>
      <c r="AH171">
        <v>0.54600000000000004</v>
      </c>
      <c r="AI171">
        <v>0.23</v>
      </c>
      <c r="AJ171">
        <v>2.8</v>
      </c>
      <c r="AK171">
        <v>14</v>
      </c>
      <c r="AL171">
        <v>8.3000000000000007</v>
      </c>
      <c r="AM171">
        <v>8.9</v>
      </c>
      <c r="AN171">
        <v>1</v>
      </c>
      <c r="AO171">
        <v>0.4</v>
      </c>
      <c r="AP171">
        <v>13.5</v>
      </c>
      <c r="AQ171">
        <v>16.3</v>
      </c>
      <c r="AR171">
        <v>1.1000000000000001</v>
      </c>
      <c r="AS171">
        <v>1.4</v>
      </c>
      <c r="AT171">
        <v>2.6</v>
      </c>
      <c r="AU171">
        <v>8.1000000000000003E-2</v>
      </c>
      <c r="AV171">
        <v>-1.3</v>
      </c>
      <c r="AW171">
        <v>-0.4</v>
      </c>
      <c r="AX171">
        <v>-1.7</v>
      </c>
      <c r="AY171">
        <v>0.1</v>
      </c>
      <c r="AZ171" s="8">
        <v>0.45000000000000007</v>
      </c>
      <c r="BA171" s="8">
        <v>0.21094297133331899</v>
      </c>
      <c r="BB171" s="3">
        <v>0</v>
      </c>
    </row>
    <row r="172" spans="1:54" x14ac:dyDescent="0.25">
      <c r="A172" t="s">
        <v>402</v>
      </c>
      <c r="B172" s="2">
        <v>2000000</v>
      </c>
      <c r="C172" t="s">
        <v>28</v>
      </c>
      <c r="D172">
        <v>28</v>
      </c>
      <c r="E172" t="s">
        <v>109</v>
      </c>
      <c r="F172">
        <v>53</v>
      </c>
      <c r="G172">
        <v>10</v>
      </c>
      <c r="H172">
        <v>22.8</v>
      </c>
      <c r="I172">
        <v>3.4</v>
      </c>
      <c r="J172">
        <v>6.5</v>
      </c>
      <c r="K172">
        <v>0.51700000000000002</v>
      </c>
      <c r="L172">
        <v>0.9</v>
      </c>
      <c r="M172">
        <v>2.5</v>
      </c>
      <c r="N172">
        <v>0.373</v>
      </c>
      <c r="O172">
        <v>2.4</v>
      </c>
      <c r="P172">
        <v>4</v>
      </c>
      <c r="Q172">
        <v>0.60799999999999998</v>
      </c>
      <c r="R172">
        <v>0.59</v>
      </c>
      <c r="S172">
        <v>0.3</v>
      </c>
      <c r="T172">
        <v>0.7</v>
      </c>
      <c r="U172">
        <v>0.436</v>
      </c>
      <c r="V172">
        <v>1.8</v>
      </c>
      <c r="W172">
        <v>3.1</v>
      </c>
      <c r="X172">
        <v>4.9000000000000004</v>
      </c>
      <c r="Y172">
        <v>2</v>
      </c>
      <c r="Z172">
        <v>0.8</v>
      </c>
      <c r="AA172">
        <v>0.3</v>
      </c>
      <c r="AB172">
        <v>0.6</v>
      </c>
      <c r="AC172">
        <v>2.1</v>
      </c>
      <c r="AD172">
        <v>8</v>
      </c>
      <c r="AE172">
        <v>1206</v>
      </c>
      <c r="AF172">
        <v>14.4</v>
      </c>
      <c r="AG172">
        <v>0.58499999999999996</v>
      </c>
      <c r="AH172">
        <v>0.38700000000000001</v>
      </c>
      <c r="AI172">
        <v>0.113</v>
      </c>
      <c r="AJ172">
        <v>8.5</v>
      </c>
      <c r="AK172">
        <v>14.9</v>
      </c>
      <c r="AL172">
        <v>11.6</v>
      </c>
      <c r="AM172">
        <v>11.7</v>
      </c>
      <c r="AN172">
        <v>1.8</v>
      </c>
      <c r="AO172">
        <v>1.1000000000000001</v>
      </c>
      <c r="AP172">
        <v>8.1</v>
      </c>
      <c r="AQ172">
        <v>13.7</v>
      </c>
      <c r="AR172">
        <v>2</v>
      </c>
      <c r="AS172">
        <v>1.3</v>
      </c>
      <c r="AT172">
        <v>3.3</v>
      </c>
      <c r="AU172">
        <v>0.13300000000000001</v>
      </c>
      <c r="AV172">
        <v>0.1</v>
      </c>
      <c r="AW172">
        <v>0.4</v>
      </c>
      <c r="AX172">
        <v>0.5</v>
      </c>
      <c r="AY172">
        <v>0.8</v>
      </c>
      <c r="AZ172" s="8">
        <v>1.9</v>
      </c>
      <c r="BA172" s="8">
        <v>0.95</v>
      </c>
      <c r="BB172" s="3">
        <v>0</v>
      </c>
    </row>
    <row r="173" spans="1:54" x14ac:dyDescent="0.25">
      <c r="A173" t="s">
        <v>404</v>
      </c>
      <c r="B173" s="2">
        <v>1997718</v>
      </c>
      <c r="C173" t="s">
        <v>62</v>
      </c>
      <c r="D173">
        <v>26</v>
      </c>
      <c r="E173" t="s">
        <v>82</v>
      </c>
      <c r="F173">
        <v>76</v>
      </c>
      <c r="G173">
        <v>11</v>
      </c>
      <c r="H173">
        <v>20.6</v>
      </c>
      <c r="I173">
        <v>3.2</v>
      </c>
      <c r="J173">
        <v>6.6</v>
      </c>
      <c r="K173">
        <v>0.47899999999999998</v>
      </c>
      <c r="L173">
        <v>0.7</v>
      </c>
      <c r="M173">
        <v>1.9</v>
      </c>
      <c r="N173">
        <v>0.378</v>
      </c>
      <c r="O173">
        <v>2.4</v>
      </c>
      <c r="P173">
        <v>4.7</v>
      </c>
      <c r="Q173">
        <v>0.52100000000000002</v>
      </c>
      <c r="R173">
        <v>0.53500000000000003</v>
      </c>
      <c r="S173">
        <v>1.3</v>
      </c>
      <c r="T173">
        <v>1.5</v>
      </c>
      <c r="U173">
        <v>0.85299999999999998</v>
      </c>
      <c r="V173">
        <v>0.5</v>
      </c>
      <c r="W173">
        <v>2</v>
      </c>
      <c r="X173">
        <v>2.5</v>
      </c>
      <c r="Y173">
        <v>3.2</v>
      </c>
      <c r="Z173">
        <v>0.3</v>
      </c>
      <c r="AA173">
        <v>0.2</v>
      </c>
      <c r="AB173">
        <v>1.2</v>
      </c>
      <c r="AC173">
        <v>1.6</v>
      </c>
      <c r="AD173">
        <v>8.4</v>
      </c>
      <c r="AE173">
        <v>1567</v>
      </c>
      <c r="AF173">
        <v>12.7</v>
      </c>
      <c r="AG173">
        <v>0.57499999999999996</v>
      </c>
      <c r="AH173">
        <v>0.29399999999999998</v>
      </c>
      <c r="AI173">
        <v>0.23100000000000001</v>
      </c>
      <c r="AJ173">
        <v>3</v>
      </c>
      <c r="AK173">
        <v>11.3</v>
      </c>
      <c r="AL173">
        <v>7.2</v>
      </c>
      <c r="AM173">
        <v>22.3</v>
      </c>
      <c r="AN173">
        <v>0.8</v>
      </c>
      <c r="AO173">
        <v>0.8</v>
      </c>
      <c r="AP173">
        <v>14.5</v>
      </c>
      <c r="AQ173">
        <v>18.5</v>
      </c>
      <c r="AR173">
        <v>1.6</v>
      </c>
      <c r="AS173">
        <v>1.2</v>
      </c>
      <c r="AT173">
        <v>2.9</v>
      </c>
      <c r="AU173">
        <v>8.6999999999999994E-2</v>
      </c>
      <c r="AV173">
        <v>-1</v>
      </c>
      <c r="AW173">
        <v>-0.9</v>
      </c>
      <c r="AX173">
        <v>-2</v>
      </c>
      <c r="AY173">
        <v>0</v>
      </c>
      <c r="AZ173" s="8">
        <v>0.44999999999999996</v>
      </c>
      <c r="BA173" s="8">
        <v>0.22525701825783215</v>
      </c>
      <c r="BB173" s="3">
        <v>0</v>
      </c>
    </row>
    <row r="174" spans="1:54" x14ac:dyDescent="0.25">
      <c r="A174" t="s">
        <v>409</v>
      </c>
      <c r="B174" s="2">
        <v>1968175</v>
      </c>
      <c r="C174" t="s">
        <v>75</v>
      </c>
      <c r="D174">
        <v>25</v>
      </c>
      <c r="E174" t="s">
        <v>58</v>
      </c>
      <c r="F174">
        <v>59</v>
      </c>
      <c r="G174">
        <v>26</v>
      </c>
      <c r="H174">
        <v>18.3</v>
      </c>
      <c r="I174">
        <v>3.9</v>
      </c>
      <c r="J174">
        <v>6.3</v>
      </c>
      <c r="K174">
        <v>0.623</v>
      </c>
      <c r="L174">
        <v>0.4</v>
      </c>
      <c r="M174">
        <v>1</v>
      </c>
      <c r="N174">
        <v>0.441</v>
      </c>
      <c r="O174">
        <v>3.5</v>
      </c>
      <c r="P174">
        <v>5.3</v>
      </c>
      <c r="Q174">
        <v>0.65800000000000003</v>
      </c>
      <c r="R174">
        <v>0.65900000000000003</v>
      </c>
      <c r="S174">
        <v>1.6</v>
      </c>
      <c r="T174">
        <v>2.1</v>
      </c>
      <c r="U174">
        <v>0.73799999999999999</v>
      </c>
      <c r="V174">
        <v>1.5</v>
      </c>
      <c r="W174">
        <v>4.3</v>
      </c>
      <c r="X174">
        <v>5.7</v>
      </c>
      <c r="Y174">
        <v>0.5</v>
      </c>
      <c r="Z174">
        <v>0.3</v>
      </c>
      <c r="AA174">
        <v>0.5</v>
      </c>
      <c r="AB174">
        <v>0.6</v>
      </c>
      <c r="AC174">
        <v>1.7</v>
      </c>
      <c r="AD174">
        <v>9.8000000000000007</v>
      </c>
      <c r="AE174">
        <v>1081</v>
      </c>
      <c r="AF174">
        <v>19.7</v>
      </c>
      <c r="AG174">
        <v>0.68200000000000005</v>
      </c>
      <c r="AH174">
        <v>0.16</v>
      </c>
      <c r="AI174">
        <v>0.34100000000000003</v>
      </c>
      <c r="AJ174">
        <v>8.9</v>
      </c>
      <c r="AK174">
        <v>24.6</v>
      </c>
      <c r="AL174">
        <v>17</v>
      </c>
      <c r="AM174">
        <v>4.3</v>
      </c>
      <c r="AN174">
        <v>0.7</v>
      </c>
      <c r="AO174">
        <v>2.4</v>
      </c>
      <c r="AP174">
        <v>8.1999999999999993</v>
      </c>
      <c r="AQ174">
        <v>18.2</v>
      </c>
      <c r="AR174">
        <v>2.7</v>
      </c>
      <c r="AS174">
        <v>1.4</v>
      </c>
      <c r="AT174">
        <v>4.0999999999999996</v>
      </c>
      <c r="AU174">
        <v>0.183</v>
      </c>
      <c r="AV174">
        <v>1.1000000000000001</v>
      </c>
      <c r="AW174">
        <v>-0.5</v>
      </c>
      <c r="AX174">
        <v>0.6</v>
      </c>
      <c r="AY174">
        <v>0.7</v>
      </c>
      <c r="AZ174" s="8">
        <v>2.3499999999999996</v>
      </c>
      <c r="BA174" s="8">
        <v>1.1939995173193438</v>
      </c>
      <c r="BB174" s="3">
        <v>0</v>
      </c>
    </row>
    <row r="175" spans="1:54" x14ac:dyDescent="0.25">
      <c r="A175" t="s">
        <v>410</v>
      </c>
      <c r="B175" s="2">
        <v>1968175</v>
      </c>
      <c r="C175" t="s">
        <v>62</v>
      </c>
      <c r="D175">
        <v>24</v>
      </c>
      <c r="E175" t="s">
        <v>60</v>
      </c>
      <c r="F175">
        <v>72</v>
      </c>
      <c r="G175">
        <v>26</v>
      </c>
      <c r="H175">
        <v>18.8</v>
      </c>
      <c r="I175">
        <v>2.2999999999999998</v>
      </c>
      <c r="J175">
        <v>5.8</v>
      </c>
      <c r="K175">
        <v>0.39100000000000001</v>
      </c>
      <c r="L175">
        <v>0.9</v>
      </c>
      <c r="M175">
        <v>2.7</v>
      </c>
      <c r="N175">
        <v>0.33500000000000002</v>
      </c>
      <c r="O175">
        <v>1.3</v>
      </c>
      <c r="P175">
        <v>3</v>
      </c>
      <c r="Q175">
        <v>0.442</v>
      </c>
      <c r="R175">
        <v>0.47099999999999997</v>
      </c>
      <c r="S175">
        <v>1.9</v>
      </c>
      <c r="T175">
        <v>2.7</v>
      </c>
      <c r="U175">
        <v>0.72399999999999998</v>
      </c>
      <c r="V175">
        <v>1.5</v>
      </c>
      <c r="W175">
        <v>2</v>
      </c>
      <c r="X175">
        <v>3.5</v>
      </c>
      <c r="Y175">
        <v>1.5</v>
      </c>
      <c r="Z175">
        <v>0.8</v>
      </c>
      <c r="AA175">
        <v>0.5</v>
      </c>
      <c r="AB175">
        <v>0.9</v>
      </c>
      <c r="AC175">
        <v>1.6</v>
      </c>
      <c r="AD175">
        <v>7.3</v>
      </c>
      <c r="AE175">
        <v>1350</v>
      </c>
      <c r="AF175">
        <v>13.3</v>
      </c>
      <c r="AG175">
        <v>0.53100000000000003</v>
      </c>
      <c r="AH175">
        <v>0.47599999999999998</v>
      </c>
      <c r="AI175">
        <v>0.46400000000000002</v>
      </c>
      <c r="AJ175">
        <v>8.8000000000000007</v>
      </c>
      <c r="AK175">
        <v>11.9</v>
      </c>
      <c r="AL175">
        <v>10.3</v>
      </c>
      <c r="AM175">
        <v>10.3</v>
      </c>
      <c r="AN175">
        <v>2</v>
      </c>
      <c r="AO175">
        <v>2.2999999999999998</v>
      </c>
      <c r="AP175">
        <v>11.2</v>
      </c>
      <c r="AQ175">
        <v>17.7</v>
      </c>
      <c r="AR175">
        <v>1.1000000000000001</v>
      </c>
      <c r="AS175">
        <v>1.7</v>
      </c>
      <c r="AT175">
        <v>2.8</v>
      </c>
      <c r="AU175">
        <v>0.10100000000000001</v>
      </c>
      <c r="AV175">
        <v>-0.8</v>
      </c>
      <c r="AW175">
        <v>0.5</v>
      </c>
      <c r="AX175">
        <v>-0.2</v>
      </c>
      <c r="AY175">
        <v>0.6</v>
      </c>
      <c r="AZ175" s="8">
        <v>1.2999999999999998</v>
      </c>
      <c r="BA175" s="8">
        <v>0.66051037128304124</v>
      </c>
      <c r="BB175" s="3">
        <v>0</v>
      </c>
    </row>
    <row r="176" spans="1:54" x14ac:dyDescent="0.25">
      <c r="A176" t="s">
        <v>411</v>
      </c>
      <c r="B176" s="2">
        <v>1968175</v>
      </c>
      <c r="C176" t="s">
        <v>75</v>
      </c>
      <c r="D176">
        <v>25</v>
      </c>
      <c r="E176" t="s">
        <v>70</v>
      </c>
      <c r="F176">
        <v>78</v>
      </c>
      <c r="G176">
        <v>28</v>
      </c>
      <c r="H176">
        <v>20.3</v>
      </c>
      <c r="I176">
        <v>2.7</v>
      </c>
      <c r="J176">
        <v>4.3</v>
      </c>
      <c r="K176">
        <v>0.64100000000000001</v>
      </c>
      <c r="L176">
        <v>0.1</v>
      </c>
      <c r="M176">
        <v>0.2</v>
      </c>
      <c r="N176">
        <v>0.38900000000000001</v>
      </c>
      <c r="O176">
        <v>2.7</v>
      </c>
      <c r="P176">
        <v>4.0999999999999996</v>
      </c>
      <c r="Q176">
        <v>0.65500000000000003</v>
      </c>
      <c r="R176">
        <v>0.65100000000000002</v>
      </c>
      <c r="S176">
        <v>1.1000000000000001</v>
      </c>
      <c r="T176">
        <v>1.6</v>
      </c>
      <c r="U176">
        <v>0.66400000000000003</v>
      </c>
      <c r="V176">
        <v>1.7</v>
      </c>
      <c r="W176">
        <v>3.7</v>
      </c>
      <c r="X176">
        <v>5.4</v>
      </c>
      <c r="Y176">
        <v>1.3</v>
      </c>
      <c r="Z176">
        <v>0.5</v>
      </c>
      <c r="AA176">
        <v>1.3</v>
      </c>
      <c r="AB176">
        <v>0.9</v>
      </c>
      <c r="AC176">
        <v>2.2000000000000002</v>
      </c>
      <c r="AD176">
        <v>6.6</v>
      </c>
      <c r="AE176">
        <v>1584</v>
      </c>
      <c r="AF176">
        <v>16.2</v>
      </c>
      <c r="AG176">
        <v>0.66600000000000004</v>
      </c>
      <c r="AH176">
        <v>5.3999999999999999E-2</v>
      </c>
      <c r="AI176">
        <v>0.374</v>
      </c>
      <c r="AJ176">
        <v>9.5</v>
      </c>
      <c r="AK176">
        <v>20.9</v>
      </c>
      <c r="AL176">
        <v>15.2</v>
      </c>
      <c r="AM176">
        <v>9.1999999999999993</v>
      </c>
      <c r="AN176">
        <v>1.2</v>
      </c>
      <c r="AO176">
        <v>5.7</v>
      </c>
      <c r="AP176">
        <v>14.7</v>
      </c>
      <c r="AQ176">
        <v>12.5</v>
      </c>
      <c r="AR176">
        <v>2.9</v>
      </c>
      <c r="AS176">
        <v>1.6</v>
      </c>
      <c r="AT176">
        <v>4.4000000000000004</v>
      </c>
      <c r="AU176">
        <v>0.13400000000000001</v>
      </c>
      <c r="AV176">
        <v>-0.9</v>
      </c>
      <c r="AW176">
        <v>0.9</v>
      </c>
      <c r="AX176">
        <v>0.1</v>
      </c>
      <c r="AY176">
        <v>0.8</v>
      </c>
      <c r="AZ176" s="8">
        <v>2.25</v>
      </c>
      <c r="BA176" s="8">
        <v>1.1431910272206485</v>
      </c>
      <c r="BB176" s="3">
        <v>0</v>
      </c>
    </row>
    <row r="177" spans="1:54" x14ac:dyDescent="0.25">
      <c r="A177" t="s">
        <v>413</v>
      </c>
      <c r="B177" s="2">
        <v>1930681</v>
      </c>
      <c r="C177" t="s">
        <v>62</v>
      </c>
      <c r="D177">
        <v>26</v>
      </c>
      <c r="E177" t="s">
        <v>55</v>
      </c>
      <c r="F177">
        <v>81</v>
      </c>
      <c r="G177">
        <v>36</v>
      </c>
      <c r="H177">
        <v>23.1</v>
      </c>
      <c r="I177">
        <v>3.4</v>
      </c>
      <c r="J177">
        <v>6.5</v>
      </c>
      <c r="K177">
        <v>0.51900000000000002</v>
      </c>
      <c r="L177">
        <v>1</v>
      </c>
      <c r="M177">
        <v>2.4</v>
      </c>
      <c r="N177">
        <v>0.38900000000000001</v>
      </c>
      <c r="O177">
        <v>2.4</v>
      </c>
      <c r="P177">
        <v>4</v>
      </c>
      <c r="Q177">
        <v>0.59799999999999998</v>
      </c>
      <c r="R177">
        <v>0.59299999999999997</v>
      </c>
      <c r="S177">
        <v>1.1000000000000001</v>
      </c>
      <c r="T177">
        <v>1.5</v>
      </c>
      <c r="U177">
        <v>0.78</v>
      </c>
      <c r="V177">
        <v>1</v>
      </c>
      <c r="W177">
        <v>2.5</v>
      </c>
      <c r="X177">
        <v>3.4</v>
      </c>
      <c r="Y177">
        <v>2.2999999999999998</v>
      </c>
      <c r="Z177">
        <v>0.5</v>
      </c>
      <c r="AA177">
        <v>0.3</v>
      </c>
      <c r="AB177">
        <v>1</v>
      </c>
      <c r="AC177">
        <v>1.8</v>
      </c>
      <c r="AD177">
        <v>8.8000000000000007</v>
      </c>
      <c r="AE177">
        <v>1872</v>
      </c>
      <c r="AF177">
        <v>13.4</v>
      </c>
      <c r="AG177">
        <v>0.61899999999999999</v>
      </c>
      <c r="AH177">
        <v>0.378</v>
      </c>
      <c r="AI177">
        <v>0.22500000000000001</v>
      </c>
      <c r="AJ177">
        <v>4.7</v>
      </c>
      <c r="AK177">
        <v>11.8</v>
      </c>
      <c r="AL177">
        <v>8.3000000000000007</v>
      </c>
      <c r="AM177">
        <v>14</v>
      </c>
      <c r="AN177">
        <v>1.1000000000000001</v>
      </c>
      <c r="AO177">
        <v>1</v>
      </c>
      <c r="AP177">
        <v>12.2</v>
      </c>
      <c r="AQ177">
        <v>15.3</v>
      </c>
      <c r="AR177">
        <v>2.8</v>
      </c>
      <c r="AS177">
        <v>1.5</v>
      </c>
      <c r="AT177">
        <v>4.3</v>
      </c>
      <c r="AU177">
        <v>0.111</v>
      </c>
      <c r="AV177">
        <v>-0.3</v>
      </c>
      <c r="AW177">
        <v>0.1</v>
      </c>
      <c r="AX177">
        <v>-0.2</v>
      </c>
      <c r="AY177">
        <v>0.8</v>
      </c>
      <c r="AZ177" s="8">
        <v>2.0499999999999998</v>
      </c>
      <c r="BA177" s="8">
        <v>1.0618015094155895</v>
      </c>
      <c r="BB177" s="3">
        <v>0</v>
      </c>
    </row>
    <row r="178" spans="1:54" x14ac:dyDescent="0.25">
      <c r="A178" t="s">
        <v>415</v>
      </c>
      <c r="B178" s="2">
        <v>1930681</v>
      </c>
      <c r="C178" t="s">
        <v>75</v>
      </c>
      <c r="D178">
        <v>23</v>
      </c>
      <c r="E178" t="s">
        <v>76</v>
      </c>
      <c r="F178">
        <v>68</v>
      </c>
      <c r="G178">
        <v>11</v>
      </c>
      <c r="H178">
        <v>18.399999999999999</v>
      </c>
      <c r="I178">
        <v>4.5999999999999996</v>
      </c>
      <c r="J178">
        <v>8.5</v>
      </c>
      <c r="K178">
        <v>0.53700000000000003</v>
      </c>
      <c r="L178">
        <v>1.1000000000000001</v>
      </c>
      <c r="M178">
        <v>3.2</v>
      </c>
      <c r="N178">
        <v>0.34599999999999997</v>
      </c>
      <c r="O178">
        <v>3.5</v>
      </c>
      <c r="P178">
        <v>5.3</v>
      </c>
      <c r="Q178">
        <v>0.65300000000000002</v>
      </c>
      <c r="R178">
        <v>0.60199999999999998</v>
      </c>
      <c r="S178">
        <v>1.3</v>
      </c>
      <c r="T178">
        <v>1.9</v>
      </c>
      <c r="U178">
        <v>0.67700000000000005</v>
      </c>
      <c r="V178">
        <v>1.1000000000000001</v>
      </c>
      <c r="W178">
        <v>3.8</v>
      </c>
      <c r="X178">
        <v>4.9000000000000004</v>
      </c>
      <c r="Y178">
        <v>1.1000000000000001</v>
      </c>
      <c r="Z178">
        <v>0.6</v>
      </c>
      <c r="AA178">
        <v>0.8</v>
      </c>
      <c r="AB178">
        <v>1.4</v>
      </c>
      <c r="AC178">
        <v>2.6</v>
      </c>
      <c r="AD178">
        <v>11.5</v>
      </c>
      <c r="AE178">
        <v>1251</v>
      </c>
      <c r="AF178">
        <v>18.5</v>
      </c>
      <c r="AG178">
        <v>0.61699999999999999</v>
      </c>
      <c r="AH178">
        <v>0.376</v>
      </c>
      <c r="AI178">
        <v>0.22</v>
      </c>
      <c r="AJ178">
        <v>6.6</v>
      </c>
      <c r="AK178">
        <v>22.8</v>
      </c>
      <c r="AL178">
        <v>14.9</v>
      </c>
      <c r="AM178">
        <v>9.6</v>
      </c>
      <c r="AN178">
        <v>1.6</v>
      </c>
      <c r="AO178">
        <v>3.7</v>
      </c>
      <c r="AP178">
        <v>12.7</v>
      </c>
      <c r="AQ178">
        <v>24.8</v>
      </c>
      <c r="AR178">
        <v>1.1000000000000001</v>
      </c>
      <c r="AS178">
        <v>1.9</v>
      </c>
      <c r="AT178">
        <v>3</v>
      </c>
      <c r="AU178">
        <v>0.114</v>
      </c>
      <c r="AV178">
        <v>0.3</v>
      </c>
      <c r="AW178">
        <v>0.8</v>
      </c>
      <c r="AX178">
        <v>1</v>
      </c>
      <c r="AY178">
        <v>1</v>
      </c>
      <c r="AZ178" s="8">
        <v>2</v>
      </c>
      <c r="BA178" s="8">
        <v>1.0359039116249655</v>
      </c>
      <c r="BB178" s="3">
        <v>0</v>
      </c>
    </row>
    <row r="179" spans="1:54" x14ac:dyDescent="0.25">
      <c r="A179" t="s">
        <v>416</v>
      </c>
      <c r="B179" s="2">
        <v>1930681</v>
      </c>
      <c r="C179" t="s">
        <v>65</v>
      </c>
      <c r="D179">
        <v>25</v>
      </c>
      <c r="E179" t="s">
        <v>118</v>
      </c>
      <c r="F179">
        <v>80</v>
      </c>
      <c r="G179">
        <v>24</v>
      </c>
      <c r="H179">
        <v>23.9</v>
      </c>
      <c r="I179">
        <v>3.5</v>
      </c>
      <c r="J179">
        <v>7.7</v>
      </c>
      <c r="K179">
        <v>0.45500000000000002</v>
      </c>
      <c r="L179">
        <v>1</v>
      </c>
      <c r="M179">
        <v>2.9</v>
      </c>
      <c r="N179">
        <v>0.33200000000000002</v>
      </c>
      <c r="O179">
        <v>2.6</v>
      </c>
      <c r="P179">
        <v>4.8</v>
      </c>
      <c r="Q179">
        <v>0.53</v>
      </c>
      <c r="R179">
        <v>0.51800000000000002</v>
      </c>
      <c r="S179">
        <v>1.5</v>
      </c>
      <c r="T179">
        <v>1.7</v>
      </c>
      <c r="U179">
        <v>0.84099999999999997</v>
      </c>
      <c r="V179">
        <v>0.8</v>
      </c>
      <c r="W179">
        <v>3.5</v>
      </c>
      <c r="X179">
        <v>4.3</v>
      </c>
      <c r="Y179">
        <v>1.6</v>
      </c>
      <c r="Z179">
        <v>1</v>
      </c>
      <c r="AA179">
        <v>0.4</v>
      </c>
      <c r="AB179">
        <v>1.2</v>
      </c>
      <c r="AC179">
        <v>2.6</v>
      </c>
      <c r="AD179">
        <v>9.4</v>
      </c>
      <c r="AE179">
        <v>1913</v>
      </c>
      <c r="AF179">
        <v>11.8</v>
      </c>
      <c r="AG179">
        <v>0.55700000000000005</v>
      </c>
      <c r="AH179">
        <v>0.376</v>
      </c>
      <c r="AI179">
        <v>0.224</v>
      </c>
      <c r="AJ179">
        <v>3.6</v>
      </c>
      <c r="AK179">
        <v>16.3</v>
      </c>
      <c r="AL179">
        <v>9.9</v>
      </c>
      <c r="AM179">
        <v>9.6</v>
      </c>
      <c r="AN179">
        <v>2.1</v>
      </c>
      <c r="AO179">
        <v>1.6</v>
      </c>
      <c r="AP179">
        <v>12.1</v>
      </c>
      <c r="AQ179">
        <v>17.2</v>
      </c>
      <c r="AR179">
        <v>0.5</v>
      </c>
      <c r="AS179">
        <v>2.2000000000000002</v>
      </c>
      <c r="AT179">
        <v>2.7</v>
      </c>
      <c r="AU179">
        <v>6.8000000000000005E-2</v>
      </c>
      <c r="AV179">
        <v>-2.7</v>
      </c>
      <c r="AW179">
        <v>0.6</v>
      </c>
      <c r="AX179">
        <v>-2.1</v>
      </c>
      <c r="AY179">
        <v>-0.1</v>
      </c>
      <c r="AZ179" s="8">
        <v>0.30000000000000004</v>
      </c>
      <c r="BA179" s="8">
        <v>0.15538558674374486</v>
      </c>
      <c r="BB179" s="3">
        <v>0</v>
      </c>
    </row>
    <row r="180" spans="1:54" x14ac:dyDescent="0.25">
      <c r="A180" t="s">
        <v>421</v>
      </c>
      <c r="B180" s="2">
        <v>1878720</v>
      </c>
      <c r="C180" t="s">
        <v>75</v>
      </c>
      <c r="D180">
        <v>25</v>
      </c>
      <c r="E180" t="s">
        <v>58</v>
      </c>
      <c r="F180">
        <v>68</v>
      </c>
      <c r="G180">
        <v>2</v>
      </c>
      <c r="H180">
        <v>15.1</v>
      </c>
      <c r="I180">
        <v>2.2999999999999998</v>
      </c>
      <c r="J180">
        <v>3.8</v>
      </c>
      <c r="K180">
        <v>0.59599999999999997</v>
      </c>
      <c r="L180">
        <v>0.1</v>
      </c>
      <c r="M180">
        <v>0.5</v>
      </c>
      <c r="N180">
        <v>0.27800000000000002</v>
      </c>
      <c r="O180">
        <v>2.1</v>
      </c>
      <c r="P180">
        <v>3.3</v>
      </c>
      <c r="Q180">
        <v>0.64700000000000002</v>
      </c>
      <c r="R180">
        <v>0.61499999999999999</v>
      </c>
      <c r="S180">
        <v>0.8</v>
      </c>
      <c r="T180">
        <v>1.2</v>
      </c>
      <c r="U180">
        <v>0.61899999999999999</v>
      </c>
      <c r="V180">
        <v>1.7</v>
      </c>
      <c r="W180">
        <v>2.5</v>
      </c>
      <c r="X180">
        <v>4.2</v>
      </c>
      <c r="Y180">
        <v>0.5</v>
      </c>
      <c r="Z180">
        <v>0.4</v>
      </c>
      <c r="AA180">
        <v>0.5</v>
      </c>
      <c r="AB180">
        <v>0.7</v>
      </c>
      <c r="AC180">
        <v>2.1</v>
      </c>
      <c r="AD180">
        <v>5.5</v>
      </c>
      <c r="AE180">
        <v>1024</v>
      </c>
      <c r="AF180">
        <v>14.4</v>
      </c>
      <c r="AG180">
        <v>0.626</v>
      </c>
      <c r="AH180">
        <v>0.13800000000000001</v>
      </c>
      <c r="AI180">
        <v>0.32300000000000001</v>
      </c>
      <c r="AJ180">
        <v>12.6</v>
      </c>
      <c r="AK180">
        <v>17.2</v>
      </c>
      <c r="AL180">
        <v>15</v>
      </c>
      <c r="AM180">
        <v>4.8</v>
      </c>
      <c r="AN180">
        <v>1.2</v>
      </c>
      <c r="AO180">
        <v>2.9</v>
      </c>
      <c r="AP180">
        <v>13.4</v>
      </c>
      <c r="AQ180">
        <v>14.1</v>
      </c>
      <c r="AR180">
        <v>1.5</v>
      </c>
      <c r="AS180">
        <v>1.3</v>
      </c>
      <c r="AT180">
        <v>2.8</v>
      </c>
      <c r="AU180">
        <v>0.13200000000000001</v>
      </c>
      <c r="AV180">
        <v>-2.2999999999999998</v>
      </c>
      <c r="AW180">
        <v>0.1</v>
      </c>
      <c r="AX180">
        <v>-2.2000000000000002</v>
      </c>
      <c r="AY180">
        <v>-0.1</v>
      </c>
      <c r="AZ180" s="8">
        <v>0.29999999999999982</v>
      </c>
      <c r="BA180" s="8">
        <v>0.15968318855390895</v>
      </c>
      <c r="BB180" s="3">
        <v>0</v>
      </c>
    </row>
    <row r="181" spans="1:54" x14ac:dyDescent="0.25">
      <c r="A181" t="s">
        <v>423</v>
      </c>
      <c r="B181" s="2">
        <v>1878720</v>
      </c>
      <c r="C181" t="s">
        <v>75</v>
      </c>
      <c r="D181">
        <v>25</v>
      </c>
      <c r="E181" t="s">
        <v>152</v>
      </c>
      <c r="F181">
        <v>57</v>
      </c>
      <c r="G181">
        <v>18</v>
      </c>
      <c r="H181">
        <v>19.5</v>
      </c>
      <c r="I181">
        <v>3.5</v>
      </c>
      <c r="J181">
        <v>6.9</v>
      </c>
      <c r="K181">
        <v>0.5</v>
      </c>
      <c r="L181">
        <v>0.9</v>
      </c>
      <c r="M181">
        <v>2.9</v>
      </c>
      <c r="N181">
        <v>0.313</v>
      </c>
      <c r="O181">
        <v>2.6</v>
      </c>
      <c r="P181">
        <v>4.0999999999999996</v>
      </c>
      <c r="Q181">
        <v>0.63100000000000001</v>
      </c>
      <c r="R181">
        <v>0.56399999999999995</v>
      </c>
      <c r="S181">
        <v>2.7</v>
      </c>
      <c r="T181">
        <v>3.2</v>
      </c>
      <c r="U181">
        <v>0.84099999999999997</v>
      </c>
      <c r="V181">
        <v>1.2</v>
      </c>
      <c r="W181">
        <v>3.3</v>
      </c>
      <c r="X181">
        <v>4.5</v>
      </c>
      <c r="Y181">
        <v>1.5</v>
      </c>
      <c r="Z181">
        <v>0.6</v>
      </c>
      <c r="AA181">
        <v>0.2</v>
      </c>
      <c r="AB181">
        <v>1.2</v>
      </c>
      <c r="AC181">
        <v>2.4</v>
      </c>
      <c r="AD181">
        <v>10.5</v>
      </c>
      <c r="AE181">
        <v>1109</v>
      </c>
      <c r="AF181">
        <v>17.399999999999999</v>
      </c>
      <c r="AG181">
        <v>0.63</v>
      </c>
      <c r="AH181">
        <v>0.41199999999999998</v>
      </c>
      <c r="AI181">
        <v>0.46</v>
      </c>
      <c r="AJ181">
        <v>7</v>
      </c>
      <c r="AK181">
        <v>19.399999999999999</v>
      </c>
      <c r="AL181">
        <v>13.2</v>
      </c>
      <c r="AM181">
        <v>11.5</v>
      </c>
      <c r="AN181">
        <v>1.6</v>
      </c>
      <c r="AO181">
        <v>1.1000000000000001</v>
      </c>
      <c r="AP181">
        <v>12.5</v>
      </c>
      <c r="AQ181">
        <v>21.1</v>
      </c>
      <c r="AR181">
        <v>2.1</v>
      </c>
      <c r="AS181">
        <v>1.3</v>
      </c>
      <c r="AT181">
        <v>3.4</v>
      </c>
      <c r="AU181">
        <v>0.14899999999999999</v>
      </c>
      <c r="AV181">
        <v>0.4</v>
      </c>
      <c r="AW181">
        <v>0.2</v>
      </c>
      <c r="AX181">
        <v>0.6</v>
      </c>
      <c r="AY181">
        <v>0.7</v>
      </c>
      <c r="AZ181" s="8">
        <v>2</v>
      </c>
      <c r="BA181" s="8">
        <v>1.0645545903593936</v>
      </c>
      <c r="BB181" s="3">
        <v>0</v>
      </c>
    </row>
    <row r="182" spans="1:54" x14ac:dyDescent="0.25">
      <c r="A182" t="s">
        <v>424</v>
      </c>
      <c r="B182" s="2">
        <v>1878720</v>
      </c>
      <c r="C182" t="s">
        <v>28</v>
      </c>
      <c r="D182">
        <v>27</v>
      </c>
      <c r="E182" t="s">
        <v>175</v>
      </c>
      <c r="F182">
        <v>67</v>
      </c>
      <c r="G182">
        <v>42</v>
      </c>
      <c r="H182">
        <v>21.7</v>
      </c>
      <c r="I182">
        <v>3.5</v>
      </c>
      <c r="J182">
        <v>6.9</v>
      </c>
      <c r="K182">
        <v>0.50800000000000001</v>
      </c>
      <c r="L182">
        <v>0.8</v>
      </c>
      <c r="M182">
        <v>2.1</v>
      </c>
      <c r="N182">
        <v>0.39400000000000002</v>
      </c>
      <c r="O182">
        <v>2.7</v>
      </c>
      <c r="P182">
        <v>4.8</v>
      </c>
      <c r="Q182">
        <v>0.55700000000000005</v>
      </c>
      <c r="R182">
        <v>0.56799999999999995</v>
      </c>
      <c r="S182">
        <v>1.8</v>
      </c>
      <c r="T182">
        <v>2.2000000000000002</v>
      </c>
      <c r="U182">
        <v>0.79300000000000004</v>
      </c>
      <c r="V182">
        <v>1</v>
      </c>
      <c r="W182">
        <v>2.7</v>
      </c>
      <c r="X182">
        <v>3.7</v>
      </c>
      <c r="Y182">
        <v>1.5</v>
      </c>
      <c r="Z182">
        <v>0.7</v>
      </c>
      <c r="AA182">
        <v>0.3</v>
      </c>
      <c r="AB182">
        <v>0.8</v>
      </c>
      <c r="AC182">
        <v>0.9</v>
      </c>
      <c r="AD182">
        <v>9.6999999999999993</v>
      </c>
      <c r="AE182">
        <v>1452</v>
      </c>
      <c r="AF182">
        <v>14.9</v>
      </c>
      <c r="AG182">
        <v>0.60899999999999999</v>
      </c>
      <c r="AH182">
        <v>0.30499999999999999</v>
      </c>
      <c r="AI182">
        <v>0.32300000000000001</v>
      </c>
      <c r="AJ182">
        <v>4.7</v>
      </c>
      <c r="AK182">
        <v>14.3</v>
      </c>
      <c r="AL182">
        <v>9.3000000000000007</v>
      </c>
      <c r="AM182">
        <v>9.8000000000000007</v>
      </c>
      <c r="AN182">
        <v>1.5</v>
      </c>
      <c r="AO182">
        <v>1.1000000000000001</v>
      </c>
      <c r="AP182">
        <v>9.5</v>
      </c>
      <c r="AQ182">
        <v>16.7</v>
      </c>
      <c r="AR182">
        <v>2.1</v>
      </c>
      <c r="AS182">
        <v>0.6</v>
      </c>
      <c r="AT182">
        <v>2.7</v>
      </c>
      <c r="AU182">
        <v>8.8999999999999996E-2</v>
      </c>
      <c r="AV182">
        <v>0.3</v>
      </c>
      <c r="AW182">
        <v>-0.9</v>
      </c>
      <c r="AX182">
        <v>-0.6</v>
      </c>
      <c r="AY182">
        <v>0.5</v>
      </c>
      <c r="AZ182" s="8">
        <v>1.05</v>
      </c>
      <c r="BA182" s="8">
        <v>0.55889115993868166</v>
      </c>
      <c r="BB182" s="3">
        <v>0</v>
      </c>
    </row>
    <row r="183" spans="1:54" x14ac:dyDescent="0.25">
      <c r="A183" t="s">
        <v>428</v>
      </c>
      <c r="B183" s="2">
        <v>1836090</v>
      </c>
      <c r="C183" t="s">
        <v>62</v>
      </c>
      <c r="D183">
        <v>23</v>
      </c>
      <c r="E183" t="s">
        <v>109</v>
      </c>
      <c r="F183">
        <v>73</v>
      </c>
      <c r="G183">
        <v>10</v>
      </c>
      <c r="H183">
        <v>19.100000000000001</v>
      </c>
      <c r="I183">
        <v>3.1</v>
      </c>
      <c r="J183">
        <v>7</v>
      </c>
      <c r="K183">
        <v>0.441</v>
      </c>
      <c r="L183">
        <v>2.2000000000000002</v>
      </c>
      <c r="M183">
        <v>5.4</v>
      </c>
      <c r="N183">
        <v>0.40899999999999997</v>
      </c>
      <c r="O183">
        <v>0.9</v>
      </c>
      <c r="P183">
        <v>1.6</v>
      </c>
      <c r="Q183">
        <v>0.55300000000000005</v>
      </c>
      <c r="R183">
        <v>0.59899999999999998</v>
      </c>
      <c r="S183">
        <v>1.1000000000000001</v>
      </c>
      <c r="T183">
        <v>1.4</v>
      </c>
      <c r="U183">
        <v>0.82</v>
      </c>
      <c r="V183">
        <v>0.4</v>
      </c>
      <c r="W183">
        <v>2</v>
      </c>
      <c r="X183">
        <v>2.4</v>
      </c>
      <c r="Y183">
        <v>1.2</v>
      </c>
      <c r="Z183">
        <v>0.7</v>
      </c>
      <c r="AA183">
        <v>0.1</v>
      </c>
      <c r="AB183">
        <v>0.5</v>
      </c>
      <c r="AC183">
        <v>1.4</v>
      </c>
      <c r="AD183">
        <v>9.5</v>
      </c>
      <c r="AE183">
        <v>1395</v>
      </c>
      <c r="AF183">
        <v>14.5</v>
      </c>
      <c r="AG183">
        <v>0.626</v>
      </c>
      <c r="AH183">
        <v>0.77600000000000002</v>
      </c>
      <c r="AI183">
        <v>0.19700000000000001</v>
      </c>
      <c r="AJ183">
        <v>2</v>
      </c>
      <c r="AK183">
        <v>11.6</v>
      </c>
      <c r="AL183">
        <v>6.7</v>
      </c>
      <c r="AM183">
        <v>8.6999999999999993</v>
      </c>
      <c r="AN183">
        <v>1.6</v>
      </c>
      <c r="AO183">
        <v>0.5</v>
      </c>
      <c r="AP183">
        <v>6.6</v>
      </c>
      <c r="AQ183">
        <v>17.7</v>
      </c>
      <c r="AR183">
        <v>2.5</v>
      </c>
      <c r="AS183">
        <v>1.3</v>
      </c>
      <c r="AT183">
        <v>3.8</v>
      </c>
      <c r="AU183">
        <v>0.13100000000000001</v>
      </c>
      <c r="AV183">
        <v>1.3</v>
      </c>
      <c r="AW183">
        <v>-0.4</v>
      </c>
      <c r="AX183">
        <v>0.9</v>
      </c>
      <c r="AY183">
        <v>1</v>
      </c>
      <c r="AZ183" s="8">
        <v>2.35</v>
      </c>
      <c r="BA183" s="8">
        <v>1.2798936871286266</v>
      </c>
      <c r="BB183" s="3">
        <v>0</v>
      </c>
    </row>
    <row r="184" spans="1:54" x14ac:dyDescent="0.25">
      <c r="A184" t="s">
        <v>433</v>
      </c>
      <c r="B184" s="2">
        <v>1815677</v>
      </c>
      <c r="C184" t="s">
        <v>65</v>
      </c>
      <c r="D184">
        <v>26</v>
      </c>
      <c r="E184" t="s">
        <v>80</v>
      </c>
      <c r="F184">
        <v>80</v>
      </c>
      <c r="G184">
        <v>33</v>
      </c>
      <c r="H184">
        <v>28.4</v>
      </c>
      <c r="I184">
        <v>4.0999999999999996</v>
      </c>
      <c r="J184">
        <v>9.9</v>
      </c>
      <c r="K184">
        <v>0.41</v>
      </c>
      <c r="L184">
        <v>2.5</v>
      </c>
      <c r="M184">
        <v>7</v>
      </c>
      <c r="N184">
        <v>0.35</v>
      </c>
      <c r="O184">
        <v>1.6</v>
      </c>
      <c r="P184">
        <v>2.8</v>
      </c>
      <c r="Q184">
        <v>0.55900000000000005</v>
      </c>
      <c r="R184">
        <v>0.53500000000000003</v>
      </c>
      <c r="S184">
        <v>1</v>
      </c>
      <c r="T184">
        <v>1.1000000000000001</v>
      </c>
      <c r="U184">
        <v>0.876</v>
      </c>
      <c r="V184">
        <v>0.6</v>
      </c>
      <c r="W184">
        <v>2.6</v>
      </c>
      <c r="X184">
        <v>3.2</v>
      </c>
      <c r="Y184">
        <v>2.1</v>
      </c>
      <c r="Z184">
        <v>0.5</v>
      </c>
      <c r="AA184">
        <v>0.2</v>
      </c>
      <c r="AB184">
        <v>0.9</v>
      </c>
      <c r="AC184">
        <v>2.1</v>
      </c>
      <c r="AD184">
        <v>11.5</v>
      </c>
      <c r="AE184">
        <v>2272</v>
      </c>
      <c r="AF184">
        <v>10.8</v>
      </c>
      <c r="AG184">
        <v>0.55700000000000005</v>
      </c>
      <c r="AH184">
        <v>0.71299999999999997</v>
      </c>
      <c r="AI184">
        <v>0.113</v>
      </c>
      <c r="AJ184">
        <v>2.4</v>
      </c>
      <c r="AK184">
        <v>11.2</v>
      </c>
      <c r="AL184">
        <v>6.7</v>
      </c>
      <c r="AM184">
        <v>11.2</v>
      </c>
      <c r="AN184">
        <v>0.9</v>
      </c>
      <c r="AO184">
        <v>0.5</v>
      </c>
      <c r="AP184">
        <v>7.8</v>
      </c>
      <c r="AQ184">
        <v>17.600000000000001</v>
      </c>
      <c r="AR184">
        <v>1.5</v>
      </c>
      <c r="AS184">
        <v>1.9</v>
      </c>
      <c r="AT184">
        <v>3.4</v>
      </c>
      <c r="AU184">
        <v>7.0999999999999994E-2</v>
      </c>
      <c r="AV184">
        <v>-0.8</v>
      </c>
      <c r="AW184">
        <v>-0.9</v>
      </c>
      <c r="AX184">
        <v>-1.7</v>
      </c>
      <c r="AY184">
        <v>0.2</v>
      </c>
      <c r="AZ184" s="8">
        <v>0.85</v>
      </c>
      <c r="BA184" s="8">
        <v>0.46814493987642075</v>
      </c>
      <c r="BB184" s="3">
        <v>0</v>
      </c>
    </row>
    <row r="185" spans="1:54" x14ac:dyDescent="0.25">
      <c r="A185" t="s">
        <v>434</v>
      </c>
      <c r="B185" s="2">
        <v>1782621</v>
      </c>
      <c r="C185" t="s">
        <v>75</v>
      </c>
      <c r="D185">
        <v>25</v>
      </c>
      <c r="E185" t="s">
        <v>118</v>
      </c>
      <c r="F185">
        <v>65</v>
      </c>
      <c r="G185">
        <v>9</v>
      </c>
      <c r="H185">
        <v>18.7</v>
      </c>
      <c r="I185">
        <v>3</v>
      </c>
      <c r="J185">
        <v>4.8</v>
      </c>
      <c r="K185">
        <v>0.629</v>
      </c>
      <c r="L185">
        <v>0</v>
      </c>
      <c r="M185">
        <v>0</v>
      </c>
      <c r="N185">
        <v>1</v>
      </c>
      <c r="O185">
        <v>3</v>
      </c>
      <c r="P185">
        <v>4.8</v>
      </c>
      <c r="Q185">
        <v>0.628</v>
      </c>
      <c r="R185">
        <v>0.63100000000000001</v>
      </c>
      <c r="S185">
        <v>2.1</v>
      </c>
      <c r="T185">
        <v>2.8</v>
      </c>
      <c r="U185">
        <v>0.749</v>
      </c>
      <c r="V185">
        <v>2.2999999999999998</v>
      </c>
      <c r="W185">
        <v>4.0999999999999996</v>
      </c>
      <c r="X185">
        <v>6.4</v>
      </c>
      <c r="Y185">
        <v>0.6</v>
      </c>
      <c r="Z185">
        <v>0.2</v>
      </c>
      <c r="AA185">
        <v>1.1000000000000001</v>
      </c>
      <c r="AB185">
        <v>0.9</v>
      </c>
      <c r="AC185">
        <v>2.4</v>
      </c>
      <c r="AD185">
        <v>8.1999999999999993</v>
      </c>
      <c r="AE185">
        <v>1217</v>
      </c>
      <c r="AF185">
        <v>18.3</v>
      </c>
      <c r="AG185">
        <v>0.67600000000000005</v>
      </c>
      <c r="AH185">
        <v>3.0000000000000001E-3</v>
      </c>
      <c r="AI185">
        <v>0.58499999999999996</v>
      </c>
      <c r="AJ185">
        <v>12.6</v>
      </c>
      <c r="AK185">
        <v>24</v>
      </c>
      <c r="AL185">
        <v>18.2</v>
      </c>
      <c r="AM185">
        <v>4.5</v>
      </c>
      <c r="AN185">
        <v>0.4</v>
      </c>
      <c r="AO185">
        <v>5.0999999999999996</v>
      </c>
      <c r="AP185">
        <v>13</v>
      </c>
      <c r="AQ185">
        <v>15.6</v>
      </c>
      <c r="AR185">
        <v>2.7</v>
      </c>
      <c r="AS185">
        <v>1.5</v>
      </c>
      <c r="AT185">
        <v>4.2</v>
      </c>
      <c r="AU185">
        <v>0.16500000000000001</v>
      </c>
      <c r="AV185">
        <v>-1</v>
      </c>
      <c r="AW185">
        <v>-0.2</v>
      </c>
      <c r="AX185">
        <v>-1.3</v>
      </c>
      <c r="AY185">
        <v>0.2</v>
      </c>
      <c r="AZ185" s="8">
        <v>1.4500000000000002</v>
      </c>
      <c r="BA185" s="8">
        <v>0.81340901964018164</v>
      </c>
      <c r="BB185" s="3">
        <v>0</v>
      </c>
    </row>
    <row r="186" spans="1:54" x14ac:dyDescent="0.25">
      <c r="A186" t="s">
        <v>436</v>
      </c>
      <c r="B186" s="2">
        <v>1782621</v>
      </c>
      <c r="C186" t="s">
        <v>65</v>
      </c>
      <c r="D186">
        <v>25</v>
      </c>
      <c r="E186" t="s">
        <v>100</v>
      </c>
      <c r="F186">
        <v>77</v>
      </c>
      <c r="G186">
        <v>21</v>
      </c>
      <c r="H186">
        <v>23.3</v>
      </c>
      <c r="I186">
        <v>3.2</v>
      </c>
      <c r="J186">
        <v>7.4</v>
      </c>
      <c r="K186">
        <v>0.433</v>
      </c>
      <c r="L186">
        <v>0.9</v>
      </c>
      <c r="M186">
        <v>2.8</v>
      </c>
      <c r="N186">
        <v>0.30299999999999999</v>
      </c>
      <c r="O186">
        <v>2.4</v>
      </c>
      <c r="P186">
        <v>4.5999999999999996</v>
      </c>
      <c r="Q186">
        <v>0.51300000000000001</v>
      </c>
      <c r="R186">
        <v>0.49</v>
      </c>
      <c r="S186">
        <v>1.8</v>
      </c>
      <c r="T186">
        <v>2.2999999999999998</v>
      </c>
      <c r="U186">
        <v>0.78900000000000003</v>
      </c>
      <c r="V186">
        <v>0.6</v>
      </c>
      <c r="W186">
        <v>3</v>
      </c>
      <c r="X186">
        <v>3.6</v>
      </c>
      <c r="Y186">
        <v>2.5</v>
      </c>
      <c r="Z186">
        <v>0.7</v>
      </c>
      <c r="AA186">
        <v>0.2</v>
      </c>
      <c r="AB186">
        <v>1.3</v>
      </c>
      <c r="AC186">
        <v>1.5</v>
      </c>
      <c r="AD186">
        <v>9.1</v>
      </c>
      <c r="AE186">
        <v>1792</v>
      </c>
      <c r="AF186">
        <v>11.4</v>
      </c>
      <c r="AG186">
        <v>0.53900000000000003</v>
      </c>
      <c r="AH186">
        <v>0.38200000000000001</v>
      </c>
      <c r="AI186">
        <v>0.30599999999999999</v>
      </c>
      <c r="AJ186">
        <v>3</v>
      </c>
      <c r="AK186">
        <v>14.6</v>
      </c>
      <c r="AL186">
        <v>8.8000000000000007</v>
      </c>
      <c r="AM186">
        <v>14.4</v>
      </c>
      <c r="AN186">
        <v>1.5</v>
      </c>
      <c r="AO186">
        <v>0.7</v>
      </c>
      <c r="AP186">
        <v>13</v>
      </c>
      <c r="AQ186">
        <v>17.8</v>
      </c>
      <c r="AR186">
        <v>0.5</v>
      </c>
      <c r="AS186">
        <v>2</v>
      </c>
      <c r="AT186">
        <v>2.5</v>
      </c>
      <c r="AU186">
        <v>6.8000000000000005E-2</v>
      </c>
      <c r="AV186">
        <v>-1.9</v>
      </c>
      <c r="AW186">
        <v>0</v>
      </c>
      <c r="AX186">
        <v>-1.9</v>
      </c>
      <c r="AY186">
        <v>0.1</v>
      </c>
      <c r="AZ186" s="8">
        <v>0.30000000000000004</v>
      </c>
      <c r="BA186" s="8">
        <v>0.16829152130486516</v>
      </c>
      <c r="BB186" s="3">
        <v>0</v>
      </c>
    </row>
    <row r="187" spans="1:54" x14ac:dyDescent="0.25">
      <c r="A187" t="s">
        <v>438</v>
      </c>
      <c r="B187" s="2">
        <v>1782621</v>
      </c>
      <c r="C187" t="s">
        <v>52</v>
      </c>
      <c r="D187">
        <v>23</v>
      </c>
      <c r="E187" t="s">
        <v>175</v>
      </c>
      <c r="F187">
        <v>68</v>
      </c>
      <c r="G187">
        <v>65</v>
      </c>
      <c r="H187">
        <v>29.2</v>
      </c>
      <c r="I187">
        <v>5</v>
      </c>
      <c r="J187">
        <v>10.9</v>
      </c>
      <c r="K187">
        <v>0.45900000000000002</v>
      </c>
      <c r="L187">
        <v>0.7</v>
      </c>
      <c r="M187">
        <v>2.2999999999999998</v>
      </c>
      <c r="N187">
        <v>0.28499999999999998</v>
      </c>
      <c r="O187">
        <v>4.4000000000000004</v>
      </c>
      <c r="P187">
        <v>8.6</v>
      </c>
      <c r="Q187">
        <v>0.50600000000000001</v>
      </c>
      <c r="R187">
        <v>0.48899999999999999</v>
      </c>
      <c r="S187">
        <v>2.2000000000000002</v>
      </c>
      <c r="T187">
        <v>2.5</v>
      </c>
      <c r="U187">
        <v>0.86</v>
      </c>
      <c r="V187">
        <v>0.8</v>
      </c>
      <c r="W187">
        <v>2.8</v>
      </c>
      <c r="X187">
        <v>3.6</v>
      </c>
      <c r="Y187">
        <v>6.6</v>
      </c>
      <c r="Z187">
        <v>1.3</v>
      </c>
      <c r="AA187">
        <v>0.1</v>
      </c>
      <c r="AB187">
        <v>1.6</v>
      </c>
      <c r="AC187">
        <v>1.4</v>
      </c>
      <c r="AD187">
        <v>12.9</v>
      </c>
      <c r="AE187">
        <v>1984</v>
      </c>
      <c r="AF187">
        <v>16</v>
      </c>
      <c r="AG187">
        <v>0.53400000000000003</v>
      </c>
      <c r="AH187">
        <v>0.21299999999999999</v>
      </c>
      <c r="AI187">
        <v>0.23100000000000001</v>
      </c>
      <c r="AJ187">
        <v>3</v>
      </c>
      <c r="AK187">
        <v>10.8</v>
      </c>
      <c r="AL187">
        <v>6.7</v>
      </c>
      <c r="AM187">
        <v>31.5</v>
      </c>
      <c r="AN187">
        <v>2.1</v>
      </c>
      <c r="AO187">
        <v>0.4</v>
      </c>
      <c r="AP187">
        <v>11.8</v>
      </c>
      <c r="AQ187">
        <v>19.3</v>
      </c>
      <c r="AR187">
        <v>2.6</v>
      </c>
      <c r="AS187">
        <v>0.8</v>
      </c>
      <c r="AT187">
        <v>3.4</v>
      </c>
      <c r="AU187">
        <v>8.2000000000000003E-2</v>
      </c>
      <c r="AV187">
        <v>-0.2</v>
      </c>
      <c r="AW187">
        <v>-0.8</v>
      </c>
      <c r="AX187">
        <v>-1</v>
      </c>
      <c r="AY187">
        <v>0.5</v>
      </c>
      <c r="AZ187" s="8">
        <v>1.2</v>
      </c>
      <c r="BA187" s="8">
        <v>0.67316608521946053</v>
      </c>
      <c r="BB187" s="3">
        <v>0</v>
      </c>
    </row>
    <row r="188" spans="1:54" x14ac:dyDescent="0.25">
      <c r="A188" t="s">
        <v>451</v>
      </c>
      <c r="B188" s="2">
        <v>1563518</v>
      </c>
      <c r="C188" t="s">
        <v>62</v>
      </c>
      <c r="D188">
        <v>23</v>
      </c>
      <c r="E188" t="s">
        <v>87</v>
      </c>
      <c r="F188">
        <v>80</v>
      </c>
      <c r="G188">
        <v>51</v>
      </c>
      <c r="H188">
        <v>26.2</v>
      </c>
      <c r="I188">
        <v>3.5</v>
      </c>
      <c r="J188">
        <v>7.1</v>
      </c>
      <c r="K188">
        <v>0.49299999999999999</v>
      </c>
      <c r="L188">
        <v>0.7</v>
      </c>
      <c r="M188">
        <v>2.4</v>
      </c>
      <c r="N188">
        <v>0.312</v>
      </c>
      <c r="O188">
        <v>2.8</v>
      </c>
      <c r="P188">
        <v>4.8</v>
      </c>
      <c r="Q188">
        <v>0.58299999999999996</v>
      </c>
      <c r="R188">
        <v>0.54500000000000004</v>
      </c>
      <c r="S188">
        <v>0.8</v>
      </c>
      <c r="T188">
        <v>1</v>
      </c>
      <c r="U188">
        <v>0.80500000000000005</v>
      </c>
      <c r="V188">
        <v>0.6</v>
      </c>
      <c r="W188">
        <v>2.2000000000000002</v>
      </c>
      <c r="X188">
        <v>2.8</v>
      </c>
      <c r="Y188">
        <v>2.6</v>
      </c>
      <c r="Z188">
        <v>0.8</v>
      </c>
      <c r="AA188">
        <v>0.3</v>
      </c>
      <c r="AB188">
        <v>1.2</v>
      </c>
      <c r="AC188">
        <v>2.2999999999999998</v>
      </c>
      <c r="AD188">
        <v>8.6</v>
      </c>
      <c r="AE188">
        <v>2098</v>
      </c>
      <c r="AF188">
        <v>10.199999999999999</v>
      </c>
      <c r="AG188">
        <v>0.56699999999999995</v>
      </c>
      <c r="AH188">
        <v>0.33200000000000002</v>
      </c>
      <c r="AI188">
        <v>0.14399999999999999</v>
      </c>
      <c r="AJ188">
        <v>2.5</v>
      </c>
      <c r="AK188">
        <v>9.3000000000000007</v>
      </c>
      <c r="AL188">
        <v>5.9</v>
      </c>
      <c r="AM188">
        <v>13.2</v>
      </c>
      <c r="AN188">
        <v>1.4</v>
      </c>
      <c r="AO188">
        <v>1.2</v>
      </c>
      <c r="AP188">
        <v>14</v>
      </c>
      <c r="AQ188">
        <v>14.9</v>
      </c>
      <c r="AR188">
        <v>0.7</v>
      </c>
      <c r="AS188">
        <v>2.2000000000000002</v>
      </c>
      <c r="AT188">
        <v>2.9</v>
      </c>
      <c r="AU188">
        <v>6.7000000000000004E-2</v>
      </c>
      <c r="AV188">
        <v>-3</v>
      </c>
      <c r="AW188">
        <v>0.6</v>
      </c>
      <c r="AX188">
        <v>-2.5</v>
      </c>
      <c r="AY188">
        <v>-0.2</v>
      </c>
      <c r="AZ188" s="8">
        <v>0.19999999999999996</v>
      </c>
      <c r="BA188" s="8">
        <v>0.12791665973784755</v>
      </c>
      <c r="BB188" s="3">
        <v>0</v>
      </c>
    </row>
    <row r="189" spans="1:54" x14ac:dyDescent="0.25">
      <c r="A189" t="s">
        <v>456</v>
      </c>
      <c r="B189" s="2">
        <v>1563518</v>
      </c>
      <c r="C189" t="s">
        <v>52</v>
      </c>
      <c r="D189">
        <v>24</v>
      </c>
      <c r="E189" t="s">
        <v>100</v>
      </c>
      <c r="F189">
        <v>61</v>
      </c>
      <c r="G189">
        <v>10</v>
      </c>
      <c r="H189">
        <v>21.5</v>
      </c>
      <c r="I189">
        <v>3.3</v>
      </c>
      <c r="J189">
        <v>8</v>
      </c>
      <c r="K189">
        <v>0.41099999999999998</v>
      </c>
      <c r="L189">
        <v>1.4</v>
      </c>
      <c r="M189">
        <v>4</v>
      </c>
      <c r="N189">
        <v>0.33600000000000002</v>
      </c>
      <c r="O189">
        <v>1.9</v>
      </c>
      <c r="P189">
        <v>4</v>
      </c>
      <c r="Q189">
        <v>0.48799999999999999</v>
      </c>
      <c r="R189">
        <v>0.496</v>
      </c>
      <c r="S189">
        <v>1.1000000000000001</v>
      </c>
      <c r="T189">
        <v>1.3</v>
      </c>
      <c r="U189">
        <v>0.81299999999999994</v>
      </c>
      <c r="V189">
        <v>0.5</v>
      </c>
      <c r="W189">
        <v>1.9</v>
      </c>
      <c r="X189">
        <v>2.2999999999999998</v>
      </c>
      <c r="Y189">
        <v>3</v>
      </c>
      <c r="Z189">
        <v>1.1000000000000001</v>
      </c>
      <c r="AA189">
        <v>0.2</v>
      </c>
      <c r="AB189">
        <v>1.3</v>
      </c>
      <c r="AC189">
        <v>2</v>
      </c>
      <c r="AD189">
        <v>9</v>
      </c>
      <c r="AE189">
        <v>1310</v>
      </c>
      <c r="AF189">
        <v>11.8</v>
      </c>
      <c r="AG189">
        <v>0.52500000000000002</v>
      </c>
      <c r="AH189">
        <v>0.505</v>
      </c>
      <c r="AI189">
        <v>0.16400000000000001</v>
      </c>
      <c r="AJ189">
        <v>2.4</v>
      </c>
      <c r="AK189">
        <v>9.8000000000000007</v>
      </c>
      <c r="AL189">
        <v>6.1</v>
      </c>
      <c r="AM189">
        <v>19.899999999999999</v>
      </c>
      <c r="AN189">
        <v>2.5</v>
      </c>
      <c r="AO189">
        <v>0.7</v>
      </c>
      <c r="AP189">
        <v>13.4</v>
      </c>
      <c r="AQ189">
        <v>19.8</v>
      </c>
      <c r="AR189">
        <v>0.1</v>
      </c>
      <c r="AS189">
        <v>1.7</v>
      </c>
      <c r="AT189">
        <v>1.8</v>
      </c>
      <c r="AU189">
        <v>6.6000000000000003E-2</v>
      </c>
      <c r="AV189">
        <v>-2</v>
      </c>
      <c r="AW189">
        <v>0.7</v>
      </c>
      <c r="AX189">
        <v>-1.2</v>
      </c>
      <c r="AY189">
        <v>0.3</v>
      </c>
      <c r="AZ189" s="8">
        <v>0.30000000000000004</v>
      </c>
      <c r="BA189" s="8">
        <v>0.19187498960677143</v>
      </c>
      <c r="BB189" s="3">
        <v>0</v>
      </c>
    </row>
    <row r="190" spans="1:54" x14ac:dyDescent="0.25">
      <c r="A190" t="s">
        <v>458</v>
      </c>
      <c r="B190" s="2">
        <v>1563518</v>
      </c>
      <c r="C190" t="s">
        <v>62</v>
      </c>
      <c r="D190">
        <v>24</v>
      </c>
      <c r="E190" t="s">
        <v>109</v>
      </c>
      <c r="F190">
        <v>70</v>
      </c>
      <c r="G190">
        <v>14</v>
      </c>
      <c r="H190">
        <v>18.5</v>
      </c>
      <c r="I190">
        <v>2.7</v>
      </c>
      <c r="J190">
        <v>5.2</v>
      </c>
      <c r="K190">
        <v>0.51200000000000001</v>
      </c>
      <c r="L190">
        <v>0.7</v>
      </c>
      <c r="M190">
        <v>1.7</v>
      </c>
      <c r="N190">
        <v>0.39300000000000002</v>
      </c>
      <c r="O190">
        <v>2</v>
      </c>
      <c r="P190">
        <v>3.4</v>
      </c>
      <c r="Q190">
        <v>0.57299999999999995</v>
      </c>
      <c r="R190">
        <v>0.57899999999999996</v>
      </c>
      <c r="S190">
        <v>0.8</v>
      </c>
      <c r="T190">
        <v>1</v>
      </c>
      <c r="U190">
        <v>0.83099999999999996</v>
      </c>
      <c r="V190">
        <v>1</v>
      </c>
      <c r="W190">
        <v>2</v>
      </c>
      <c r="X190">
        <v>3</v>
      </c>
      <c r="Y190">
        <v>1.1000000000000001</v>
      </c>
      <c r="Z190">
        <v>0.6</v>
      </c>
      <c r="AA190">
        <v>0.2</v>
      </c>
      <c r="AB190">
        <v>0.8</v>
      </c>
      <c r="AC190">
        <v>1.6</v>
      </c>
      <c r="AD190">
        <v>6.8</v>
      </c>
      <c r="AE190">
        <v>1297</v>
      </c>
      <c r="AF190">
        <v>12.2</v>
      </c>
      <c r="AG190">
        <v>0.60699999999999998</v>
      </c>
      <c r="AH190">
        <v>0.33600000000000002</v>
      </c>
      <c r="AI190">
        <v>0.19600000000000001</v>
      </c>
      <c r="AJ190">
        <v>5.5</v>
      </c>
      <c r="AK190">
        <v>12</v>
      </c>
      <c r="AL190">
        <v>8.6999999999999993</v>
      </c>
      <c r="AM190">
        <v>8.3000000000000007</v>
      </c>
      <c r="AN190">
        <v>1.4</v>
      </c>
      <c r="AO190">
        <v>1.1000000000000001</v>
      </c>
      <c r="AP190">
        <v>12.2</v>
      </c>
      <c r="AQ190">
        <v>14.5</v>
      </c>
      <c r="AR190">
        <v>1.4</v>
      </c>
      <c r="AS190">
        <v>1.2</v>
      </c>
      <c r="AT190">
        <v>2.6</v>
      </c>
      <c r="AU190">
        <v>9.7000000000000003E-2</v>
      </c>
      <c r="AV190">
        <v>-1.5</v>
      </c>
      <c r="AW190">
        <v>-0.5</v>
      </c>
      <c r="AX190">
        <v>-2.1</v>
      </c>
      <c r="AY190">
        <v>0</v>
      </c>
      <c r="AZ190" s="8">
        <v>0.25</v>
      </c>
      <c r="BA190" s="8">
        <v>0.15989582467230951</v>
      </c>
      <c r="BB190" s="3">
        <v>0</v>
      </c>
    </row>
    <row r="191" spans="1:54" x14ac:dyDescent="0.25">
      <c r="A191" t="s">
        <v>460</v>
      </c>
      <c r="B191" s="2">
        <v>1563518</v>
      </c>
      <c r="C191" t="s">
        <v>28</v>
      </c>
      <c r="D191">
        <v>22</v>
      </c>
      <c r="E191" t="s">
        <v>70</v>
      </c>
      <c r="F191">
        <v>62</v>
      </c>
      <c r="G191">
        <v>12</v>
      </c>
      <c r="H191">
        <v>19.100000000000001</v>
      </c>
      <c r="I191">
        <v>2.9</v>
      </c>
      <c r="J191">
        <v>5.2</v>
      </c>
      <c r="K191">
        <v>0.56000000000000005</v>
      </c>
      <c r="L191">
        <v>0.4</v>
      </c>
      <c r="M191">
        <v>1</v>
      </c>
      <c r="N191">
        <v>0.39100000000000001</v>
      </c>
      <c r="O191">
        <v>2.5</v>
      </c>
      <c r="P191">
        <v>4.2</v>
      </c>
      <c r="Q191">
        <v>0.60199999999999998</v>
      </c>
      <c r="R191">
        <v>0.59899999999999998</v>
      </c>
      <c r="S191">
        <v>1.2</v>
      </c>
      <c r="T191">
        <v>1.6</v>
      </c>
      <c r="U191">
        <v>0.72</v>
      </c>
      <c r="V191">
        <v>0.7</v>
      </c>
      <c r="W191">
        <v>3.2</v>
      </c>
      <c r="X191">
        <v>3.8</v>
      </c>
      <c r="Y191">
        <v>2.1</v>
      </c>
      <c r="Z191">
        <v>0.5</v>
      </c>
      <c r="AA191">
        <v>0.2</v>
      </c>
      <c r="AB191">
        <v>1.1000000000000001</v>
      </c>
      <c r="AC191">
        <v>1.9</v>
      </c>
      <c r="AD191">
        <v>7.4</v>
      </c>
      <c r="AE191">
        <v>1182</v>
      </c>
      <c r="AF191">
        <v>13.6</v>
      </c>
      <c r="AG191">
        <v>0.625</v>
      </c>
      <c r="AH191">
        <v>0.19800000000000001</v>
      </c>
      <c r="AI191">
        <v>0.31</v>
      </c>
      <c r="AJ191">
        <v>4.0999999999999996</v>
      </c>
      <c r="AK191">
        <v>19.2</v>
      </c>
      <c r="AL191">
        <v>11.6</v>
      </c>
      <c r="AM191">
        <v>16</v>
      </c>
      <c r="AN191">
        <v>1.3</v>
      </c>
      <c r="AO191">
        <v>0.9</v>
      </c>
      <c r="AP191">
        <v>16.2</v>
      </c>
      <c r="AQ191">
        <v>16.100000000000001</v>
      </c>
      <c r="AR191">
        <v>1.3</v>
      </c>
      <c r="AS191">
        <v>0.7</v>
      </c>
      <c r="AT191">
        <v>2.1</v>
      </c>
      <c r="AU191">
        <v>8.4000000000000005E-2</v>
      </c>
      <c r="AV191">
        <v>-1.4</v>
      </c>
      <c r="AW191">
        <v>-0.4</v>
      </c>
      <c r="AX191">
        <v>-1.8</v>
      </c>
      <c r="AY191">
        <v>0.1</v>
      </c>
      <c r="AZ191" s="8">
        <v>0.15000000000000002</v>
      </c>
      <c r="BA191" s="8">
        <v>9.5937494803385717E-2</v>
      </c>
      <c r="BB191" s="3">
        <v>0</v>
      </c>
    </row>
    <row r="192" spans="1:54" x14ac:dyDescent="0.25">
      <c r="A192" t="s">
        <v>464</v>
      </c>
      <c r="B192" s="2">
        <v>1280206</v>
      </c>
      <c r="C192" t="s">
        <v>52</v>
      </c>
      <c r="D192">
        <v>24</v>
      </c>
      <c r="E192" t="s">
        <v>63</v>
      </c>
      <c r="F192">
        <v>62</v>
      </c>
      <c r="G192">
        <v>7</v>
      </c>
      <c r="H192">
        <v>17.8</v>
      </c>
      <c r="I192">
        <v>2.5</v>
      </c>
      <c r="J192">
        <v>5.7</v>
      </c>
      <c r="K192">
        <v>0.44800000000000001</v>
      </c>
      <c r="L192">
        <v>0.6</v>
      </c>
      <c r="M192">
        <v>1.9</v>
      </c>
      <c r="N192">
        <v>0.32200000000000001</v>
      </c>
      <c r="O192">
        <v>1.9</v>
      </c>
      <c r="P192">
        <v>3.8</v>
      </c>
      <c r="Q192">
        <v>0.51100000000000001</v>
      </c>
      <c r="R192">
        <v>0.501</v>
      </c>
      <c r="S192">
        <v>0.9</v>
      </c>
      <c r="T192">
        <v>1.1000000000000001</v>
      </c>
      <c r="U192">
        <v>0.76800000000000002</v>
      </c>
      <c r="V192">
        <v>0.9</v>
      </c>
      <c r="W192">
        <v>2.4</v>
      </c>
      <c r="X192">
        <v>3.3</v>
      </c>
      <c r="Y192">
        <v>2.7</v>
      </c>
      <c r="Z192">
        <v>0.9</v>
      </c>
      <c r="AA192">
        <v>0.4</v>
      </c>
      <c r="AB192">
        <v>0.9</v>
      </c>
      <c r="AC192">
        <v>1.5</v>
      </c>
      <c r="AD192">
        <v>6.6</v>
      </c>
      <c r="AE192">
        <v>1106</v>
      </c>
      <c r="AF192">
        <v>14.8</v>
      </c>
      <c r="AG192">
        <v>0.53100000000000003</v>
      </c>
      <c r="AH192">
        <v>0.33400000000000002</v>
      </c>
      <c r="AI192">
        <v>0.19500000000000001</v>
      </c>
      <c r="AJ192">
        <v>6</v>
      </c>
      <c r="AK192">
        <v>14.3</v>
      </c>
      <c r="AL192">
        <v>10.3</v>
      </c>
      <c r="AM192">
        <v>20.8</v>
      </c>
      <c r="AN192">
        <v>2.6</v>
      </c>
      <c r="AO192">
        <v>2</v>
      </c>
      <c r="AP192">
        <v>12.9</v>
      </c>
      <c r="AQ192">
        <v>17.3</v>
      </c>
      <c r="AR192">
        <v>0.9</v>
      </c>
      <c r="AS192">
        <v>1.3</v>
      </c>
      <c r="AT192">
        <v>2.2000000000000002</v>
      </c>
      <c r="AU192">
        <v>9.7000000000000003E-2</v>
      </c>
      <c r="AV192">
        <v>-0.7</v>
      </c>
      <c r="AW192">
        <v>1.4</v>
      </c>
      <c r="AX192">
        <v>0.7</v>
      </c>
      <c r="AY192">
        <v>0.8</v>
      </c>
      <c r="AZ192" s="8">
        <v>1.4500000000000002</v>
      </c>
      <c r="BA192" s="8">
        <v>1.1326302173243996</v>
      </c>
      <c r="BB192" s="3">
        <v>0</v>
      </c>
    </row>
    <row r="193" spans="1:54" x14ac:dyDescent="0.25">
      <c r="A193" t="s">
        <v>485</v>
      </c>
      <c r="B193" s="2">
        <v>694878</v>
      </c>
      <c r="C193" t="s">
        <v>65</v>
      </c>
      <c r="D193">
        <v>25</v>
      </c>
      <c r="E193" t="s">
        <v>53</v>
      </c>
      <c r="F193">
        <v>62</v>
      </c>
      <c r="G193">
        <v>4</v>
      </c>
      <c r="H193">
        <v>19.3</v>
      </c>
      <c r="I193">
        <v>2.4</v>
      </c>
      <c r="J193">
        <v>5.0999999999999996</v>
      </c>
      <c r="K193">
        <v>0.47099999999999997</v>
      </c>
      <c r="L193">
        <v>1.2</v>
      </c>
      <c r="M193">
        <v>3.2</v>
      </c>
      <c r="N193">
        <v>0.36699999999999999</v>
      </c>
      <c r="O193">
        <v>1.2</v>
      </c>
      <c r="P193">
        <v>1.9</v>
      </c>
      <c r="Q193">
        <v>0.65200000000000002</v>
      </c>
      <c r="R193">
        <v>0.58799999999999997</v>
      </c>
      <c r="S193">
        <v>0.7</v>
      </c>
      <c r="T193">
        <v>1</v>
      </c>
      <c r="U193">
        <v>0.76700000000000002</v>
      </c>
      <c r="V193">
        <v>0.9</v>
      </c>
      <c r="W193">
        <v>2.6</v>
      </c>
      <c r="X193">
        <v>3.5</v>
      </c>
      <c r="Y193">
        <v>1.5</v>
      </c>
      <c r="Z193">
        <v>0.5</v>
      </c>
      <c r="AA193">
        <v>0.3</v>
      </c>
      <c r="AB193">
        <v>0.9</v>
      </c>
      <c r="AC193">
        <v>2.2000000000000002</v>
      </c>
      <c r="AD193">
        <v>6.7</v>
      </c>
      <c r="AE193">
        <v>1195</v>
      </c>
      <c r="AF193">
        <v>10.9</v>
      </c>
      <c r="AG193">
        <v>0.61</v>
      </c>
      <c r="AH193">
        <v>0.63400000000000001</v>
      </c>
      <c r="AI193">
        <v>0.191</v>
      </c>
      <c r="AJ193">
        <v>5.3</v>
      </c>
      <c r="AK193">
        <v>14.4</v>
      </c>
      <c r="AL193">
        <v>9.9</v>
      </c>
      <c r="AM193">
        <v>10.5</v>
      </c>
      <c r="AN193">
        <v>1.1000000000000001</v>
      </c>
      <c r="AO193">
        <v>1.5</v>
      </c>
      <c r="AP193">
        <v>13.7</v>
      </c>
      <c r="AQ193">
        <v>13.8</v>
      </c>
      <c r="AR193">
        <v>1.2</v>
      </c>
      <c r="AS193">
        <v>1.2</v>
      </c>
      <c r="AT193">
        <v>2.4</v>
      </c>
      <c r="AU193">
        <v>9.6000000000000002E-2</v>
      </c>
      <c r="AV193">
        <v>-1.6</v>
      </c>
      <c r="AW193">
        <v>0.4</v>
      </c>
      <c r="AX193">
        <v>-1.1000000000000001</v>
      </c>
      <c r="AY193">
        <v>0.3</v>
      </c>
      <c r="AZ193" s="8">
        <v>0.64999999999999991</v>
      </c>
      <c r="BA193" s="8">
        <v>0.93541600108220424</v>
      </c>
      <c r="BB193" s="3">
        <v>0</v>
      </c>
    </row>
    <row r="194" spans="1:54" x14ac:dyDescent="0.25">
      <c r="B194" s="2"/>
    </row>
    <row r="195" spans="1:54" x14ac:dyDescent="0.25">
      <c r="B195" s="2"/>
    </row>
    <row r="196" spans="1:54" x14ac:dyDescent="0.25">
      <c r="B196" s="2"/>
    </row>
    <row r="197" spans="1:54" x14ac:dyDescent="0.25">
      <c r="B197" s="2"/>
    </row>
    <row r="198" spans="1:54" x14ac:dyDescent="0.25">
      <c r="B198" s="2"/>
    </row>
    <row r="199" spans="1:54" x14ac:dyDescent="0.25">
      <c r="B199" s="2"/>
    </row>
    <row r="200" spans="1:54" x14ac:dyDescent="0.25">
      <c r="B200" s="2"/>
    </row>
    <row r="201" spans="1:54" x14ac:dyDescent="0.25">
      <c r="B201" s="2"/>
    </row>
    <row r="202" spans="1:54" x14ac:dyDescent="0.25">
      <c r="B202" s="2"/>
    </row>
    <row r="203" spans="1:54" x14ac:dyDescent="0.25">
      <c r="B203" s="2"/>
    </row>
    <row r="204" spans="1:54" x14ac:dyDescent="0.25">
      <c r="B204" s="2"/>
    </row>
    <row r="205" spans="1:54" x14ac:dyDescent="0.25">
      <c r="B205" s="2"/>
    </row>
    <row r="206" spans="1:54" x14ac:dyDescent="0.25">
      <c r="B206" s="2"/>
    </row>
    <row r="207" spans="1:54" x14ac:dyDescent="0.25">
      <c r="B207" s="2"/>
    </row>
    <row r="208" spans="1:54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</sheetData>
  <autoFilter ref="A1:BB193" xr:uid="{7668F972-2B69-40B3-8194-5CC22DB17D66}">
    <sortState xmlns:xlrd2="http://schemas.microsoft.com/office/spreadsheetml/2017/richdata2" ref="A2:BB193">
      <sortCondition descending="1" ref="BB1:BB19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2EB1-C512-4310-9273-B821048DD9A1}">
  <dimension ref="A1:BO324"/>
  <sheetViews>
    <sheetView tabSelected="1" workbookViewId="0">
      <pane xSplit="3" topLeftCell="AU1" activePane="topRight" state="frozen"/>
      <selection pane="topRight" activeCell="AZ2" sqref="AZ2"/>
    </sheetView>
  </sheetViews>
  <sheetFormatPr defaultRowHeight="15" x14ac:dyDescent="0.25"/>
  <cols>
    <col min="1" max="1" width="24.28515625" bestFit="1" customWidth="1"/>
    <col min="2" max="2" width="15.28515625" bestFit="1" customWidth="1"/>
    <col min="3" max="3" width="8.42578125" bestFit="1" customWidth="1"/>
    <col min="4" max="4" width="4.28515625" bestFit="1" customWidth="1"/>
    <col min="5" max="5" width="5.85546875" bestFit="1" customWidth="1"/>
    <col min="6" max="7" width="3.5703125" bestFit="1" customWidth="1"/>
    <col min="8" max="10" width="5" bestFit="1" customWidth="1"/>
    <col min="11" max="11" width="6" bestFit="1" customWidth="1"/>
    <col min="12" max="12" width="4" bestFit="1" customWidth="1"/>
    <col min="13" max="13" width="5" bestFit="1" customWidth="1"/>
    <col min="14" max="14" width="6" bestFit="1" customWidth="1"/>
    <col min="15" max="16" width="5" bestFit="1" customWidth="1"/>
    <col min="17" max="17" width="6" bestFit="1" customWidth="1"/>
    <col min="18" max="18" width="6.140625" bestFit="1" customWidth="1"/>
    <col min="19" max="19" width="4" bestFit="1" customWidth="1"/>
    <col min="20" max="20" width="5" bestFit="1" customWidth="1"/>
    <col min="21" max="21" width="6" bestFit="1" customWidth="1"/>
    <col min="22" max="23" width="4.85546875" bestFit="1" customWidth="1"/>
    <col min="24" max="25" width="5" bestFit="1" customWidth="1"/>
    <col min="26" max="26" width="4.140625" bestFit="1" customWidth="1"/>
    <col min="27" max="27" width="4.28515625" bestFit="1" customWidth="1"/>
    <col min="28" max="28" width="4.5703125" bestFit="1" customWidth="1"/>
    <col min="29" max="29" width="4" bestFit="1" customWidth="1"/>
    <col min="30" max="30" width="5" bestFit="1" customWidth="1"/>
    <col min="31" max="31" width="13.28515625" bestFit="1" customWidth="1"/>
    <col min="32" max="32" width="5" bestFit="1" customWidth="1"/>
    <col min="33" max="35" width="6" bestFit="1" customWidth="1"/>
    <col min="36" max="37" width="6.42578125" bestFit="1" customWidth="1"/>
    <col min="38" max="38" width="6" bestFit="1" customWidth="1"/>
    <col min="39" max="39" width="5.85546875" bestFit="1" customWidth="1"/>
    <col min="40" max="40" width="5.7109375" bestFit="1" customWidth="1"/>
    <col min="41" max="41" width="5.85546875" bestFit="1" customWidth="1"/>
    <col min="42" max="42" width="6.140625" bestFit="1" customWidth="1"/>
    <col min="43" max="43" width="6.42578125" bestFit="1" customWidth="1"/>
    <col min="44" max="45" width="5.42578125" bestFit="1" customWidth="1"/>
    <col min="46" max="46" width="5" bestFit="1" customWidth="1"/>
    <col min="47" max="47" width="6.7109375" bestFit="1" customWidth="1"/>
    <col min="48" max="49" width="6.28515625" bestFit="1" customWidth="1"/>
    <col min="50" max="50" width="4.85546875" bestFit="1" customWidth="1"/>
    <col min="51" max="51" width="6" bestFit="1" customWidth="1"/>
    <col min="52" max="52" width="11.7109375" style="8" customWidth="1"/>
    <col min="53" max="53" width="17.5703125" style="8" customWidth="1"/>
    <col min="54" max="54" width="18.5703125" customWidth="1"/>
    <col min="56" max="56" width="10.7109375" bestFit="1" customWidth="1"/>
    <col min="57" max="57" width="16.28515625" bestFit="1" customWidth="1"/>
    <col min="58" max="58" width="12.28515625" bestFit="1" customWidth="1"/>
    <col min="59" max="60" width="10" bestFit="1" customWidth="1"/>
    <col min="64" max="64" width="16.28515625" bestFit="1" customWidth="1"/>
    <col min="65" max="65" width="11.14062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552</v>
      </c>
      <c r="BA1" s="7" t="s">
        <v>553</v>
      </c>
      <c r="BB1" s="9" t="s">
        <v>554</v>
      </c>
      <c r="BD1" s="1" t="s">
        <v>555</v>
      </c>
      <c r="BE1" s="1" t="s">
        <v>557</v>
      </c>
      <c r="BF1" s="1" t="s">
        <v>556</v>
      </c>
      <c r="BG1" s="1" t="s">
        <v>558</v>
      </c>
      <c r="BH1" s="1" t="s">
        <v>559</v>
      </c>
      <c r="BI1" s="1" t="s">
        <v>560</v>
      </c>
      <c r="BJ1" s="1" t="s">
        <v>561</v>
      </c>
      <c r="BK1" s="1" t="s">
        <v>562</v>
      </c>
      <c r="BL1" s="1" t="s">
        <v>563</v>
      </c>
      <c r="BM1" s="1" t="s">
        <v>564</v>
      </c>
    </row>
    <row r="2" spans="1:67" x14ac:dyDescent="0.25">
      <c r="A2" s="6" t="s">
        <v>580</v>
      </c>
      <c r="B2" s="2">
        <v>37096500</v>
      </c>
      <c r="C2" t="s">
        <v>52</v>
      </c>
      <c r="AT2">
        <v>12.1</v>
      </c>
      <c r="AX2">
        <v>8.1999999999999993</v>
      </c>
      <c r="AZ2" s="8">
        <v>10.149999999999999</v>
      </c>
      <c r="BA2" s="8">
        <v>0.27361071799226339</v>
      </c>
      <c r="BB2" s="3">
        <v>1</v>
      </c>
      <c r="BD2" s="10">
        <f>SUMPRODUCT(AZ2:AZ193, BB2:BB193)</f>
        <v>67.75</v>
      </c>
      <c r="BE2" s="11">
        <f>SUMPRODUCT(B2:B193, BB2:BB193)</f>
        <v>150708297</v>
      </c>
      <c r="BF2" s="5">
        <f>SUM(BB2:BB193)</f>
        <v>12</v>
      </c>
      <c r="BG2" s="5" cm="1">
        <f t="array" ref="BG2">SUMPRODUCT(BB2:BB193, --(C2:C193="PG"))</f>
        <v>2</v>
      </c>
      <c r="BH2" s="5" cm="1">
        <f t="array" ref="BH2">SUMPRODUCT(BB2:BB193, --(C2:C193="SG"))</f>
        <v>3</v>
      </c>
      <c r="BI2" s="5" cm="1">
        <f t="array" ref="BI2">SUMPRODUCT(BB2:BB193, --(C2:C193="SF"))</f>
        <v>2</v>
      </c>
      <c r="BJ2" s="5" cm="1">
        <f t="array" ref="BJ2">SUMPRODUCT(BB2:BB193, --(C2:C193="PF"))</f>
        <v>2</v>
      </c>
      <c r="BK2" s="5" cm="1">
        <f t="array" ref="BK2">SUMPRODUCT(BB2:BB193, --(C2:C193="C"))</f>
        <v>3</v>
      </c>
      <c r="BL2" s="12">
        <f>154000000</f>
        <v>154000000</v>
      </c>
      <c r="BM2" s="4">
        <v>12</v>
      </c>
    </row>
    <row r="3" spans="1:67" x14ac:dyDescent="0.25">
      <c r="A3" s="6" t="s">
        <v>136</v>
      </c>
      <c r="B3" s="2">
        <v>21100000</v>
      </c>
      <c r="C3" t="s">
        <v>75</v>
      </c>
      <c r="D3">
        <v>26</v>
      </c>
      <c r="E3" t="s">
        <v>116</v>
      </c>
      <c r="F3">
        <v>79</v>
      </c>
      <c r="G3">
        <v>79</v>
      </c>
      <c r="H3">
        <v>34.6</v>
      </c>
      <c r="I3">
        <v>7.3</v>
      </c>
      <c r="J3">
        <v>11.9</v>
      </c>
      <c r="K3">
        <v>0.61499999999999999</v>
      </c>
      <c r="L3">
        <v>0.4</v>
      </c>
      <c r="M3">
        <v>1.1000000000000001</v>
      </c>
      <c r="N3">
        <v>0.373</v>
      </c>
      <c r="O3">
        <v>6.9</v>
      </c>
      <c r="P3">
        <v>10.8</v>
      </c>
      <c r="Q3">
        <v>0.63900000000000001</v>
      </c>
      <c r="R3">
        <v>0.63200000000000001</v>
      </c>
      <c r="S3">
        <v>4.0999999999999996</v>
      </c>
      <c r="T3">
        <v>5.5</v>
      </c>
      <c r="U3">
        <v>0.74199999999999999</v>
      </c>
      <c r="V3">
        <v>3.2</v>
      </c>
      <c r="W3">
        <v>9.1</v>
      </c>
      <c r="X3">
        <v>12.3</v>
      </c>
      <c r="Y3">
        <v>7.3</v>
      </c>
      <c r="Z3">
        <v>0.8</v>
      </c>
      <c r="AA3">
        <v>0.5</v>
      </c>
      <c r="AB3">
        <v>2.9</v>
      </c>
      <c r="AC3">
        <v>3.5</v>
      </c>
      <c r="AD3">
        <v>19.100000000000001</v>
      </c>
      <c r="AE3">
        <v>2736</v>
      </c>
      <c r="AF3">
        <v>23.5</v>
      </c>
      <c r="AG3">
        <v>0.66800000000000004</v>
      </c>
      <c r="AH3">
        <v>8.7999999999999995E-2</v>
      </c>
      <c r="AI3">
        <v>0.46700000000000003</v>
      </c>
      <c r="AJ3">
        <v>10.6</v>
      </c>
      <c r="AK3">
        <v>30</v>
      </c>
      <c r="AL3">
        <v>20.3</v>
      </c>
      <c r="AM3">
        <v>30.4</v>
      </c>
      <c r="AN3">
        <v>1.1000000000000001</v>
      </c>
      <c r="AO3">
        <v>1.2</v>
      </c>
      <c r="AP3">
        <v>16.899999999999999</v>
      </c>
      <c r="AQ3">
        <v>21.3</v>
      </c>
      <c r="AR3">
        <v>9.6</v>
      </c>
      <c r="AS3">
        <v>3</v>
      </c>
      <c r="AT3">
        <v>12.6</v>
      </c>
      <c r="AU3">
        <v>0.221</v>
      </c>
      <c r="AV3">
        <v>4.0999999999999996</v>
      </c>
      <c r="AW3">
        <v>1.8</v>
      </c>
      <c r="AX3">
        <v>5.8</v>
      </c>
      <c r="AY3">
        <v>5.4</v>
      </c>
      <c r="AZ3" s="8">
        <v>9.1999999999999993</v>
      </c>
      <c r="BA3" s="8">
        <v>0.43601895734597157</v>
      </c>
      <c r="BB3" s="3">
        <v>1</v>
      </c>
      <c r="BL3" s="4" t="s">
        <v>582</v>
      </c>
      <c r="BM3" s="4" t="s">
        <v>581</v>
      </c>
      <c r="BN3" s="4">
        <v>1</v>
      </c>
      <c r="BO3" t="s">
        <v>584</v>
      </c>
    </row>
    <row r="4" spans="1:67" x14ac:dyDescent="0.25">
      <c r="A4" s="6" t="s">
        <v>301</v>
      </c>
      <c r="B4" s="2">
        <v>4215120</v>
      </c>
      <c r="C4" t="s">
        <v>52</v>
      </c>
      <c r="D4">
        <v>22</v>
      </c>
      <c r="E4" t="s">
        <v>93</v>
      </c>
      <c r="F4">
        <v>56</v>
      </c>
      <c r="G4">
        <v>56</v>
      </c>
      <c r="H4">
        <v>33.6</v>
      </c>
      <c r="I4">
        <v>7.4</v>
      </c>
      <c r="J4">
        <v>15</v>
      </c>
      <c r="K4">
        <v>0.49</v>
      </c>
      <c r="L4">
        <v>2.9</v>
      </c>
      <c r="M4">
        <v>7.2</v>
      </c>
      <c r="N4">
        <v>0.4</v>
      </c>
      <c r="O4">
        <v>4.5</v>
      </c>
      <c r="P4">
        <v>7.8</v>
      </c>
      <c r="Q4">
        <v>0.57199999999999995</v>
      </c>
      <c r="R4">
        <v>0.58599999999999997</v>
      </c>
      <c r="S4">
        <v>3.1</v>
      </c>
      <c r="T4">
        <v>3.6</v>
      </c>
      <c r="U4">
        <v>0.871</v>
      </c>
      <c r="V4">
        <v>0.6</v>
      </c>
      <c r="W4">
        <v>3.1</v>
      </c>
      <c r="X4">
        <v>3.7</v>
      </c>
      <c r="Y4">
        <v>10.4</v>
      </c>
      <c r="Z4">
        <v>1.6</v>
      </c>
      <c r="AA4">
        <v>0.4</v>
      </c>
      <c r="AB4">
        <v>2.5</v>
      </c>
      <c r="AC4">
        <v>1.2</v>
      </c>
      <c r="AD4">
        <v>20.7</v>
      </c>
      <c r="AE4">
        <v>1883</v>
      </c>
      <c r="AF4">
        <v>23.6</v>
      </c>
      <c r="AG4">
        <v>0.624</v>
      </c>
      <c r="AH4">
        <v>0.47799999999999998</v>
      </c>
      <c r="AI4">
        <v>0.23899999999999999</v>
      </c>
      <c r="AJ4">
        <v>1.9</v>
      </c>
      <c r="AK4">
        <v>10.1</v>
      </c>
      <c r="AL4">
        <v>6</v>
      </c>
      <c r="AM4">
        <v>47.6</v>
      </c>
      <c r="AN4">
        <v>2.2999999999999998</v>
      </c>
      <c r="AO4">
        <v>1.1000000000000001</v>
      </c>
      <c r="AP4">
        <v>13.2</v>
      </c>
      <c r="AQ4">
        <v>23.8</v>
      </c>
      <c r="AR4">
        <v>6.4</v>
      </c>
      <c r="AS4">
        <v>1.2</v>
      </c>
      <c r="AT4">
        <v>7.6</v>
      </c>
      <c r="AU4">
        <v>0.19500000000000001</v>
      </c>
      <c r="AV4">
        <v>7</v>
      </c>
      <c r="AW4">
        <v>0.2</v>
      </c>
      <c r="AX4">
        <v>7.2</v>
      </c>
      <c r="AY4">
        <v>4.4000000000000004</v>
      </c>
      <c r="AZ4" s="8">
        <v>7.4</v>
      </c>
      <c r="BA4" s="8">
        <v>1.7555846571390612</v>
      </c>
      <c r="BB4" s="3">
        <v>1</v>
      </c>
      <c r="BL4" s="4" t="s">
        <v>586</v>
      </c>
      <c r="BM4" s="4" t="s">
        <v>581</v>
      </c>
      <c r="BN4" s="4">
        <v>1</v>
      </c>
      <c r="BO4" t="s">
        <v>585</v>
      </c>
    </row>
    <row r="5" spans="1:67" x14ac:dyDescent="0.25">
      <c r="A5" s="6" t="s">
        <v>162</v>
      </c>
      <c r="B5" s="2">
        <v>16475454</v>
      </c>
      <c r="C5" t="s">
        <v>28</v>
      </c>
      <c r="D5">
        <v>25</v>
      </c>
      <c r="E5" t="s">
        <v>130</v>
      </c>
      <c r="F5">
        <v>66</v>
      </c>
      <c r="G5">
        <v>66</v>
      </c>
      <c r="H5">
        <v>34.4</v>
      </c>
      <c r="I5">
        <v>8.6999999999999993</v>
      </c>
      <c r="J5">
        <v>17.3</v>
      </c>
      <c r="K5">
        <v>0.499</v>
      </c>
      <c r="L5">
        <v>3</v>
      </c>
      <c r="M5">
        <v>7.7</v>
      </c>
      <c r="N5">
        <v>0.39100000000000001</v>
      </c>
      <c r="O5">
        <v>5.6</v>
      </c>
      <c r="P5">
        <v>9.6</v>
      </c>
      <c r="Q5">
        <v>0.58499999999999996</v>
      </c>
      <c r="R5">
        <v>0.58599999999999997</v>
      </c>
      <c r="S5">
        <v>5.3</v>
      </c>
      <c r="T5">
        <v>6</v>
      </c>
      <c r="U5">
        <v>0.875</v>
      </c>
      <c r="V5">
        <v>2</v>
      </c>
      <c r="W5">
        <v>6.7</v>
      </c>
      <c r="X5">
        <v>8.6</v>
      </c>
      <c r="Y5">
        <v>1.9</v>
      </c>
      <c r="Z5">
        <v>0.6</v>
      </c>
      <c r="AA5">
        <v>0.6</v>
      </c>
      <c r="AB5">
        <v>1.9</v>
      </c>
      <c r="AC5">
        <v>2.1</v>
      </c>
      <c r="AD5">
        <v>25.6</v>
      </c>
      <c r="AE5">
        <v>2273</v>
      </c>
      <c r="AF5">
        <v>22.1</v>
      </c>
      <c r="AG5">
        <v>0.64</v>
      </c>
      <c r="AH5">
        <v>0.44600000000000001</v>
      </c>
      <c r="AI5">
        <v>0.34799999999999998</v>
      </c>
      <c r="AJ5">
        <v>6.3</v>
      </c>
      <c r="AK5">
        <v>20.7</v>
      </c>
      <c r="AL5">
        <v>13.6</v>
      </c>
      <c r="AM5">
        <v>8.6</v>
      </c>
      <c r="AN5">
        <v>0.9</v>
      </c>
      <c r="AO5">
        <v>1.4</v>
      </c>
      <c r="AP5">
        <v>8.8000000000000007</v>
      </c>
      <c r="AQ5">
        <v>26.6</v>
      </c>
      <c r="AR5">
        <v>6.3</v>
      </c>
      <c r="AS5">
        <v>1.9</v>
      </c>
      <c r="AT5">
        <v>8.1999999999999993</v>
      </c>
      <c r="AU5">
        <v>0.17299999999999999</v>
      </c>
      <c r="AV5">
        <v>4.9000000000000004</v>
      </c>
      <c r="AW5">
        <v>-1</v>
      </c>
      <c r="AX5">
        <v>3.8</v>
      </c>
      <c r="AY5">
        <v>3.3</v>
      </c>
      <c r="AZ5" s="8">
        <v>6</v>
      </c>
      <c r="BA5" s="8">
        <v>0.36417812826280843</v>
      </c>
      <c r="BB5" s="3">
        <v>1</v>
      </c>
    </row>
    <row r="6" spans="1:67" x14ac:dyDescent="0.25">
      <c r="A6" s="6" t="s">
        <v>72</v>
      </c>
      <c r="B6" s="2">
        <v>38917057</v>
      </c>
      <c r="C6" t="s">
        <v>62</v>
      </c>
      <c r="D6">
        <v>30</v>
      </c>
      <c r="E6" t="s">
        <v>73</v>
      </c>
      <c r="F6">
        <v>60</v>
      </c>
      <c r="G6">
        <v>60</v>
      </c>
      <c r="H6">
        <v>37.4</v>
      </c>
      <c r="I6">
        <v>9.9</v>
      </c>
      <c r="J6">
        <v>20.100000000000001</v>
      </c>
      <c r="K6">
        <v>0.49399999999999999</v>
      </c>
      <c r="L6">
        <v>3.1</v>
      </c>
      <c r="M6">
        <v>8.3000000000000007</v>
      </c>
      <c r="N6">
        <v>0.379</v>
      </c>
      <c r="O6">
        <v>6.8</v>
      </c>
      <c r="P6">
        <v>11.8</v>
      </c>
      <c r="Q6">
        <v>0.57399999999999995</v>
      </c>
      <c r="R6">
        <v>0.57199999999999995</v>
      </c>
      <c r="S6">
        <v>4.0999999999999996</v>
      </c>
      <c r="T6">
        <v>4.5999999999999996</v>
      </c>
      <c r="U6">
        <v>0.90500000000000003</v>
      </c>
      <c r="V6">
        <v>1</v>
      </c>
      <c r="W6">
        <v>4.0999999999999996</v>
      </c>
      <c r="X6">
        <v>5.0999999999999996</v>
      </c>
      <c r="Y6">
        <v>5.5</v>
      </c>
      <c r="Z6">
        <v>1.1000000000000001</v>
      </c>
      <c r="AA6">
        <v>0.8</v>
      </c>
      <c r="AB6">
        <v>2.1</v>
      </c>
      <c r="AC6">
        <v>2.8</v>
      </c>
      <c r="AD6">
        <v>27.1</v>
      </c>
      <c r="AE6">
        <v>2241</v>
      </c>
      <c r="AF6">
        <v>22.4</v>
      </c>
      <c r="AG6">
        <v>0.61299999999999999</v>
      </c>
      <c r="AH6">
        <v>0.41199999999999998</v>
      </c>
      <c r="AI6">
        <v>0.22700000000000001</v>
      </c>
      <c r="AJ6">
        <v>3</v>
      </c>
      <c r="AK6">
        <v>12.3</v>
      </c>
      <c r="AL6">
        <v>7.7</v>
      </c>
      <c r="AM6">
        <v>25.4</v>
      </c>
      <c r="AN6">
        <v>1.4</v>
      </c>
      <c r="AO6">
        <v>1.7</v>
      </c>
      <c r="AP6">
        <v>8.8000000000000007</v>
      </c>
      <c r="AQ6">
        <v>28.9</v>
      </c>
      <c r="AR6">
        <v>5.4</v>
      </c>
      <c r="AS6">
        <v>2</v>
      </c>
      <c r="AT6">
        <v>7.4</v>
      </c>
      <c r="AU6">
        <v>0.159</v>
      </c>
      <c r="AV6">
        <v>4.8</v>
      </c>
      <c r="AW6">
        <v>-0.7</v>
      </c>
      <c r="AX6">
        <v>4.0999999999999996</v>
      </c>
      <c r="AY6">
        <v>3.5</v>
      </c>
      <c r="AZ6" s="8">
        <v>5.75</v>
      </c>
      <c r="BA6" s="8">
        <v>0.1477501240651368</v>
      </c>
      <c r="BB6" s="3">
        <v>1</v>
      </c>
    </row>
    <row r="7" spans="1:67" x14ac:dyDescent="0.25">
      <c r="A7" t="s">
        <v>235</v>
      </c>
      <c r="B7" s="2">
        <v>8000000</v>
      </c>
      <c r="C7" t="s">
        <v>75</v>
      </c>
      <c r="D7">
        <v>26</v>
      </c>
      <c r="E7" t="s">
        <v>53</v>
      </c>
      <c r="F7">
        <v>82</v>
      </c>
      <c r="G7">
        <v>70</v>
      </c>
      <c r="H7">
        <v>23.9</v>
      </c>
      <c r="I7">
        <v>3</v>
      </c>
      <c r="J7">
        <v>4.7</v>
      </c>
      <c r="K7">
        <v>0.63</v>
      </c>
      <c r="L7">
        <v>0</v>
      </c>
      <c r="M7">
        <v>0</v>
      </c>
      <c r="N7">
        <v>0</v>
      </c>
      <c r="O7">
        <v>3</v>
      </c>
      <c r="P7">
        <v>4.7</v>
      </c>
      <c r="Q7">
        <v>0.63200000000000001</v>
      </c>
      <c r="R7">
        <v>0.63</v>
      </c>
      <c r="S7">
        <v>1.1000000000000001</v>
      </c>
      <c r="T7">
        <v>1.9</v>
      </c>
      <c r="U7">
        <v>0.60599999999999998</v>
      </c>
      <c r="V7">
        <v>3.3</v>
      </c>
      <c r="W7">
        <v>5.9</v>
      </c>
      <c r="X7">
        <v>9.3000000000000007</v>
      </c>
      <c r="Y7">
        <v>2.5</v>
      </c>
      <c r="Z7">
        <v>0.6</v>
      </c>
      <c r="AA7">
        <v>0.6</v>
      </c>
      <c r="AB7">
        <v>0.5</v>
      </c>
      <c r="AC7">
        <v>2.7</v>
      </c>
      <c r="AD7">
        <v>7</v>
      </c>
      <c r="AE7">
        <v>1958</v>
      </c>
      <c r="AF7">
        <v>17.8</v>
      </c>
      <c r="AG7">
        <v>0.63900000000000001</v>
      </c>
      <c r="AH7">
        <v>3.0000000000000001E-3</v>
      </c>
      <c r="AI7">
        <v>0.40400000000000003</v>
      </c>
      <c r="AJ7">
        <v>15.7</v>
      </c>
      <c r="AK7">
        <v>26.8</v>
      </c>
      <c r="AL7">
        <v>21.4</v>
      </c>
      <c r="AM7">
        <v>13.8</v>
      </c>
      <c r="AN7">
        <v>1.3</v>
      </c>
      <c r="AO7">
        <v>2.2000000000000002</v>
      </c>
      <c r="AP7">
        <v>9.1</v>
      </c>
      <c r="AQ7">
        <v>10.6</v>
      </c>
      <c r="AR7">
        <v>5.9</v>
      </c>
      <c r="AS7">
        <v>2.8</v>
      </c>
      <c r="AT7">
        <v>8.6999999999999993</v>
      </c>
      <c r="AU7">
        <v>0.21199999999999999</v>
      </c>
      <c r="AV7">
        <v>0.9</v>
      </c>
      <c r="AW7">
        <v>1.3</v>
      </c>
      <c r="AX7">
        <v>2.1</v>
      </c>
      <c r="AY7">
        <v>2</v>
      </c>
      <c r="AZ7" s="8">
        <v>5.3999999999999995</v>
      </c>
      <c r="BA7" s="8">
        <v>0.67499999999999993</v>
      </c>
      <c r="BB7" s="3">
        <v>1</v>
      </c>
    </row>
    <row r="8" spans="1:67" x14ac:dyDescent="0.25">
      <c r="A8" t="s">
        <v>229</v>
      </c>
      <c r="B8" s="2">
        <v>8478720</v>
      </c>
      <c r="C8" t="s">
        <v>28</v>
      </c>
      <c r="D8">
        <v>21</v>
      </c>
      <c r="E8" t="s">
        <v>107</v>
      </c>
      <c r="F8">
        <v>79</v>
      </c>
      <c r="G8">
        <v>79</v>
      </c>
      <c r="H8">
        <v>34.4</v>
      </c>
      <c r="I8">
        <v>6.6</v>
      </c>
      <c r="J8">
        <v>12</v>
      </c>
      <c r="K8">
        <v>0.55400000000000005</v>
      </c>
      <c r="L8">
        <v>0.3</v>
      </c>
      <c r="M8">
        <v>1.3</v>
      </c>
      <c r="N8">
        <v>0.216</v>
      </c>
      <c r="O8">
        <v>6.4</v>
      </c>
      <c r="P8">
        <v>10.7</v>
      </c>
      <c r="Q8">
        <v>0.59499999999999997</v>
      </c>
      <c r="R8">
        <v>0.56599999999999995</v>
      </c>
      <c r="S8">
        <v>2.6</v>
      </c>
      <c r="T8">
        <v>3.8</v>
      </c>
      <c r="U8">
        <v>0.67400000000000004</v>
      </c>
      <c r="V8">
        <v>2.4</v>
      </c>
      <c r="W8">
        <v>6.6</v>
      </c>
      <c r="X8">
        <v>9</v>
      </c>
      <c r="Y8">
        <v>2.8</v>
      </c>
      <c r="Z8">
        <v>0.8</v>
      </c>
      <c r="AA8">
        <v>1.5</v>
      </c>
      <c r="AB8">
        <v>1.8</v>
      </c>
      <c r="AC8">
        <v>2.8</v>
      </c>
      <c r="AD8">
        <v>16.2</v>
      </c>
      <c r="AE8">
        <v>2715</v>
      </c>
      <c r="AF8">
        <v>17.899999999999999</v>
      </c>
      <c r="AG8">
        <v>0.59099999999999997</v>
      </c>
      <c r="AH8">
        <v>0.108</v>
      </c>
      <c r="AI8">
        <v>0.32100000000000001</v>
      </c>
      <c r="AJ8">
        <v>8.1</v>
      </c>
      <c r="AK8">
        <v>22.7</v>
      </c>
      <c r="AL8">
        <v>15.4</v>
      </c>
      <c r="AM8">
        <v>12.4</v>
      </c>
      <c r="AN8">
        <v>1.1000000000000001</v>
      </c>
      <c r="AO8">
        <v>4</v>
      </c>
      <c r="AP8">
        <v>11.9</v>
      </c>
      <c r="AQ8">
        <v>20.2</v>
      </c>
      <c r="AR8">
        <v>3.7</v>
      </c>
      <c r="AS8">
        <v>4.8</v>
      </c>
      <c r="AT8">
        <v>8.5</v>
      </c>
      <c r="AU8">
        <v>0.151</v>
      </c>
      <c r="AV8">
        <v>0</v>
      </c>
      <c r="AW8">
        <v>1.6</v>
      </c>
      <c r="AX8">
        <v>1.7</v>
      </c>
      <c r="AY8">
        <v>2.5</v>
      </c>
      <c r="AZ8" s="8">
        <v>5.0999999999999996</v>
      </c>
      <c r="BA8" s="8">
        <v>0.60150588768115942</v>
      </c>
      <c r="BB8" s="3">
        <v>1</v>
      </c>
    </row>
    <row r="9" spans="1:67" x14ac:dyDescent="0.25">
      <c r="A9" t="s">
        <v>357</v>
      </c>
      <c r="B9" s="2">
        <v>2696400</v>
      </c>
      <c r="C9" t="s">
        <v>75</v>
      </c>
      <c r="D9">
        <v>21</v>
      </c>
      <c r="E9" t="s">
        <v>130</v>
      </c>
      <c r="F9">
        <v>74</v>
      </c>
      <c r="G9">
        <v>40</v>
      </c>
      <c r="H9">
        <v>23</v>
      </c>
      <c r="I9">
        <v>4</v>
      </c>
      <c r="J9">
        <v>5.6</v>
      </c>
      <c r="K9">
        <v>0.72</v>
      </c>
      <c r="L9">
        <v>0</v>
      </c>
      <c r="M9">
        <v>0</v>
      </c>
      <c r="N9">
        <v>0.33300000000000002</v>
      </c>
      <c r="O9">
        <v>4</v>
      </c>
      <c r="P9">
        <v>5.6</v>
      </c>
      <c r="Q9">
        <v>0.72299999999999998</v>
      </c>
      <c r="R9">
        <v>0.72099999999999997</v>
      </c>
      <c r="S9">
        <v>1.1000000000000001</v>
      </c>
      <c r="T9">
        <v>2.1</v>
      </c>
      <c r="U9">
        <v>0.51600000000000001</v>
      </c>
      <c r="V9">
        <v>3.1</v>
      </c>
      <c r="W9">
        <v>5.3</v>
      </c>
      <c r="X9">
        <v>8.4</v>
      </c>
      <c r="Y9">
        <v>0.9</v>
      </c>
      <c r="Z9">
        <v>0.4</v>
      </c>
      <c r="AA9">
        <v>2.2999999999999998</v>
      </c>
      <c r="AB9">
        <v>0.8</v>
      </c>
      <c r="AC9">
        <v>2.2999999999999998</v>
      </c>
      <c r="AD9">
        <v>9.1999999999999993</v>
      </c>
      <c r="AE9">
        <v>1703</v>
      </c>
      <c r="AF9">
        <v>21.5</v>
      </c>
      <c r="AG9">
        <v>0.70199999999999996</v>
      </c>
      <c r="AH9">
        <v>7.0000000000000001E-3</v>
      </c>
      <c r="AI9">
        <v>0.38400000000000001</v>
      </c>
      <c r="AJ9">
        <v>14.9</v>
      </c>
      <c r="AK9">
        <v>24.4</v>
      </c>
      <c r="AL9">
        <v>19.7</v>
      </c>
      <c r="AM9">
        <v>5.7</v>
      </c>
      <c r="AN9">
        <v>0.7</v>
      </c>
      <c r="AO9">
        <v>8.6</v>
      </c>
      <c r="AP9">
        <v>10.7</v>
      </c>
      <c r="AQ9">
        <v>13.3</v>
      </c>
      <c r="AR9">
        <v>4.5999999999999996</v>
      </c>
      <c r="AS9">
        <v>2.5</v>
      </c>
      <c r="AT9">
        <v>7.1</v>
      </c>
      <c r="AU9">
        <v>0.2</v>
      </c>
      <c r="AV9">
        <v>1.4</v>
      </c>
      <c r="AW9">
        <v>1.5</v>
      </c>
      <c r="AX9">
        <v>2.9</v>
      </c>
      <c r="AY9">
        <v>2.1</v>
      </c>
      <c r="AZ9" s="8">
        <v>5</v>
      </c>
      <c r="BA9" s="8">
        <v>1.8543242842308263</v>
      </c>
      <c r="BB9" s="3">
        <v>1</v>
      </c>
    </row>
    <row r="10" spans="1:67" x14ac:dyDescent="0.25">
      <c r="A10" t="s">
        <v>394</v>
      </c>
      <c r="B10" s="2">
        <v>2130240</v>
      </c>
      <c r="C10" t="s">
        <v>62</v>
      </c>
      <c r="D10">
        <v>24</v>
      </c>
      <c r="E10" t="s">
        <v>150</v>
      </c>
      <c r="F10">
        <v>58</v>
      </c>
      <c r="G10">
        <v>58</v>
      </c>
      <c r="H10">
        <v>31.7</v>
      </c>
      <c r="I10">
        <v>7.8</v>
      </c>
      <c r="J10">
        <v>16.2</v>
      </c>
      <c r="K10">
        <v>0.47899999999999998</v>
      </c>
      <c r="L10">
        <v>2.9</v>
      </c>
      <c r="M10">
        <v>7</v>
      </c>
      <c r="N10">
        <v>0.40799999999999997</v>
      </c>
      <c r="O10">
        <v>4.9000000000000004</v>
      </c>
      <c r="P10">
        <v>9.1999999999999993</v>
      </c>
      <c r="Q10">
        <v>0.53400000000000003</v>
      </c>
      <c r="R10">
        <v>0.56799999999999995</v>
      </c>
      <c r="S10">
        <v>3.1</v>
      </c>
      <c r="T10">
        <v>3.5</v>
      </c>
      <c r="U10">
        <v>0.88300000000000001</v>
      </c>
      <c r="V10">
        <v>0.7</v>
      </c>
      <c r="W10">
        <v>4.3</v>
      </c>
      <c r="X10">
        <v>5</v>
      </c>
      <c r="Y10">
        <v>4.4000000000000004</v>
      </c>
      <c r="Z10">
        <v>1</v>
      </c>
      <c r="AA10">
        <v>0.4</v>
      </c>
      <c r="AB10">
        <v>2.2000000000000002</v>
      </c>
      <c r="AC10">
        <v>2.6</v>
      </c>
      <c r="AD10">
        <v>21.5</v>
      </c>
      <c r="AE10">
        <v>1841</v>
      </c>
      <c r="AF10">
        <v>19.100000000000001</v>
      </c>
      <c r="AG10">
        <v>0.60599999999999998</v>
      </c>
      <c r="AH10">
        <v>0.433</v>
      </c>
      <c r="AI10">
        <v>0.218</v>
      </c>
      <c r="AJ10">
        <v>2.5</v>
      </c>
      <c r="AK10">
        <v>14.3</v>
      </c>
      <c r="AL10">
        <v>8.4</v>
      </c>
      <c r="AM10">
        <v>20.8</v>
      </c>
      <c r="AN10">
        <v>1.4</v>
      </c>
      <c r="AO10">
        <v>1.1000000000000001</v>
      </c>
      <c r="AP10">
        <v>10.9</v>
      </c>
      <c r="AQ10">
        <v>26.1</v>
      </c>
      <c r="AR10">
        <v>3.5</v>
      </c>
      <c r="AS10">
        <v>2.2999999999999998</v>
      </c>
      <c r="AT10">
        <v>5.8</v>
      </c>
      <c r="AU10">
        <v>0.151</v>
      </c>
      <c r="AV10">
        <v>3.3</v>
      </c>
      <c r="AW10">
        <v>0.1</v>
      </c>
      <c r="AX10">
        <v>3.5</v>
      </c>
      <c r="AY10">
        <v>2.5</v>
      </c>
      <c r="AZ10" s="8">
        <v>4.6500000000000004</v>
      </c>
      <c r="BA10" s="8">
        <v>2.1828526363226679</v>
      </c>
      <c r="BB10" s="3">
        <v>1</v>
      </c>
    </row>
    <row r="11" spans="1:67" x14ac:dyDescent="0.25">
      <c r="A11" t="s">
        <v>374</v>
      </c>
      <c r="B11" s="2">
        <v>2316240</v>
      </c>
      <c r="C11" t="s">
        <v>62</v>
      </c>
      <c r="D11">
        <v>23</v>
      </c>
      <c r="E11" t="s">
        <v>123</v>
      </c>
      <c r="F11">
        <v>81</v>
      </c>
      <c r="G11">
        <v>21</v>
      </c>
      <c r="H11">
        <v>28.9</v>
      </c>
      <c r="I11">
        <v>5.2</v>
      </c>
      <c r="J11">
        <v>11.6</v>
      </c>
      <c r="K11">
        <v>0.44800000000000001</v>
      </c>
      <c r="L11">
        <v>2.1</v>
      </c>
      <c r="M11">
        <v>5.6</v>
      </c>
      <c r="N11">
        <v>0.37</v>
      </c>
      <c r="O11">
        <v>3.1</v>
      </c>
      <c r="P11">
        <v>6</v>
      </c>
      <c r="Q11">
        <v>0.52100000000000002</v>
      </c>
      <c r="R11">
        <v>0.53700000000000003</v>
      </c>
      <c r="S11">
        <v>2.5</v>
      </c>
      <c r="T11">
        <v>3.1</v>
      </c>
      <c r="U11">
        <v>0.81899999999999995</v>
      </c>
      <c r="V11">
        <v>0.7</v>
      </c>
      <c r="W11">
        <v>3.4</v>
      </c>
      <c r="X11">
        <v>4.2</v>
      </c>
      <c r="Y11">
        <v>3.4</v>
      </c>
      <c r="Z11">
        <v>1</v>
      </c>
      <c r="AA11">
        <v>0.2</v>
      </c>
      <c r="AB11">
        <v>1.2</v>
      </c>
      <c r="AC11">
        <v>2</v>
      </c>
      <c r="AD11">
        <v>14.9</v>
      </c>
      <c r="AE11">
        <v>2344</v>
      </c>
      <c r="AF11">
        <v>16.3</v>
      </c>
      <c r="AG11">
        <v>0.57799999999999996</v>
      </c>
      <c r="AH11">
        <v>0.48499999999999999</v>
      </c>
      <c r="AI11">
        <v>0.26500000000000001</v>
      </c>
      <c r="AJ11">
        <v>2.7</v>
      </c>
      <c r="AK11">
        <v>13.1</v>
      </c>
      <c r="AL11">
        <v>7.9</v>
      </c>
      <c r="AM11">
        <v>17.399999999999999</v>
      </c>
      <c r="AN11">
        <v>1.7</v>
      </c>
      <c r="AO11">
        <v>0.6</v>
      </c>
      <c r="AP11">
        <v>8.6999999999999993</v>
      </c>
      <c r="AQ11">
        <v>20.9</v>
      </c>
      <c r="AR11">
        <v>4.4000000000000004</v>
      </c>
      <c r="AS11">
        <v>2.2999999999999998</v>
      </c>
      <c r="AT11">
        <v>6.7</v>
      </c>
      <c r="AU11">
        <v>0.13700000000000001</v>
      </c>
      <c r="AV11">
        <v>1.3</v>
      </c>
      <c r="AW11">
        <v>0.4</v>
      </c>
      <c r="AX11">
        <v>1.7</v>
      </c>
      <c r="AY11">
        <v>2.1</v>
      </c>
      <c r="AZ11" s="8">
        <v>4.2</v>
      </c>
      <c r="BA11" s="8">
        <v>1.8132835975546575</v>
      </c>
      <c r="BB11" s="3">
        <v>1</v>
      </c>
    </row>
    <row r="12" spans="1:67" x14ac:dyDescent="0.25">
      <c r="A12" t="s">
        <v>239</v>
      </c>
      <c r="B12" s="2">
        <v>7644600</v>
      </c>
      <c r="C12" t="s">
        <v>65</v>
      </c>
      <c r="D12">
        <v>21</v>
      </c>
      <c r="E12" t="s">
        <v>91</v>
      </c>
      <c r="F12">
        <v>77</v>
      </c>
      <c r="G12">
        <v>76</v>
      </c>
      <c r="H12">
        <v>34.799999999999997</v>
      </c>
      <c r="I12">
        <v>6</v>
      </c>
      <c r="J12">
        <v>13.2</v>
      </c>
      <c r="K12">
        <v>0.45600000000000002</v>
      </c>
      <c r="L12">
        <v>0.8</v>
      </c>
      <c r="M12">
        <v>2.9</v>
      </c>
      <c r="N12">
        <v>0.28100000000000003</v>
      </c>
      <c r="O12">
        <v>5.2</v>
      </c>
      <c r="P12">
        <v>10.3</v>
      </c>
      <c r="Q12">
        <v>0.505</v>
      </c>
      <c r="R12">
        <v>0.48699999999999999</v>
      </c>
      <c r="S12">
        <v>2.5</v>
      </c>
      <c r="T12">
        <v>3.2</v>
      </c>
      <c r="U12">
        <v>0.77200000000000002</v>
      </c>
      <c r="V12">
        <v>2.2999999999999998</v>
      </c>
      <c r="W12">
        <v>4.3</v>
      </c>
      <c r="X12">
        <v>6.6</v>
      </c>
      <c r="Y12">
        <v>4.8</v>
      </c>
      <c r="Z12">
        <v>1.1000000000000001</v>
      </c>
      <c r="AA12">
        <v>0.8</v>
      </c>
      <c r="AB12">
        <v>2</v>
      </c>
      <c r="AC12">
        <v>2.2000000000000002</v>
      </c>
      <c r="AD12">
        <v>15.3</v>
      </c>
      <c r="AE12">
        <v>2678</v>
      </c>
      <c r="AF12">
        <v>15.5</v>
      </c>
      <c r="AG12">
        <v>0.52400000000000002</v>
      </c>
      <c r="AH12">
        <v>0.22</v>
      </c>
      <c r="AI12">
        <v>0.24199999999999999</v>
      </c>
      <c r="AJ12">
        <v>7.1</v>
      </c>
      <c r="AK12">
        <v>15.2</v>
      </c>
      <c r="AL12">
        <v>10.8</v>
      </c>
      <c r="AM12">
        <v>20</v>
      </c>
      <c r="AN12">
        <v>1.5</v>
      </c>
      <c r="AO12">
        <v>2.2000000000000002</v>
      </c>
      <c r="AP12">
        <v>12</v>
      </c>
      <c r="AQ12">
        <v>20.3</v>
      </c>
      <c r="AR12">
        <v>2.2999999999999998</v>
      </c>
      <c r="AS12">
        <v>2.7</v>
      </c>
      <c r="AT12">
        <v>5</v>
      </c>
      <c r="AU12">
        <v>0.09</v>
      </c>
      <c r="AV12">
        <v>0.5</v>
      </c>
      <c r="AW12">
        <v>-0.1</v>
      </c>
      <c r="AX12">
        <v>0.4</v>
      </c>
      <c r="AY12">
        <v>1.6</v>
      </c>
      <c r="AZ12" s="8">
        <v>2.7</v>
      </c>
      <c r="BA12" s="8">
        <v>0.35319048740287262</v>
      </c>
      <c r="BB12" s="3">
        <v>1</v>
      </c>
    </row>
    <row r="13" spans="1:67" x14ac:dyDescent="0.25">
      <c r="A13" t="s">
        <v>445</v>
      </c>
      <c r="B13" s="2">
        <v>1637966</v>
      </c>
      <c r="C13" t="s">
        <v>65</v>
      </c>
      <c r="D13">
        <v>25</v>
      </c>
      <c r="E13" t="s">
        <v>113</v>
      </c>
      <c r="F13">
        <v>80</v>
      </c>
      <c r="G13">
        <v>8</v>
      </c>
      <c r="H13">
        <v>16.100000000000001</v>
      </c>
      <c r="I13">
        <v>2.2999999999999998</v>
      </c>
      <c r="J13">
        <v>5</v>
      </c>
      <c r="K13">
        <v>0.45500000000000002</v>
      </c>
      <c r="L13">
        <v>1.8</v>
      </c>
      <c r="M13">
        <v>4.2</v>
      </c>
      <c r="N13">
        <v>0.41799999999999998</v>
      </c>
      <c r="O13">
        <v>0.5</v>
      </c>
      <c r="P13">
        <v>0.8</v>
      </c>
      <c r="Q13">
        <v>0.65600000000000003</v>
      </c>
      <c r="R13">
        <v>0.63100000000000001</v>
      </c>
      <c r="S13">
        <v>0.2</v>
      </c>
      <c r="T13">
        <v>0.2</v>
      </c>
      <c r="U13">
        <v>0.70599999999999996</v>
      </c>
      <c r="V13">
        <v>0.4</v>
      </c>
      <c r="W13">
        <v>2.1</v>
      </c>
      <c r="X13">
        <v>2.6</v>
      </c>
      <c r="Y13">
        <v>0.9</v>
      </c>
      <c r="Z13">
        <v>0.4</v>
      </c>
      <c r="AA13">
        <v>0.3</v>
      </c>
      <c r="AB13">
        <v>0.4</v>
      </c>
      <c r="AC13">
        <v>1.2</v>
      </c>
      <c r="AD13">
        <v>6.4</v>
      </c>
      <c r="AE13">
        <v>1290</v>
      </c>
      <c r="AF13">
        <v>12.7</v>
      </c>
      <c r="AG13">
        <v>0.63400000000000001</v>
      </c>
      <c r="AH13">
        <v>0.84599999999999997</v>
      </c>
      <c r="AI13">
        <v>4.2999999999999997E-2</v>
      </c>
      <c r="AJ13">
        <v>3</v>
      </c>
      <c r="AK13">
        <v>14.1</v>
      </c>
      <c r="AL13">
        <v>8.6</v>
      </c>
      <c r="AM13">
        <v>7.6</v>
      </c>
      <c r="AN13">
        <v>1.1000000000000001</v>
      </c>
      <c r="AO13">
        <v>1.4</v>
      </c>
      <c r="AP13">
        <v>6.9</v>
      </c>
      <c r="AQ13">
        <v>14.7</v>
      </c>
      <c r="AR13">
        <v>1.8</v>
      </c>
      <c r="AS13">
        <v>1.6</v>
      </c>
      <c r="AT13">
        <v>3.4</v>
      </c>
      <c r="AU13">
        <v>0.128</v>
      </c>
      <c r="AV13">
        <v>0.6</v>
      </c>
      <c r="AW13">
        <v>0.4</v>
      </c>
      <c r="AX13">
        <v>1</v>
      </c>
      <c r="AY13">
        <v>1</v>
      </c>
      <c r="AZ13" s="8">
        <v>2.2000000000000002</v>
      </c>
      <c r="BA13" s="8">
        <v>1.3431292224624931</v>
      </c>
      <c r="BB13" s="3">
        <v>1</v>
      </c>
    </row>
    <row r="14" spans="1:67" x14ac:dyDescent="0.25">
      <c r="A14" t="s">
        <v>98</v>
      </c>
      <c r="B14" s="2">
        <v>33616770</v>
      </c>
      <c r="C14" t="s">
        <v>75</v>
      </c>
      <c r="D14">
        <v>28</v>
      </c>
      <c r="E14" t="s">
        <v>82</v>
      </c>
      <c r="F14">
        <v>66</v>
      </c>
      <c r="G14">
        <v>66</v>
      </c>
      <c r="H14">
        <v>34.6</v>
      </c>
      <c r="I14">
        <v>11</v>
      </c>
      <c r="J14">
        <v>20.100000000000001</v>
      </c>
      <c r="K14">
        <v>0.54800000000000004</v>
      </c>
      <c r="L14">
        <v>1</v>
      </c>
      <c r="M14">
        <v>3</v>
      </c>
      <c r="N14">
        <v>0.33</v>
      </c>
      <c r="O14">
        <v>10</v>
      </c>
      <c r="P14">
        <v>17.100000000000001</v>
      </c>
      <c r="Q14">
        <v>0.58699999999999997</v>
      </c>
      <c r="R14">
        <v>0.57299999999999995</v>
      </c>
      <c r="S14">
        <v>10</v>
      </c>
      <c r="T14">
        <v>11.7</v>
      </c>
      <c r="U14">
        <v>0.85699999999999998</v>
      </c>
      <c r="V14">
        <v>1.7</v>
      </c>
      <c r="W14">
        <v>8.4</v>
      </c>
      <c r="X14">
        <v>10.199999999999999</v>
      </c>
      <c r="Y14">
        <v>4.2</v>
      </c>
      <c r="Z14">
        <v>1</v>
      </c>
      <c r="AA14">
        <v>1.7</v>
      </c>
      <c r="AB14">
        <v>3.4</v>
      </c>
      <c r="AC14">
        <v>3.1</v>
      </c>
      <c r="AD14">
        <v>33.1</v>
      </c>
      <c r="AE14">
        <v>2284</v>
      </c>
      <c r="AF14">
        <v>31.4</v>
      </c>
      <c r="AG14">
        <v>0.65500000000000003</v>
      </c>
      <c r="AH14">
        <v>0.151</v>
      </c>
      <c r="AI14">
        <v>0.58099999999999996</v>
      </c>
      <c r="AJ14">
        <v>5.9</v>
      </c>
      <c r="AK14">
        <v>28.3</v>
      </c>
      <c r="AL14">
        <v>17.3</v>
      </c>
      <c r="AM14">
        <v>22.9</v>
      </c>
      <c r="AN14">
        <v>1.4</v>
      </c>
      <c r="AO14">
        <v>4.5999999999999996</v>
      </c>
      <c r="AP14">
        <v>11.9</v>
      </c>
      <c r="AQ14">
        <v>37</v>
      </c>
      <c r="AR14">
        <v>8.4</v>
      </c>
      <c r="AS14">
        <v>3.9</v>
      </c>
      <c r="AT14">
        <v>12.3</v>
      </c>
      <c r="AU14">
        <v>0.25900000000000001</v>
      </c>
      <c r="AV14">
        <v>6.8</v>
      </c>
      <c r="AW14">
        <v>2.2999999999999998</v>
      </c>
      <c r="AX14">
        <v>9.1999999999999993</v>
      </c>
      <c r="AY14">
        <v>6.4</v>
      </c>
      <c r="AZ14" s="8">
        <v>10.75</v>
      </c>
      <c r="BA14" s="8">
        <v>0.31978087127347454</v>
      </c>
      <c r="BB14" s="3">
        <v>0</v>
      </c>
    </row>
    <row r="15" spans="1:67" x14ac:dyDescent="0.25">
      <c r="A15" t="s">
        <v>79</v>
      </c>
      <c r="B15" s="2">
        <v>37653300</v>
      </c>
      <c r="C15" t="s">
        <v>28</v>
      </c>
      <c r="D15">
        <v>33</v>
      </c>
      <c r="E15" t="s">
        <v>80</v>
      </c>
      <c r="F15">
        <v>64</v>
      </c>
      <c r="G15">
        <v>64</v>
      </c>
      <c r="H15">
        <v>33.4</v>
      </c>
      <c r="I15">
        <v>7.5</v>
      </c>
      <c r="J15">
        <v>13.9</v>
      </c>
      <c r="K15">
        <v>0.53900000000000003</v>
      </c>
      <c r="L15">
        <v>0.6</v>
      </c>
      <c r="M15">
        <v>1.6</v>
      </c>
      <c r="N15">
        <v>0.35</v>
      </c>
      <c r="O15">
        <v>6.9</v>
      </c>
      <c r="P15">
        <v>12.3</v>
      </c>
      <c r="Q15">
        <v>0.56399999999999995</v>
      </c>
      <c r="R15">
        <v>0.56000000000000005</v>
      </c>
      <c r="S15">
        <v>7.4</v>
      </c>
      <c r="T15">
        <v>8.6999999999999993</v>
      </c>
      <c r="U15">
        <v>0.85</v>
      </c>
      <c r="V15">
        <v>2.2000000000000002</v>
      </c>
      <c r="W15">
        <v>3.7</v>
      </c>
      <c r="X15">
        <v>5.9</v>
      </c>
      <c r="Y15">
        <v>5.3</v>
      </c>
      <c r="Z15">
        <v>1.8</v>
      </c>
      <c r="AA15">
        <v>0.3</v>
      </c>
      <c r="AB15">
        <v>1.6</v>
      </c>
      <c r="AC15">
        <v>1.3</v>
      </c>
      <c r="AD15">
        <v>22.9</v>
      </c>
      <c r="AE15">
        <v>2138</v>
      </c>
      <c r="AF15">
        <v>27.6</v>
      </c>
      <c r="AG15">
        <v>0.64700000000000002</v>
      </c>
      <c r="AH15">
        <v>0.11600000000000001</v>
      </c>
      <c r="AI15">
        <v>0.625</v>
      </c>
      <c r="AJ15">
        <v>7.5</v>
      </c>
      <c r="AK15">
        <v>13.3</v>
      </c>
      <c r="AL15">
        <v>10.3</v>
      </c>
      <c r="AM15">
        <v>27.1</v>
      </c>
      <c r="AN15">
        <v>2.7</v>
      </c>
      <c r="AO15">
        <v>1</v>
      </c>
      <c r="AP15">
        <v>8.1999999999999993</v>
      </c>
      <c r="AQ15">
        <v>25.6</v>
      </c>
      <c r="AR15">
        <v>9.4</v>
      </c>
      <c r="AS15">
        <v>2.9</v>
      </c>
      <c r="AT15">
        <v>12.3</v>
      </c>
      <c r="AU15">
        <v>0.27700000000000002</v>
      </c>
      <c r="AV15">
        <v>6.7</v>
      </c>
      <c r="AW15">
        <v>2</v>
      </c>
      <c r="AX15">
        <v>8.6999999999999993</v>
      </c>
      <c r="AY15">
        <v>5.8</v>
      </c>
      <c r="AZ15" s="8">
        <v>10.5</v>
      </c>
      <c r="BA15" s="8">
        <v>0.27886002023727002</v>
      </c>
      <c r="BB15" s="3">
        <v>0</v>
      </c>
    </row>
    <row r="16" spans="1:67" x14ac:dyDescent="0.25">
      <c r="A16" t="s">
        <v>108</v>
      </c>
      <c r="B16" s="2">
        <v>30913750</v>
      </c>
      <c r="C16" t="s">
        <v>52</v>
      </c>
      <c r="D16">
        <v>24</v>
      </c>
      <c r="E16" t="s">
        <v>109</v>
      </c>
      <c r="F16">
        <v>68</v>
      </c>
      <c r="G16">
        <v>68</v>
      </c>
      <c r="H16">
        <v>35.5</v>
      </c>
      <c r="I16">
        <v>10.4</v>
      </c>
      <c r="J16">
        <v>20.3</v>
      </c>
      <c r="K16">
        <v>0.51</v>
      </c>
      <c r="L16">
        <v>0.9</v>
      </c>
      <c r="M16">
        <v>2.5</v>
      </c>
      <c r="N16">
        <v>0.34499999999999997</v>
      </c>
      <c r="O16">
        <v>9.5</v>
      </c>
      <c r="P16">
        <v>17.8</v>
      </c>
      <c r="Q16">
        <v>0.53300000000000003</v>
      </c>
      <c r="R16">
        <v>0.53100000000000003</v>
      </c>
      <c r="S16">
        <v>9.8000000000000007</v>
      </c>
      <c r="T16">
        <v>10.9</v>
      </c>
      <c r="U16">
        <v>0.90500000000000003</v>
      </c>
      <c r="V16">
        <v>0.9</v>
      </c>
      <c r="W16">
        <v>4</v>
      </c>
      <c r="X16">
        <v>4.8</v>
      </c>
      <c r="Y16">
        <v>5.5</v>
      </c>
      <c r="Z16">
        <v>1.6</v>
      </c>
      <c r="AA16">
        <v>1</v>
      </c>
      <c r="AB16">
        <v>2.8</v>
      </c>
      <c r="AC16">
        <v>2.8</v>
      </c>
      <c r="AD16">
        <v>31.4</v>
      </c>
      <c r="AE16">
        <v>2416</v>
      </c>
      <c r="AF16">
        <v>27.2</v>
      </c>
      <c r="AG16">
        <v>0.626</v>
      </c>
      <c r="AH16">
        <v>0.122</v>
      </c>
      <c r="AI16">
        <v>0.53500000000000003</v>
      </c>
      <c r="AJ16">
        <v>2.6</v>
      </c>
      <c r="AK16">
        <v>12.2</v>
      </c>
      <c r="AL16">
        <v>7.3</v>
      </c>
      <c r="AM16">
        <v>25.7</v>
      </c>
      <c r="AN16">
        <v>2.2000000000000002</v>
      </c>
      <c r="AO16">
        <v>2.5</v>
      </c>
      <c r="AP16">
        <v>10.1</v>
      </c>
      <c r="AQ16">
        <v>32.799999999999997</v>
      </c>
      <c r="AR16">
        <v>8.4</v>
      </c>
      <c r="AS16">
        <v>3</v>
      </c>
      <c r="AT16">
        <v>11.4</v>
      </c>
      <c r="AU16">
        <v>0.22600000000000001</v>
      </c>
      <c r="AV16">
        <v>5.7</v>
      </c>
      <c r="AW16">
        <v>1.5</v>
      </c>
      <c r="AX16">
        <v>7.3</v>
      </c>
      <c r="AY16">
        <v>5.6</v>
      </c>
      <c r="AZ16" s="8">
        <v>9.35</v>
      </c>
      <c r="BA16" s="8">
        <v>0.30245440944563501</v>
      </c>
      <c r="BB16" s="3">
        <v>0</v>
      </c>
    </row>
    <row r="17" spans="1:54" x14ac:dyDescent="0.25">
      <c r="A17" t="s">
        <v>67</v>
      </c>
      <c r="B17" s="2">
        <v>42492492</v>
      </c>
      <c r="C17" t="s">
        <v>28</v>
      </c>
      <c r="D17">
        <v>28</v>
      </c>
      <c r="E17" t="s">
        <v>68</v>
      </c>
      <c r="F17">
        <v>63</v>
      </c>
      <c r="G17">
        <v>63</v>
      </c>
      <c r="H17">
        <v>32.1</v>
      </c>
      <c r="I17">
        <v>11.2</v>
      </c>
      <c r="J17">
        <v>20.3</v>
      </c>
      <c r="K17">
        <v>0.55300000000000005</v>
      </c>
      <c r="L17">
        <v>0.7</v>
      </c>
      <c r="M17">
        <v>2.7</v>
      </c>
      <c r="N17">
        <v>0.27500000000000002</v>
      </c>
      <c r="O17">
        <v>10.5</v>
      </c>
      <c r="P17">
        <v>17.600000000000001</v>
      </c>
      <c r="Q17">
        <v>0.59599999999999997</v>
      </c>
      <c r="R17">
        <v>0.57199999999999995</v>
      </c>
      <c r="S17">
        <v>7.9</v>
      </c>
      <c r="T17">
        <v>12.3</v>
      </c>
      <c r="U17">
        <v>0.64500000000000002</v>
      </c>
      <c r="V17">
        <v>2.2000000000000002</v>
      </c>
      <c r="W17">
        <v>9.6</v>
      </c>
      <c r="X17">
        <v>11.8</v>
      </c>
      <c r="Y17">
        <v>5.7</v>
      </c>
      <c r="Z17">
        <v>0.8</v>
      </c>
      <c r="AA17">
        <v>0.8</v>
      </c>
      <c r="AB17">
        <v>3.9</v>
      </c>
      <c r="AC17">
        <v>3.1</v>
      </c>
      <c r="AD17">
        <v>31.1</v>
      </c>
      <c r="AE17">
        <v>2024</v>
      </c>
      <c r="AF17">
        <v>29</v>
      </c>
      <c r="AG17">
        <v>0.60499999999999998</v>
      </c>
      <c r="AH17">
        <v>0.13400000000000001</v>
      </c>
      <c r="AI17">
        <v>0.60399999999999998</v>
      </c>
      <c r="AJ17">
        <v>7.3</v>
      </c>
      <c r="AK17">
        <v>30</v>
      </c>
      <c r="AL17">
        <v>19.100000000000001</v>
      </c>
      <c r="AM17">
        <v>33.200000000000003</v>
      </c>
      <c r="AN17">
        <v>1.2</v>
      </c>
      <c r="AO17">
        <v>2.1</v>
      </c>
      <c r="AP17">
        <v>13.2</v>
      </c>
      <c r="AQ17">
        <v>38.799999999999997</v>
      </c>
      <c r="AR17">
        <v>4.9000000000000004</v>
      </c>
      <c r="AS17">
        <v>3.7</v>
      </c>
      <c r="AT17">
        <v>8.6</v>
      </c>
      <c r="AU17">
        <v>0.20399999999999999</v>
      </c>
      <c r="AV17">
        <v>5.8</v>
      </c>
      <c r="AW17">
        <v>2.7</v>
      </c>
      <c r="AX17">
        <v>8.5</v>
      </c>
      <c r="AY17">
        <v>5.4</v>
      </c>
      <c r="AZ17" s="8">
        <v>8.5500000000000007</v>
      </c>
      <c r="BA17" s="8">
        <v>0.20121201646634421</v>
      </c>
      <c r="BB17" s="3">
        <v>0</v>
      </c>
    </row>
    <row r="18" spans="1:54" x14ac:dyDescent="0.25">
      <c r="A18" t="s">
        <v>69</v>
      </c>
      <c r="B18" s="2">
        <v>42492492</v>
      </c>
      <c r="C18" t="s">
        <v>52</v>
      </c>
      <c r="D18">
        <v>32</v>
      </c>
      <c r="E18" t="s">
        <v>70</v>
      </c>
      <c r="F18">
        <v>58</v>
      </c>
      <c r="G18">
        <v>58</v>
      </c>
      <c r="H18">
        <v>36.299999999999997</v>
      </c>
      <c r="I18">
        <v>9.6</v>
      </c>
      <c r="J18">
        <v>20.7</v>
      </c>
      <c r="K18">
        <v>0.46300000000000002</v>
      </c>
      <c r="L18">
        <v>4.2</v>
      </c>
      <c r="M18">
        <v>11.3</v>
      </c>
      <c r="N18">
        <v>0.371</v>
      </c>
      <c r="O18">
        <v>5.4</v>
      </c>
      <c r="P18">
        <v>9.4</v>
      </c>
      <c r="Q18">
        <v>0.57399999999999995</v>
      </c>
      <c r="R18">
        <v>0.56399999999999995</v>
      </c>
      <c r="S18">
        <v>8.8000000000000007</v>
      </c>
      <c r="T18">
        <v>9.6</v>
      </c>
      <c r="U18">
        <v>0.91400000000000003</v>
      </c>
      <c r="V18">
        <v>0.8</v>
      </c>
      <c r="W18">
        <v>4</v>
      </c>
      <c r="X18">
        <v>4.8</v>
      </c>
      <c r="Y18">
        <v>7.3</v>
      </c>
      <c r="Z18">
        <v>0.9</v>
      </c>
      <c r="AA18">
        <v>0.3</v>
      </c>
      <c r="AB18">
        <v>3.3</v>
      </c>
      <c r="AC18">
        <v>1.9</v>
      </c>
      <c r="AD18">
        <v>32.200000000000003</v>
      </c>
      <c r="AE18">
        <v>2107</v>
      </c>
      <c r="AF18">
        <v>26.7</v>
      </c>
      <c r="AG18">
        <v>0.64500000000000002</v>
      </c>
      <c r="AH18">
        <v>0.54700000000000004</v>
      </c>
      <c r="AI18">
        <v>0.46400000000000002</v>
      </c>
      <c r="AJ18">
        <v>2.4</v>
      </c>
      <c r="AK18">
        <v>12.8</v>
      </c>
      <c r="AL18">
        <v>7.6</v>
      </c>
      <c r="AM18">
        <v>35</v>
      </c>
      <c r="AN18">
        <v>1.2</v>
      </c>
      <c r="AO18">
        <v>0.8</v>
      </c>
      <c r="AP18">
        <v>11.7</v>
      </c>
      <c r="AQ18">
        <v>33.799999999999997</v>
      </c>
      <c r="AR18">
        <v>8.1999999999999993</v>
      </c>
      <c r="AS18">
        <v>0.8</v>
      </c>
      <c r="AT18">
        <v>9</v>
      </c>
      <c r="AU18">
        <v>0.20499999999999999</v>
      </c>
      <c r="AV18">
        <v>8.3000000000000007</v>
      </c>
      <c r="AW18">
        <v>-1.2</v>
      </c>
      <c r="AX18">
        <v>7.1</v>
      </c>
      <c r="AY18">
        <v>4.9000000000000004</v>
      </c>
      <c r="AZ18" s="8">
        <v>8.0500000000000007</v>
      </c>
      <c r="BA18" s="8">
        <v>0.18944523187766915</v>
      </c>
      <c r="BB18" s="3">
        <v>0</v>
      </c>
    </row>
    <row r="19" spans="1:54" x14ac:dyDescent="0.25">
      <c r="A19" t="s">
        <v>112</v>
      </c>
      <c r="B19" s="2">
        <v>30351780</v>
      </c>
      <c r="C19" t="s">
        <v>65</v>
      </c>
      <c r="D19">
        <v>24</v>
      </c>
      <c r="E19" t="s">
        <v>113</v>
      </c>
      <c r="F19">
        <v>74</v>
      </c>
      <c r="G19">
        <v>74</v>
      </c>
      <c r="H19">
        <v>36.9</v>
      </c>
      <c r="I19">
        <v>9.8000000000000007</v>
      </c>
      <c r="J19">
        <v>21.1</v>
      </c>
      <c r="K19">
        <v>0.46600000000000003</v>
      </c>
      <c r="L19">
        <v>3.2</v>
      </c>
      <c r="M19">
        <v>9.3000000000000007</v>
      </c>
      <c r="N19">
        <v>0.35</v>
      </c>
      <c r="O19">
        <v>6.6</v>
      </c>
      <c r="P19">
        <v>11.8</v>
      </c>
      <c r="Q19">
        <v>0.55800000000000005</v>
      </c>
      <c r="R19">
        <v>0.54300000000000004</v>
      </c>
      <c r="S19">
        <v>7.2</v>
      </c>
      <c r="T19">
        <v>8.4</v>
      </c>
      <c r="U19">
        <v>0.85399999999999998</v>
      </c>
      <c r="V19">
        <v>1.1000000000000001</v>
      </c>
      <c r="W19">
        <v>7.7</v>
      </c>
      <c r="X19">
        <v>8.8000000000000007</v>
      </c>
      <c r="Y19">
        <v>4.5999999999999996</v>
      </c>
      <c r="Z19">
        <v>1.1000000000000001</v>
      </c>
      <c r="AA19">
        <v>0.7</v>
      </c>
      <c r="AB19">
        <v>2.9</v>
      </c>
      <c r="AC19">
        <v>2.2000000000000002</v>
      </c>
      <c r="AD19">
        <v>30.1</v>
      </c>
      <c r="AE19">
        <v>2732</v>
      </c>
      <c r="AF19">
        <v>23.7</v>
      </c>
      <c r="AG19">
        <v>0.60699999999999998</v>
      </c>
      <c r="AH19">
        <v>0.44</v>
      </c>
      <c r="AI19">
        <v>0.39900000000000002</v>
      </c>
      <c r="AJ19">
        <v>3.2</v>
      </c>
      <c r="AK19">
        <v>22.5</v>
      </c>
      <c r="AL19">
        <v>13</v>
      </c>
      <c r="AM19">
        <v>20.9</v>
      </c>
      <c r="AN19">
        <v>1.4</v>
      </c>
      <c r="AO19">
        <v>1.6</v>
      </c>
      <c r="AP19">
        <v>10.4</v>
      </c>
      <c r="AQ19">
        <v>32.700000000000003</v>
      </c>
      <c r="AR19">
        <v>6.2</v>
      </c>
      <c r="AS19">
        <v>4.3</v>
      </c>
      <c r="AT19">
        <v>10.5</v>
      </c>
      <c r="AU19">
        <v>0.185</v>
      </c>
      <c r="AV19">
        <v>4.8</v>
      </c>
      <c r="AW19">
        <v>0.7</v>
      </c>
      <c r="AX19">
        <v>5.5</v>
      </c>
      <c r="AY19">
        <v>5.0999999999999996</v>
      </c>
      <c r="AZ19" s="8">
        <v>8</v>
      </c>
      <c r="BA19" s="8">
        <v>0.26357597478632228</v>
      </c>
      <c r="BB19" s="3">
        <v>0</v>
      </c>
    </row>
    <row r="20" spans="1:54" x14ac:dyDescent="0.25">
      <c r="A20" t="s">
        <v>51</v>
      </c>
      <c r="B20" s="2">
        <v>48070014</v>
      </c>
      <c r="C20" t="s">
        <v>52</v>
      </c>
      <c r="D20">
        <v>34</v>
      </c>
      <c r="E20" t="s">
        <v>53</v>
      </c>
      <c r="F20">
        <v>56</v>
      </c>
      <c r="G20">
        <v>56</v>
      </c>
      <c r="H20">
        <v>34.700000000000003</v>
      </c>
      <c r="I20">
        <v>10</v>
      </c>
      <c r="J20">
        <v>20.2</v>
      </c>
      <c r="K20">
        <v>0.49299999999999999</v>
      </c>
      <c r="L20">
        <v>4.9000000000000004</v>
      </c>
      <c r="M20">
        <v>11.4</v>
      </c>
      <c r="N20">
        <v>0.42699999999999999</v>
      </c>
      <c r="O20">
        <v>5.0999999999999996</v>
      </c>
      <c r="P20">
        <v>8.8000000000000007</v>
      </c>
      <c r="Q20">
        <v>0.57899999999999996</v>
      </c>
      <c r="R20">
        <v>0.61399999999999999</v>
      </c>
      <c r="S20">
        <v>4.5999999999999996</v>
      </c>
      <c r="T20">
        <v>5</v>
      </c>
      <c r="U20">
        <v>0.91500000000000004</v>
      </c>
      <c r="V20">
        <v>0.7</v>
      </c>
      <c r="W20">
        <v>5.4</v>
      </c>
      <c r="X20">
        <v>6.1</v>
      </c>
      <c r="Y20">
        <v>6.3</v>
      </c>
      <c r="Z20">
        <v>0.9</v>
      </c>
      <c r="AA20">
        <v>0.4</v>
      </c>
      <c r="AB20">
        <v>3.2</v>
      </c>
      <c r="AC20">
        <v>2.1</v>
      </c>
      <c r="AD20">
        <v>29.4</v>
      </c>
      <c r="AE20">
        <v>1941</v>
      </c>
      <c r="AF20">
        <v>24.1</v>
      </c>
      <c r="AG20">
        <v>0.65600000000000003</v>
      </c>
      <c r="AH20">
        <v>0.56399999999999995</v>
      </c>
      <c r="AI20">
        <v>0.248</v>
      </c>
      <c r="AJ20">
        <v>2.2999999999999998</v>
      </c>
      <c r="AK20">
        <v>16.8</v>
      </c>
      <c r="AL20">
        <v>9.6999999999999993</v>
      </c>
      <c r="AM20">
        <v>30</v>
      </c>
      <c r="AN20">
        <v>1.3</v>
      </c>
      <c r="AO20">
        <v>0.9</v>
      </c>
      <c r="AP20">
        <v>12.5</v>
      </c>
      <c r="AQ20">
        <v>31</v>
      </c>
      <c r="AR20">
        <v>5.8</v>
      </c>
      <c r="AS20">
        <v>2</v>
      </c>
      <c r="AT20">
        <v>7.8</v>
      </c>
      <c r="AU20">
        <v>0.192</v>
      </c>
      <c r="AV20">
        <v>7.5</v>
      </c>
      <c r="AW20">
        <v>0.1</v>
      </c>
      <c r="AX20">
        <v>7.5</v>
      </c>
      <c r="AY20">
        <v>4.7</v>
      </c>
      <c r="AZ20" s="8">
        <v>7.65</v>
      </c>
      <c r="BA20" s="8">
        <v>0.15914287023090945</v>
      </c>
      <c r="BB20" s="3">
        <v>0</v>
      </c>
    </row>
    <row r="21" spans="1:54" x14ac:dyDescent="0.25">
      <c r="A21" t="s">
        <v>78</v>
      </c>
      <c r="B21" s="2">
        <v>37980720</v>
      </c>
      <c r="C21" t="s">
        <v>75</v>
      </c>
      <c r="D21">
        <v>29</v>
      </c>
      <c r="E21" t="s">
        <v>58</v>
      </c>
      <c r="F21">
        <v>56</v>
      </c>
      <c r="G21">
        <v>54</v>
      </c>
      <c r="H21">
        <v>34</v>
      </c>
      <c r="I21">
        <v>9.6999999999999993</v>
      </c>
      <c r="J21">
        <v>17.2</v>
      </c>
      <c r="K21">
        <v>0.56299999999999994</v>
      </c>
      <c r="L21">
        <v>0.3</v>
      </c>
      <c r="M21">
        <v>1.3</v>
      </c>
      <c r="N21">
        <v>0.25700000000000001</v>
      </c>
      <c r="O21">
        <v>9.3000000000000007</v>
      </c>
      <c r="P21">
        <v>15.9</v>
      </c>
      <c r="Q21">
        <v>0.58899999999999997</v>
      </c>
      <c r="R21">
        <v>0.57299999999999995</v>
      </c>
      <c r="S21">
        <v>6.2</v>
      </c>
      <c r="T21">
        <v>7.9</v>
      </c>
      <c r="U21">
        <v>0.78400000000000003</v>
      </c>
      <c r="V21">
        <v>3.5</v>
      </c>
      <c r="W21">
        <v>9.1</v>
      </c>
      <c r="X21">
        <v>12.5</v>
      </c>
      <c r="Y21">
        <v>2.6</v>
      </c>
      <c r="Z21">
        <v>1.1000000000000001</v>
      </c>
      <c r="AA21">
        <v>2</v>
      </c>
      <c r="AB21">
        <v>2.2000000000000002</v>
      </c>
      <c r="AC21">
        <v>2.6</v>
      </c>
      <c r="AD21">
        <v>25.9</v>
      </c>
      <c r="AE21">
        <v>1904</v>
      </c>
      <c r="AF21">
        <v>27.8</v>
      </c>
      <c r="AG21">
        <v>0.627</v>
      </c>
      <c r="AH21">
        <v>7.6999999999999999E-2</v>
      </c>
      <c r="AI21">
        <v>0.46200000000000002</v>
      </c>
      <c r="AJ21">
        <v>11.3</v>
      </c>
      <c r="AK21">
        <v>27.6</v>
      </c>
      <c r="AL21">
        <v>19.7</v>
      </c>
      <c r="AM21">
        <v>13</v>
      </c>
      <c r="AN21">
        <v>1.5</v>
      </c>
      <c r="AO21">
        <v>5.0999999999999996</v>
      </c>
      <c r="AP21">
        <v>9.5</v>
      </c>
      <c r="AQ21">
        <v>28.4</v>
      </c>
      <c r="AR21">
        <v>5.5</v>
      </c>
      <c r="AS21">
        <v>3.4</v>
      </c>
      <c r="AT21">
        <v>9</v>
      </c>
      <c r="AU21">
        <v>0.22600000000000001</v>
      </c>
      <c r="AV21">
        <v>4.5999999999999996</v>
      </c>
      <c r="AW21">
        <v>1.7</v>
      </c>
      <c r="AX21">
        <v>6.3</v>
      </c>
      <c r="AY21">
        <v>4</v>
      </c>
      <c r="AZ21" s="8">
        <v>7.65</v>
      </c>
      <c r="BA21" s="8">
        <v>0.20141798259748631</v>
      </c>
      <c r="BB21" s="3">
        <v>0</v>
      </c>
    </row>
    <row r="22" spans="1:54" x14ac:dyDescent="0.25">
      <c r="A22" t="s">
        <v>106</v>
      </c>
      <c r="B22" s="2">
        <v>30913750</v>
      </c>
      <c r="C22" t="s">
        <v>62</v>
      </c>
      <c r="D22">
        <v>26</v>
      </c>
      <c r="E22" t="s">
        <v>107</v>
      </c>
      <c r="F22">
        <v>68</v>
      </c>
      <c r="G22">
        <v>68</v>
      </c>
      <c r="H22">
        <v>35.799999999999997</v>
      </c>
      <c r="I22">
        <v>10</v>
      </c>
      <c r="J22">
        <v>20.6</v>
      </c>
      <c r="K22">
        <v>0.48399999999999999</v>
      </c>
      <c r="L22">
        <v>3.6</v>
      </c>
      <c r="M22">
        <v>9.3000000000000007</v>
      </c>
      <c r="N22">
        <v>0.38600000000000001</v>
      </c>
      <c r="O22">
        <v>6.4</v>
      </c>
      <c r="P22">
        <v>11.3</v>
      </c>
      <c r="Q22">
        <v>0.56599999999999995</v>
      </c>
      <c r="R22">
        <v>0.57199999999999995</v>
      </c>
      <c r="S22">
        <v>4.7</v>
      </c>
      <c r="T22">
        <v>5.4</v>
      </c>
      <c r="U22">
        <v>0.86699999999999999</v>
      </c>
      <c r="V22">
        <v>0.9</v>
      </c>
      <c r="W22">
        <v>3.3</v>
      </c>
      <c r="X22">
        <v>4.3</v>
      </c>
      <c r="Y22">
        <v>4.4000000000000004</v>
      </c>
      <c r="Z22">
        <v>1.5</v>
      </c>
      <c r="AA22">
        <v>0.4</v>
      </c>
      <c r="AB22">
        <v>2.6</v>
      </c>
      <c r="AC22">
        <v>2.5</v>
      </c>
      <c r="AD22">
        <v>28.3</v>
      </c>
      <c r="AE22">
        <v>2432</v>
      </c>
      <c r="AF22">
        <v>22.9</v>
      </c>
      <c r="AG22">
        <v>0.61399999999999999</v>
      </c>
      <c r="AH22">
        <v>0.45300000000000001</v>
      </c>
      <c r="AI22">
        <v>0.26200000000000001</v>
      </c>
      <c r="AJ22">
        <v>3.1</v>
      </c>
      <c r="AK22">
        <v>10.9</v>
      </c>
      <c r="AL22">
        <v>7</v>
      </c>
      <c r="AM22">
        <v>21.4</v>
      </c>
      <c r="AN22">
        <v>2</v>
      </c>
      <c r="AO22">
        <v>1</v>
      </c>
      <c r="AP22">
        <v>10.3</v>
      </c>
      <c r="AQ22">
        <v>32.1</v>
      </c>
      <c r="AR22">
        <v>5.4</v>
      </c>
      <c r="AS22">
        <v>3.5</v>
      </c>
      <c r="AT22">
        <v>8.9</v>
      </c>
      <c r="AU22">
        <v>0.17599999999999999</v>
      </c>
      <c r="AV22">
        <v>5.6</v>
      </c>
      <c r="AW22">
        <v>0.6</v>
      </c>
      <c r="AX22">
        <v>6.3</v>
      </c>
      <c r="AY22">
        <v>5</v>
      </c>
      <c r="AZ22" s="8">
        <v>7.6</v>
      </c>
      <c r="BA22" s="8">
        <v>0.24584529537827018</v>
      </c>
      <c r="BB22" s="3">
        <v>0</v>
      </c>
    </row>
    <row r="23" spans="1:54" x14ac:dyDescent="0.25">
      <c r="A23" t="s">
        <v>59</v>
      </c>
      <c r="B23" s="2">
        <v>44119845</v>
      </c>
      <c r="C23" t="s">
        <v>28</v>
      </c>
      <c r="D23">
        <v>34</v>
      </c>
      <c r="E23" t="s">
        <v>60</v>
      </c>
      <c r="F23">
        <v>47</v>
      </c>
      <c r="G23">
        <v>47</v>
      </c>
      <c r="H23">
        <v>35.6</v>
      </c>
      <c r="I23">
        <v>10.3</v>
      </c>
      <c r="J23">
        <v>18.3</v>
      </c>
      <c r="K23">
        <v>0.56000000000000005</v>
      </c>
      <c r="L23">
        <v>2</v>
      </c>
      <c r="M23">
        <v>4.9000000000000004</v>
      </c>
      <c r="N23">
        <v>0.40400000000000003</v>
      </c>
      <c r="O23">
        <v>8.3000000000000007</v>
      </c>
      <c r="P23">
        <v>13.4</v>
      </c>
      <c r="Q23">
        <v>0.61699999999999999</v>
      </c>
      <c r="R23">
        <v>0.61399999999999999</v>
      </c>
      <c r="S23">
        <v>6.5</v>
      </c>
      <c r="T23">
        <v>7.1</v>
      </c>
      <c r="U23">
        <v>0.91900000000000004</v>
      </c>
      <c r="V23">
        <v>0.4</v>
      </c>
      <c r="W23">
        <v>6.3</v>
      </c>
      <c r="X23">
        <v>6.7</v>
      </c>
      <c r="Y23">
        <v>5</v>
      </c>
      <c r="Z23">
        <v>0.7</v>
      </c>
      <c r="AA23">
        <v>1.4</v>
      </c>
      <c r="AB23">
        <v>3.3</v>
      </c>
      <c r="AC23">
        <v>2.1</v>
      </c>
      <c r="AD23">
        <v>29.1</v>
      </c>
      <c r="AE23">
        <v>1672</v>
      </c>
      <c r="AF23">
        <v>25.9</v>
      </c>
      <c r="AG23">
        <v>0.67700000000000005</v>
      </c>
      <c r="AH23">
        <v>0.26700000000000002</v>
      </c>
      <c r="AI23">
        <v>0.38700000000000001</v>
      </c>
      <c r="AJ23">
        <v>1.2</v>
      </c>
      <c r="AK23">
        <v>19.5</v>
      </c>
      <c r="AL23">
        <v>10.5</v>
      </c>
      <c r="AM23">
        <v>24.5</v>
      </c>
      <c r="AN23">
        <v>1</v>
      </c>
      <c r="AO23">
        <v>3.4</v>
      </c>
      <c r="AP23">
        <v>13.4</v>
      </c>
      <c r="AQ23">
        <v>30.7</v>
      </c>
      <c r="AR23">
        <v>4.7</v>
      </c>
      <c r="AS23">
        <v>2.1</v>
      </c>
      <c r="AT23">
        <v>6.8</v>
      </c>
      <c r="AU23">
        <v>0.19400000000000001</v>
      </c>
      <c r="AV23">
        <v>6</v>
      </c>
      <c r="AW23">
        <v>1.2</v>
      </c>
      <c r="AX23">
        <v>7.1</v>
      </c>
      <c r="AY23">
        <v>3.9</v>
      </c>
      <c r="AZ23" s="8">
        <v>6.9499999999999993</v>
      </c>
      <c r="BA23" s="8">
        <v>0.15752548541365</v>
      </c>
      <c r="BB23" s="3">
        <v>0</v>
      </c>
    </row>
    <row r="24" spans="1:54" x14ac:dyDescent="0.25">
      <c r="A24" t="s">
        <v>101</v>
      </c>
      <c r="B24" s="2">
        <v>33000000</v>
      </c>
      <c r="C24" t="s">
        <v>52</v>
      </c>
      <c r="D24">
        <v>33</v>
      </c>
      <c r="E24" t="s">
        <v>82</v>
      </c>
      <c r="F24">
        <v>58</v>
      </c>
      <c r="G24">
        <v>58</v>
      </c>
      <c r="H24">
        <v>36.799999999999997</v>
      </c>
      <c r="I24">
        <v>6.4</v>
      </c>
      <c r="J24">
        <v>14.5</v>
      </c>
      <c r="K24">
        <v>0.441</v>
      </c>
      <c r="L24">
        <v>2.8</v>
      </c>
      <c r="M24">
        <v>7.2</v>
      </c>
      <c r="N24">
        <v>0.38500000000000001</v>
      </c>
      <c r="O24">
        <v>3.6</v>
      </c>
      <c r="P24">
        <v>7.3</v>
      </c>
      <c r="Q24">
        <v>0.495</v>
      </c>
      <c r="R24">
        <v>0.53600000000000003</v>
      </c>
      <c r="S24">
        <v>5.4</v>
      </c>
      <c r="T24">
        <v>6.2</v>
      </c>
      <c r="U24">
        <v>0.86699999999999999</v>
      </c>
      <c r="V24">
        <v>0.7</v>
      </c>
      <c r="W24">
        <v>5.4</v>
      </c>
      <c r="X24">
        <v>6.1</v>
      </c>
      <c r="Y24">
        <v>10.7</v>
      </c>
      <c r="Z24">
        <v>1.2</v>
      </c>
      <c r="AA24">
        <v>0.5</v>
      </c>
      <c r="AB24">
        <v>3.4</v>
      </c>
      <c r="AC24">
        <v>1.9</v>
      </c>
      <c r="AD24">
        <v>21</v>
      </c>
      <c r="AE24">
        <v>2135</v>
      </c>
      <c r="AF24">
        <v>21.6</v>
      </c>
      <c r="AG24">
        <v>0.60699999999999998</v>
      </c>
      <c r="AH24">
        <v>0.496</v>
      </c>
      <c r="AI24">
        <v>0.42899999999999999</v>
      </c>
      <c r="AJ24">
        <v>2.2999999999999998</v>
      </c>
      <c r="AK24">
        <v>17.100000000000001</v>
      </c>
      <c r="AL24">
        <v>9.8000000000000007</v>
      </c>
      <c r="AM24">
        <v>43.3</v>
      </c>
      <c r="AN24">
        <v>1.6</v>
      </c>
      <c r="AO24">
        <v>1.4</v>
      </c>
      <c r="AP24">
        <v>16.3</v>
      </c>
      <c r="AQ24">
        <v>25</v>
      </c>
      <c r="AR24">
        <v>5.8</v>
      </c>
      <c r="AS24">
        <v>2.6</v>
      </c>
      <c r="AT24">
        <v>8.4</v>
      </c>
      <c r="AU24">
        <v>0.188</v>
      </c>
      <c r="AV24">
        <v>5.0999999999999996</v>
      </c>
      <c r="AW24">
        <v>0.3</v>
      </c>
      <c r="AX24">
        <v>5.4</v>
      </c>
      <c r="AY24">
        <v>4</v>
      </c>
      <c r="AZ24" s="8">
        <v>6.9</v>
      </c>
      <c r="BA24" s="8">
        <v>0.20909090909090908</v>
      </c>
      <c r="BB24" s="3">
        <v>0</v>
      </c>
    </row>
    <row r="25" spans="1:54" x14ac:dyDescent="0.25">
      <c r="A25" t="s">
        <v>64</v>
      </c>
      <c r="B25" s="2">
        <v>42492492</v>
      </c>
      <c r="C25" t="s">
        <v>65</v>
      </c>
      <c r="D25">
        <v>31</v>
      </c>
      <c r="E25" t="s">
        <v>55</v>
      </c>
      <c r="F25">
        <v>52</v>
      </c>
      <c r="G25">
        <v>50</v>
      </c>
      <c r="H25">
        <v>33.6</v>
      </c>
      <c r="I25">
        <v>8.6</v>
      </c>
      <c r="J25">
        <v>16.8</v>
      </c>
      <c r="K25">
        <v>0.51200000000000001</v>
      </c>
      <c r="L25">
        <v>2</v>
      </c>
      <c r="M25">
        <v>4.8</v>
      </c>
      <c r="N25">
        <v>0.41599999999999998</v>
      </c>
      <c r="O25">
        <v>6.6</v>
      </c>
      <c r="P25">
        <v>11.9</v>
      </c>
      <c r="Q25">
        <v>0.55100000000000005</v>
      </c>
      <c r="R25">
        <v>0.57199999999999995</v>
      </c>
      <c r="S25">
        <v>4.7</v>
      </c>
      <c r="T25">
        <v>5.4</v>
      </c>
      <c r="U25">
        <v>0.871</v>
      </c>
      <c r="V25">
        <v>1.1000000000000001</v>
      </c>
      <c r="W25">
        <v>5.4</v>
      </c>
      <c r="X25">
        <v>6.5</v>
      </c>
      <c r="Y25">
        <v>3.9</v>
      </c>
      <c r="Z25">
        <v>1.4</v>
      </c>
      <c r="AA25">
        <v>0.5</v>
      </c>
      <c r="AB25">
        <v>1.7</v>
      </c>
      <c r="AC25">
        <v>1.6</v>
      </c>
      <c r="AD25">
        <v>23.8</v>
      </c>
      <c r="AE25">
        <v>1748</v>
      </c>
      <c r="AF25">
        <v>23.9</v>
      </c>
      <c r="AG25">
        <v>0.623</v>
      </c>
      <c r="AH25">
        <v>0.28699999999999998</v>
      </c>
      <c r="AI25">
        <v>0.32</v>
      </c>
      <c r="AJ25">
        <v>3.7</v>
      </c>
      <c r="AK25">
        <v>17.8</v>
      </c>
      <c r="AL25">
        <v>10.8</v>
      </c>
      <c r="AM25">
        <v>19.600000000000001</v>
      </c>
      <c r="AN25">
        <v>2</v>
      </c>
      <c r="AO25">
        <v>1.4</v>
      </c>
      <c r="AP25">
        <v>8.1</v>
      </c>
      <c r="AQ25">
        <v>27</v>
      </c>
      <c r="AR25">
        <v>4.9000000000000004</v>
      </c>
      <c r="AS25">
        <v>2.2000000000000002</v>
      </c>
      <c r="AT25">
        <v>7.1</v>
      </c>
      <c r="AU25">
        <v>0.19400000000000001</v>
      </c>
      <c r="AV25">
        <v>5.0999999999999996</v>
      </c>
      <c r="AW25">
        <v>0.9</v>
      </c>
      <c r="AX25">
        <v>6.1</v>
      </c>
      <c r="AY25">
        <v>3.5</v>
      </c>
      <c r="AZ25" s="8">
        <v>6.6</v>
      </c>
      <c r="BA25" s="8">
        <v>0.15532155657051133</v>
      </c>
      <c r="BB25" s="3">
        <v>0</v>
      </c>
    </row>
    <row r="26" spans="1:54" x14ac:dyDescent="0.25">
      <c r="A26" t="s">
        <v>122</v>
      </c>
      <c r="B26" s="2">
        <v>27733332</v>
      </c>
      <c r="C26" t="s">
        <v>52</v>
      </c>
      <c r="D26">
        <v>26</v>
      </c>
      <c r="E26" t="s">
        <v>123</v>
      </c>
      <c r="F26">
        <v>68</v>
      </c>
      <c r="G26">
        <v>68</v>
      </c>
      <c r="H26">
        <v>35</v>
      </c>
      <c r="I26">
        <v>8.6</v>
      </c>
      <c r="J26">
        <v>17.600000000000001</v>
      </c>
      <c r="K26">
        <v>0.49099999999999999</v>
      </c>
      <c r="L26">
        <v>2</v>
      </c>
      <c r="M26">
        <v>4.7</v>
      </c>
      <c r="N26">
        <v>0.41599999999999998</v>
      </c>
      <c r="O26">
        <v>6.7</v>
      </c>
      <c r="P26">
        <v>12.8</v>
      </c>
      <c r="Q26">
        <v>0.51900000000000002</v>
      </c>
      <c r="R26">
        <v>0.54700000000000004</v>
      </c>
      <c r="S26">
        <v>4.8</v>
      </c>
      <c r="T26">
        <v>5.8</v>
      </c>
      <c r="U26">
        <v>0.82899999999999996</v>
      </c>
      <c r="V26">
        <v>0.6</v>
      </c>
      <c r="W26">
        <v>3</v>
      </c>
      <c r="X26">
        <v>3.5</v>
      </c>
      <c r="Y26">
        <v>6.2</v>
      </c>
      <c r="Z26">
        <v>0.9</v>
      </c>
      <c r="AA26">
        <v>0.2</v>
      </c>
      <c r="AB26">
        <v>2.1</v>
      </c>
      <c r="AC26">
        <v>2.2000000000000002</v>
      </c>
      <c r="AD26">
        <v>24</v>
      </c>
      <c r="AE26">
        <v>2379</v>
      </c>
      <c r="AF26">
        <v>21.2</v>
      </c>
      <c r="AG26">
        <v>0.59699999999999998</v>
      </c>
      <c r="AH26">
        <v>0.26900000000000002</v>
      </c>
      <c r="AI26">
        <v>0.32800000000000001</v>
      </c>
      <c r="AJ26">
        <v>1.8</v>
      </c>
      <c r="AK26">
        <v>9.3000000000000007</v>
      </c>
      <c r="AL26">
        <v>5.6</v>
      </c>
      <c r="AM26">
        <v>28.7</v>
      </c>
      <c r="AN26">
        <v>1.3</v>
      </c>
      <c r="AO26">
        <v>0.6</v>
      </c>
      <c r="AP26">
        <v>9.4</v>
      </c>
      <c r="AQ26">
        <v>27.2</v>
      </c>
      <c r="AR26">
        <v>6.9</v>
      </c>
      <c r="AS26">
        <v>1.8</v>
      </c>
      <c r="AT26">
        <v>8.6999999999999993</v>
      </c>
      <c r="AU26">
        <v>0.17499999999999999</v>
      </c>
      <c r="AV26">
        <v>4.4000000000000004</v>
      </c>
      <c r="AW26">
        <v>-0.5</v>
      </c>
      <c r="AX26">
        <v>3.9</v>
      </c>
      <c r="AY26">
        <v>3.5</v>
      </c>
      <c r="AZ26" s="8">
        <v>6.3</v>
      </c>
      <c r="BA26" s="8">
        <v>0.22716347245978233</v>
      </c>
      <c r="BB26" s="3">
        <v>0</v>
      </c>
    </row>
    <row r="27" spans="1:54" x14ac:dyDescent="0.25">
      <c r="A27" t="s">
        <v>140</v>
      </c>
      <c r="B27" s="2">
        <v>20000000</v>
      </c>
      <c r="C27" t="s">
        <v>75</v>
      </c>
      <c r="D27">
        <v>24</v>
      </c>
      <c r="E27" t="s">
        <v>107</v>
      </c>
      <c r="F27">
        <v>68</v>
      </c>
      <c r="G27">
        <v>68</v>
      </c>
      <c r="H27">
        <v>32.6</v>
      </c>
      <c r="I27">
        <v>5.9</v>
      </c>
      <c r="J27">
        <v>9.1999999999999993</v>
      </c>
      <c r="K27">
        <v>0.64400000000000002</v>
      </c>
      <c r="L27">
        <v>0</v>
      </c>
      <c r="M27">
        <v>0.1</v>
      </c>
      <c r="N27">
        <v>0.1</v>
      </c>
      <c r="O27">
        <v>5.9</v>
      </c>
      <c r="P27">
        <v>9.1</v>
      </c>
      <c r="Q27">
        <v>0.65300000000000002</v>
      </c>
      <c r="R27">
        <v>0.64500000000000002</v>
      </c>
      <c r="S27">
        <v>2.4</v>
      </c>
      <c r="T27">
        <v>3.3</v>
      </c>
      <c r="U27">
        <v>0.73299999999999998</v>
      </c>
      <c r="V27">
        <v>3.3</v>
      </c>
      <c r="W27">
        <v>6.5</v>
      </c>
      <c r="X27">
        <v>9.8000000000000007</v>
      </c>
      <c r="Y27">
        <v>1.7</v>
      </c>
      <c r="Z27">
        <v>0.8</v>
      </c>
      <c r="AA27">
        <v>1.2</v>
      </c>
      <c r="AB27">
        <v>1.4</v>
      </c>
      <c r="AC27">
        <v>2.2999999999999998</v>
      </c>
      <c r="AD27">
        <v>14.3</v>
      </c>
      <c r="AE27">
        <v>2220</v>
      </c>
      <c r="AF27">
        <v>19.899999999999999</v>
      </c>
      <c r="AG27">
        <v>0.67</v>
      </c>
      <c r="AH27">
        <v>1.6E-2</v>
      </c>
      <c r="AI27">
        <v>0.35299999999999998</v>
      </c>
      <c r="AJ27">
        <v>11.7</v>
      </c>
      <c r="AK27">
        <v>23.6</v>
      </c>
      <c r="AL27">
        <v>17.7</v>
      </c>
      <c r="AM27">
        <v>7.5</v>
      </c>
      <c r="AN27">
        <v>1.2</v>
      </c>
      <c r="AO27">
        <v>3.5</v>
      </c>
      <c r="AP27">
        <v>11.4</v>
      </c>
      <c r="AQ27">
        <v>16.399999999999999</v>
      </c>
      <c r="AR27">
        <v>5.5</v>
      </c>
      <c r="AS27">
        <v>4</v>
      </c>
      <c r="AT27">
        <v>9.5</v>
      </c>
      <c r="AU27">
        <v>0.20499999999999999</v>
      </c>
      <c r="AV27">
        <v>1.3</v>
      </c>
      <c r="AW27">
        <v>1</v>
      </c>
      <c r="AX27">
        <v>2.4</v>
      </c>
      <c r="AY27">
        <v>2.4</v>
      </c>
      <c r="AZ27" s="8">
        <v>5.95</v>
      </c>
      <c r="BA27" s="8">
        <v>0.29749999999999999</v>
      </c>
      <c r="BB27" s="3">
        <v>0</v>
      </c>
    </row>
    <row r="28" spans="1:54" x14ac:dyDescent="0.25">
      <c r="A28" t="s">
        <v>127</v>
      </c>
      <c r="B28" s="2">
        <v>23760000</v>
      </c>
      <c r="C28" t="s">
        <v>28</v>
      </c>
      <c r="D28">
        <v>28</v>
      </c>
      <c r="E28" t="s">
        <v>123</v>
      </c>
      <c r="F28">
        <v>77</v>
      </c>
      <c r="G28">
        <v>77</v>
      </c>
      <c r="H28">
        <v>35.5</v>
      </c>
      <c r="I28">
        <v>8.5</v>
      </c>
      <c r="J28">
        <v>18.600000000000001</v>
      </c>
      <c r="K28">
        <v>0.45900000000000002</v>
      </c>
      <c r="L28">
        <v>2.8</v>
      </c>
      <c r="M28">
        <v>8.3000000000000007</v>
      </c>
      <c r="N28">
        <v>0.34300000000000003</v>
      </c>
      <c r="O28">
        <v>5.7</v>
      </c>
      <c r="P28">
        <v>10.3</v>
      </c>
      <c r="Q28">
        <v>0.55300000000000005</v>
      </c>
      <c r="R28">
        <v>0.53600000000000003</v>
      </c>
      <c r="S28">
        <v>5.2</v>
      </c>
      <c r="T28">
        <v>6.9</v>
      </c>
      <c r="U28">
        <v>0.75700000000000001</v>
      </c>
      <c r="V28">
        <v>1.8</v>
      </c>
      <c r="W28">
        <v>8.1</v>
      </c>
      <c r="X28">
        <v>10</v>
      </c>
      <c r="Y28">
        <v>4.0999999999999996</v>
      </c>
      <c r="Z28">
        <v>0.6</v>
      </c>
      <c r="AA28">
        <v>0.3</v>
      </c>
      <c r="AB28">
        <v>2.8</v>
      </c>
      <c r="AC28">
        <v>3</v>
      </c>
      <c r="AD28">
        <v>25.1</v>
      </c>
      <c r="AE28">
        <v>2737</v>
      </c>
      <c r="AF28">
        <v>20.3</v>
      </c>
      <c r="AG28">
        <v>0.58099999999999996</v>
      </c>
      <c r="AH28">
        <v>0.44400000000000001</v>
      </c>
      <c r="AI28">
        <v>0.371</v>
      </c>
      <c r="AJ28">
        <v>5.6</v>
      </c>
      <c r="AK28">
        <v>25.2</v>
      </c>
      <c r="AL28">
        <v>15.4</v>
      </c>
      <c r="AM28">
        <v>18.5</v>
      </c>
      <c r="AN28">
        <v>0.9</v>
      </c>
      <c r="AO28">
        <v>0.7</v>
      </c>
      <c r="AP28">
        <v>11.5</v>
      </c>
      <c r="AQ28">
        <v>29.5</v>
      </c>
      <c r="AR28">
        <v>5</v>
      </c>
      <c r="AS28">
        <v>3.1</v>
      </c>
      <c r="AT28">
        <v>8.1</v>
      </c>
      <c r="AU28">
        <v>0.14199999999999999</v>
      </c>
      <c r="AV28">
        <v>3.9</v>
      </c>
      <c r="AW28">
        <v>-0.2</v>
      </c>
      <c r="AX28">
        <v>3.7</v>
      </c>
      <c r="AY28">
        <v>3.9</v>
      </c>
      <c r="AZ28" s="8">
        <v>5.9</v>
      </c>
      <c r="BA28" s="8">
        <v>0.24831649831649832</v>
      </c>
      <c r="BB28" s="3">
        <v>0</v>
      </c>
    </row>
    <row r="29" spans="1:54" x14ac:dyDescent="0.25">
      <c r="A29" t="s">
        <v>57</v>
      </c>
      <c r="B29" s="2">
        <v>44474988</v>
      </c>
      <c r="C29" t="s">
        <v>28</v>
      </c>
      <c r="D29">
        <v>38</v>
      </c>
      <c r="E29" t="s">
        <v>58</v>
      </c>
      <c r="F29">
        <v>55</v>
      </c>
      <c r="G29">
        <v>54</v>
      </c>
      <c r="H29">
        <v>35.5</v>
      </c>
      <c r="I29">
        <v>11.1</v>
      </c>
      <c r="J29">
        <v>22.2</v>
      </c>
      <c r="K29">
        <v>0.5</v>
      </c>
      <c r="L29">
        <v>2.2000000000000002</v>
      </c>
      <c r="M29">
        <v>6.9</v>
      </c>
      <c r="N29">
        <v>0.32100000000000001</v>
      </c>
      <c r="O29">
        <v>8.9</v>
      </c>
      <c r="P29">
        <v>15.3</v>
      </c>
      <c r="Q29">
        <v>0.57999999999999996</v>
      </c>
      <c r="R29">
        <v>0.54900000000000004</v>
      </c>
      <c r="S29">
        <v>4.5999999999999996</v>
      </c>
      <c r="T29">
        <v>5.9</v>
      </c>
      <c r="U29">
        <v>0.76800000000000002</v>
      </c>
      <c r="V29">
        <v>1.2</v>
      </c>
      <c r="W29">
        <v>7.1</v>
      </c>
      <c r="X29">
        <v>8.3000000000000007</v>
      </c>
      <c r="Y29">
        <v>6.8</v>
      </c>
      <c r="Z29">
        <v>0.9</v>
      </c>
      <c r="AA29">
        <v>0.6</v>
      </c>
      <c r="AB29">
        <v>3.2</v>
      </c>
      <c r="AC29">
        <v>1.6</v>
      </c>
      <c r="AD29">
        <v>28.9</v>
      </c>
      <c r="AE29">
        <v>1954</v>
      </c>
      <c r="AF29">
        <v>23.9</v>
      </c>
      <c r="AG29">
        <v>0.58299999999999996</v>
      </c>
      <c r="AH29">
        <v>0.309</v>
      </c>
      <c r="AI29">
        <v>0.26800000000000002</v>
      </c>
      <c r="AJ29">
        <v>3.7</v>
      </c>
      <c r="AK29">
        <v>20.8</v>
      </c>
      <c r="AL29">
        <v>12.5</v>
      </c>
      <c r="AM29">
        <v>33.5</v>
      </c>
      <c r="AN29">
        <v>1.2</v>
      </c>
      <c r="AO29">
        <v>1.4</v>
      </c>
      <c r="AP29">
        <v>11.6</v>
      </c>
      <c r="AQ29">
        <v>33.299999999999997</v>
      </c>
      <c r="AR29">
        <v>3.2</v>
      </c>
      <c r="AS29">
        <v>2.4</v>
      </c>
      <c r="AT29">
        <v>5.6</v>
      </c>
      <c r="AU29">
        <v>0.13800000000000001</v>
      </c>
      <c r="AV29">
        <v>5.5</v>
      </c>
      <c r="AW29">
        <v>0.6</v>
      </c>
      <c r="AX29">
        <v>6.1</v>
      </c>
      <c r="AY29">
        <v>4</v>
      </c>
      <c r="AZ29" s="8">
        <v>5.85</v>
      </c>
      <c r="BA29" s="8">
        <v>0.13153460547308074</v>
      </c>
      <c r="BB29" s="3">
        <v>0</v>
      </c>
    </row>
    <row r="30" spans="1:54" x14ac:dyDescent="0.25">
      <c r="A30" t="s">
        <v>187</v>
      </c>
      <c r="B30" s="2">
        <v>12119440</v>
      </c>
      <c r="C30" t="s">
        <v>52</v>
      </c>
      <c r="D30">
        <v>23</v>
      </c>
      <c r="E30" t="s">
        <v>150</v>
      </c>
      <c r="F30">
        <v>61</v>
      </c>
      <c r="G30">
        <v>59</v>
      </c>
      <c r="H30">
        <v>31.9</v>
      </c>
      <c r="I30">
        <v>9.3000000000000007</v>
      </c>
      <c r="J30">
        <v>19.899999999999999</v>
      </c>
      <c r="K30">
        <v>0.46600000000000003</v>
      </c>
      <c r="L30">
        <v>1.5</v>
      </c>
      <c r="M30">
        <v>4.9000000000000004</v>
      </c>
      <c r="N30">
        <v>0.307</v>
      </c>
      <c r="O30">
        <v>7.8</v>
      </c>
      <c r="P30">
        <v>15</v>
      </c>
      <c r="Q30">
        <v>0.51900000000000002</v>
      </c>
      <c r="R30">
        <v>0.504</v>
      </c>
      <c r="S30">
        <v>6.1</v>
      </c>
      <c r="T30">
        <v>8.1</v>
      </c>
      <c r="U30">
        <v>0.748</v>
      </c>
      <c r="V30">
        <v>1</v>
      </c>
      <c r="W30">
        <v>4.9000000000000004</v>
      </c>
      <c r="X30">
        <v>5.9</v>
      </c>
      <c r="Y30">
        <v>8.1</v>
      </c>
      <c r="Z30">
        <v>1.1000000000000001</v>
      </c>
      <c r="AA30">
        <v>0.3</v>
      </c>
      <c r="AB30">
        <v>3.4</v>
      </c>
      <c r="AC30">
        <v>1.6</v>
      </c>
      <c r="AD30">
        <v>26.2</v>
      </c>
      <c r="AE30">
        <v>1948</v>
      </c>
      <c r="AF30">
        <v>23.3</v>
      </c>
      <c r="AG30">
        <v>0.55700000000000005</v>
      </c>
      <c r="AH30">
        <v>0.247</v>
      </c>
      <c r="AI30">
        <v>0.40899999999999997</v>
      </c>
      <c r="AJ30">
        <v>3.3</v>
      </c>
      <c r="AK30">
        <v>16.100000000000001</v>
      </c>
      <c r="AL30">
        <v>9.6999999999999993</v>
      </c>
      <c r="AM30">
        <v>41.1</v>
      </c>
      <c r="AN30">
        <v>1.6</v>
      </c>
      <c r="AO30">
        <v>0.7</v>
      </c>
      <c r="AP30">
        <v>12.6</v>
      </c>
      <c r="AQ30">
        <v>34.9</v>
      </c>
      <c r="AR30">
        <v>3.4</v>
      </c>
      <c r="AS30">
        <v>2.6</v>
      </c>
      <c r="AT30">
        <v>6</v>
      </c>
      <c r="AU30">
        <v>0.14799999999999999</v>
      </c>
      <c r="AV30">
        <v>5.2</v>
      </c>
      <c r="AW30">
        <v>0.5</v>
      </c>
      <c r="AX30">
        <v>5.7</v>
      </c>
      <c r="AY30">
        <v>3.8</v>
      </c>
      <c r="AZ30" s="8">
        <v>5.85</v>
      </c>
      <c r="BA30" s="8">
        <v>0.48269557009234748</v>
      </c>
      <c r="BB30" s="3">
        <v>0</v>
      </c>
    </row>
    <row r="31" spans="1:54" x14ac:dyDescent="0.25">
      <c r="A31" t="s">
        <v>90</v>
      </c>
      <c r="B31" s="2">
        <v>35448672</v>
      </c>
      <c r="C31" t="s">
        <v>28</v>
      </c>
      <c r="D31">
        <v>28</v>
      </c>
      <c r="E31" t="s">
        <v>91</v>
      </c>
      <c r="F31">
        <v>71</v>
      </c>
      <c r="G31">
        <v>71</v>
      </c>
      <c r="H31">
        <v>37.4</v>
      </c>
      <c r="I31">
        <v>8.9</v>
      </c>
      <c r="J31">
        <v>18.5</v>
      </c>
      <c r="K31">
        <v>0.48</v>
      </c>
      <c r="L31">
        <v>1.3</v>
      </c>
      <c r="M31">
        <v>4</v>
      </c>
      <c r="N31">
        <v>0.32400000000000001</v>
      </c>
      <c r="O31">
        <v>7.6</v>
      </c>
      <c r="P31">
        <v>14.5</v>
      </c>
      <c r="Q31">
        <v>0.52300000000000002</v>
      </c>
      <c r="R31">
        <v>0.51500000000000001</v>
      </c>
      <c r="S31">
        <v>5.2</v>
      </c>
      <c r="T31">
        <v>6.7</v>
      </c>
      <c r="U31">
        <v>0.77400000000000002</v>
      </c>
      <c r="V31">
        <v>1.8</v>
      </c>
      <c r="W31">
        <v>6</v>
      </c>
      <c r="X31">
        <v>7.8</v>
      </c>
      <c r="Y31">
        <v>5.8</v>
      </c>
      <c r="Z31">
        <v>0.9</v>
      </c>
      <c r="AA31">
        <v>0.5</v>
      </c>
      <c r="AB31">
        <v>2.4</v>
      </c>
      <c r="AC31">
        <v>3.2</v>
      </c>
      <c r="AD31">
        <v>24.2</v>
      </c>
      <c r="AE31">
        <v>2652</v>
      </c>
      <c r="AF31">
        <v>20.3</v>
      </c>
      <c r="AG31">
        <v>0.56499999999999995</v>
      </c>
      <c r="AH31">
        <v>0.219</v>
      </c>
      <c r="AI31">
        <v>0.36099999999999999</v>
      </c>
      <c r="AJ31">
        <v>5.2</v>
      </c>
      <c r="AK31">
        <v>19.600000000000001</v>
      </c>
      <c r="AL31">
        <v>11.9</v>
      </c>
      <c r="AM31">
        <v>24.9</v>
      </c>
      <c r="AN31">
        <v>1.2</v>
      </c>
      <c r="AO31">
        <v>1.3</v>
      </c>
      <c r="AP31">
        <v>10</v>
      </c>
      <c r="AQ31">
        <v>27.2</v>
      </c>
      <c r="AR31">
        <v>5.2</v>
      </c>
      <c r="AS31">
        <v>2.6</v>
      </c>
      <c r="AT31">
        <v>7.8</v>
      </c>
      <c r="AU31">
        <v>0.14099999999999999</v>
      </c>
      <c r="AV31">
        <v>3.3</v>
      </c>
      <c r="AW31">
        <v>-0.1</v>
      </c>
      <c r="AX31">
        <v>3.1</v>
      </c>
      <c r="AY31">
        <v>3.4</v>
      </c>
      <c r="AZ31" s="8">
        <v>5.45</v>
      </c>
      <c r="BA31" s="8">
        <v>0.15374341808911771</v>
      </c>
      <c r="BB31" s="3">
        <v>0</v>
      </c>
    </row>
    <row r="32" spans="1:54" x14ac:dyDescent="0.25">
      <c r="A32" t="s">
        <v>124</v>
      </c>
      <c r="B32" s="2">
        <v>27300000</v>
      </c>
      <c r="C32" t="s">
        <v>65</v>
      </c>
      <c r="D32">
        <v>33</v>
      </c>
      <c r="E32" t="s">
        <v>87</v>
      </c>
      <c r="F32">
        <v>74</v>
      </c>
      <c r="G32">
        <v>74</v>
      </c>
      <c r="H32">
        <v>36.200000000000003</v>
      </c>
      <c r="I32">
        <v>8.9</v>
      </c>
      <c r="J32">
        <v>17.600000000000001</v>
      </c>
      <c r="K32">
        <v>0.504</v>
      </c>
      <c r="L32">
        <v>0.6</v>
      </c>
      <c r="M32">
        <v>1.9</v>
      </c>
      <c r="N32">
        <v>0.32400000000000001</v>
      </c>
      <c r="O32">
        <v>8.3000000000000007</v>
      </c>
      <c r="P32">
        <v>15.7</v>
      </c>
      <c r="Q32">
        <v>0.52600000000000002</v>
      </c>
      <c r="R32">
        <v>0.52200000000000002</v>
      </c>
      <c r="S32">
        <v>6.2</v>
      </c>
      <c r="T32">
        <v>7.1</v>
      </c>
      <c r="U32">
        <v>0.872</v>
      </c>
      <c r="V32">
        <v>0.5</v>
      </c>
      <c r="W32">
        <v>4.2</v>
      </c>
      <c r="X32">
        <v>4.5999999999999996</v>
      </c>
      <c r="Y32">
        <v>5.0999999999999996</v>
      </c>
      <c r="Z32">
        <v>1.1000000000000001</v>
      </c>
      <c r="AA32">
        <v>0.5</v>
      </c>
      <c r="AB32">
        <v>2.1</v>
      </c>
      <c r="AC32">
        <v>2.5</v>
      </c>
      <c r="AD32">
        <v>24.5</v>
      </c>
      <c r="AE32">
        <v>2682</v>
      </c>
      <c r="AF32">
        <v>20.6</v>
      </c>
      <c r="AG32">
        <v>0.59199999999999997</v>
      </c>
      <c r="AH32">
        <v>0.109</v>
      </c>
      <c r="AI32">
        <v>0.40100000000000002</v>
      </c>
      <c r="AJ32">
        <v>1.5</v>
      </c>
      <c r="AK32">
        <v>12.8</v>
      </c>
      <c r="AL32">
        <v>7.2</v>
      </c>
      <c r="AM32">
        <v>22.3</v>
      </c>
      <c r="AN32">
        <v>1.5</v>
      </c>
      <c r="AO32">
        <v>1.3</v>
      </c>
      <c r="AP32">
        <v>9.1</v>
      </c>
      <c r="AQ32">
        <v>27.8</v>
      </c>
      <c r="AR32">
        <v>5.4</v>
      </c>
      <c r="AS32">
        <v>3.2</v>
      </c>
      <c r="AT32">
        <v>8.5</v>
      </c>
      <c r="AU32">
        <v>0.153</v>
      </c>
      <c r="AV32">
        <v>1.7</v>
      </c>
      <c r="AW32">
        <v>0.3</v>
      </c>
      <c r="AX32">
        <v>2</v>
      </c>
      <c r="AY32">
        <v>2.6</v>
      </c>
      <c r="AZ32" s="8">
        <v>5.25</v>
      </c>
      <c r="BA32" s="8">
        <v>0.19230769230769232</v>
      </c>
      <c r="BB32" s="3">
        <v>0</v>
      </c>
    </row>
    <row r="33" spans="1:54" x14ac:dyDescent="0.25">
      <c r="A33" t="s">
        <v>96</v>
      </c>
      <c r="B33" s="2">
        <v>33833400</v>
      </c>
      <c r="C33" t="s">
        <v>62</v>
      </c>
      <c r="D33">
        <v>26</v>
      </c>
      <c r="E33" t="s">
        <v>60</v>
      </c>
      <c r="F33">
        <v>53</v>
      </c>
      <c r="G33">
        <v>53</v>
      </c>
      <c r="H33">
        <v>34.6</v>
      </c>
      <c r="I33">
        <v>9.9</v>
      </c>
      <c r="J33">
        <v>20.100000000000001</v>
      </c>
      <c r="K33">
        <v>0.49399999999999999</v>
      </c>
      <c r="L33">
        <v>2.1</v>
      </c>
      <c r="M33">
        <v>6</v>
      </c>
      <c r="N33">
        <v>0.35099999999999998</v>
      </c>
      <c r="O33">
        <v>7.8</v>
      </c>
      <c r="P33">
        <v>14.2</v>
      </c>
      <c r="Q33">
        <v>0.55400000000000005</v>
      </c>
      <c r="R33">
        <v>0.54600000000000004</v>
      </c>
      <c r="S33">
        <v>5.8</v>
      </c>
      <c r="T33">
        <v>6.8</v>
      </c>
      <c r="U33">
        <v>0.85499999999999998</v>
      </c>
      <c r="V33">
        <v>0.9</v>
      </c>
      <c r="W33">
        <v>3.7</v>
      </c>
      <c r="X33">
        <v>4.5</v>
      </c>
      <c r="Y33">
        <v>5.5</v>
      </c>
      <c r="Z33">
        <v>1</v>
      </c>
      <c r="AA33">
        <v>0.3</v>
      </c>
      <c r="AB33">
        <v>2.7</v>
      </c>
      <c r="AC33">
        <v>3</v>
      </c>
      <c r="AD33">
        <v>27.8</v>
      </c>
      <c r="AE33">
        <v>1835</v>
      </c>
      <c r="AF33">
        <v>22</v>
      </c>
      <c r="AG33">
        <v>0.60099999999999998</v>
      </c>
      <c r="AH33">
        <v>0.29599999999999999</v>
      </c>
      <c r="AI33">
        <v>0.33600000000000002</v>
      </c>
      <c r="AJ33">
        <v>2.7</v>
      </c>
      <c r="AK33">
        <v>12</v>
      </c>
      <c r="AL33">
        <v>7.2</v>
      </c>
      <c r="AM33">
        <v>27.3</v>
      </c>
      <c r="AN33">
        <v>1.4</v>
      </c>
      <c r="AO33">
        <v>0.9</v>
      </c>
      <c r="AP33">
        <v>10.6</v>
      </c>
      <c r="AQ33">
        <v>31.8</v>
      </c>
      <c r="AR33">
        <v>4.2</v>
      </c>
      <c r="AS33">
        <v>1.9</v>
      </c>
      <c r="AT33">
        <v>6</v>
      </c>
      <c r="AU33">
        <v>0.157</v>
      </c>
      <c r="AV33">
        <v>4.5</v>
      </c>
      <c r="AW33">
        <v>-0.3</v>
      </c>
      <c r="AX33">
        <v>4.2</v>
      </c>
      <c r="AY33">
        <v>2.9</v>
      </c>
      <c r="AZ33" s="8">
        <v>5.0999999999999996</v>
      </c>
      <c r="BA33" s="8">
        <v>0.15073861923424781</v>
      </c>
      <c r="BB33" s="3">
        <v>0</v>
      </c>
    </row>
    <row r="34" spans="1:54" x14ac:dyDescent="0.25">
      <c r="A34" t="s">
        <v>218</v>
      </c>
      <c r="B34" s="2">
        <v>9080417</v>
      </c>
      <c r="C34" t="s">
        <v>75</v>
      </c>
      <c r="D34">
        <v>32</v>
      </c>
      <c r="E34" t="s">
        <v>118</v>
      </c>
      <c r="F34">
        <v>79</v>
      </c>
      <c r="G34">
        <v>60</v>
      </c>
      <c r="H34">
        <v>26</v>
      </c>
      <c r="I34">
        <v>4.2</v>
      </c>
      <c r="J34">
        <v>6.1</v>
      </c>
      <c r="K34">
        <v>0.68</v>
      </c>
      <c r="L34">
        <v>0</v>
      </c>
      <c r="M34">
        <v>0</v>
      </c>
      <c r="O34">
        <v>4.2</v>
      </c>
      <c r="P34">
        <v>6.1</v>
      </c>
      <c r="Q34">
        <v>0.68</v>
      </c>
      <c r="R34">
        <v>0.68</v>
      </c>
      <c r="S34">
        <v>2.5</v>
      </c>
      <c r="T34">
        <v>4</v>
      </c>
      <c r="U34">
        <v>0.63600000000000001</v>
      </c>
      <c r="V34">
        <v>2.9</v>
      </c>
      <c r="W34">
        <v>6</v>
      </c>
      <c r="X34">
        <v>8.9</v>
      </c>
      <c r="Y34">
        <v>3.1</v>
      </c>
      <c r="Z34">
        <v>0.6</v>
      </c>
      <c r="AA34">
        <v>0.6</v>
      </c>
      <c r="AB34">
        <v>1.5</v>
      </c>
      <c r="AC34">
        <v>2.7</v>
      </c>
      <c r="AD34">
        <v>10.8</v>
      </c>
      <c r="AE34">
        <v>2054</v>
      </c>
      <c r="AF34">
        <v>19.600000000000001</v>
      </c>
      <c r="AG34">
        <v>0.68899999999999995</v>
      </c>
      <c r="AH34">
        <v>0</v>
      </c>
      <c r="AI34">
        <v>0.64700000000000002</v>
      </c>
      <c r="AJ34">
        <v>11.8</v>
      </c>
      <c r="AK34">
        <v>25.1</v>
      </c>
      <c r="AL34">
        <v>18.399999999999999</v>
      </c>
      <c r="AM34">
        <v>17.3</v>
      </c>
      <c r="AN34">
        <v>1.1000000000000001</v>
      </c>
      <c r="AO34">
        <v>2</v>
      </c>
      <c r="AP34">
        <v>15.8</v>
      </c>
      <c r="AQ34">
        <v>15.2</v>
      </c>
      <c r="AR34">
        <v>5.5</v>
      </c>
      <c r="AS34">
        <v>2.4</v>
      </c>
      <c r="AT34">
        <v>7.9</v>
      </c>
      <c r="AU34">
        <v>0.185</v>
      </c>
      <c r="AV34">
        <v>1.2</v>
      </c>
      <c r="AW34">
        <v>1</v>
      </c>
      <c r="AX34">
        <v>2.2000000000000002</v>
      </c>
      <c r="AY34">
        <v>2.2000000000000002</v>
      </c>
      <c r="AZ34" s="8">
        <v>5.0500000000000007</v>
      </c>
      <c r="BA34" s="8">
        <v>0.55614186000488752</v>
      </c>
      <c r="BB34" s="3">
        <v>0</v>
      </c>
    </row>
    <row r="35" spans="1:54" x14ac:dyDescent="0.25">
      <c r="A35" t="s">
        <v>172</v>
      </c>
      <c r="B35" s="2">
        <v>13906976</v>
      </c>
      <c r="C35" t="s">
        <v>75</v>
      </c>
      <c r="D35">
        <v>34</v>
      </c>
      <c r="E35" t="s">
        <v>68</v>
      </c>
      <c r="F35">
        <v>78</v>
      </c>
      <c r="G35">
        <v>78</v>
      </c>
      <c r="H35">
        <v>30.4</v>
      </c>
      <c r="I35">
        <v>6.1</v>
      </c>
      <c r="J35">
        <v>11.5</v>
      </c>
      <c r="K35">
        <v>0.53100000000000003</v>
      </c>
      <c r="L35">
        <v>1.7</v>
      </c>
      <c r="M35">
        <v>4.7</v>
      </c>
      <c r="N35">
        <v>0.374</v>
      </c>
      <c r="O35">
        <v>4.4000000000000004</v>
      </c>
      <c r="P35">
        <v>6.9</v>
      </c>
      <c r="Q35">
        <v>0.63700000000000001</v>
      </c>
      <c r="R35">
        <v>0.60599999999999998</v>
      </c>
      <c r="S35">
        <v>1.9</v>
      </c>
      <c r="T35">
        <v>2.4</v>
      </c>
      <c r="U35">
        <v>0.78400000000000003</v>
      </c>
      <c r="V35">
        <v>2</v>
      </c>
      <c r="W35">
        <v>4.7</v>
      </c>
      <c r="X35">
        <v>6.7</v>
      </c>
      <c r="Y35">
        <v>1.3</v>
      </c>
      <c r="Z35">
        <v>0.5</v>
      </c>
      <c r="AA35">
        <v>2.5</v>
      </c>
      <c r="AB35">
        <v>1.4</v>
      </c>
      <c r="AC35">
        <v>2.6</v>
      </c>
      <c r="AD35">
        <v>15.9</v>
      </c>
      <c r="AE35">
        <v>2373</v>
      </c>
      <c r="AF35">
        <v>18.399999999999999</v>
      </c>
      <c r="AG35">
        <v>0.63</v>
      </c>
      <c r="AH35">
        <v>0.40500000000000003</v>
      </c>
      <c r="AI35">
        <v>0.21099999999999999</v>
      </c>
      <c r="AJ35">
        <v>7.2</v>
      </c>
      <c r="AK35">
        <v>15.3</v>
      </c>
      <c r="AL35">
        <v>11.4</v>
      </c>
      <c r="AM35">
        <v>6.1</v>
      </c>
      <c r="AN35">
        <v>0.7</v>
      </c>
      <c r="AO35">
        <v>6.7</v>
      </c>
      <c r="AP35">
        <v>9.8000000000000007</v>
      </c>
      <c r="AQ35">
        <v>19.3</v>
      </c>
      <c r="AR35">
        <v>4.0999999999999996</v>
      </c>
      <c r="AS35">
        <v>3.9</v>
      </c>
      <c r="AT35">
        <v>8</v>
      </c>
      <c r="AU35">
        <v>0.161</v>
      </c>
      <c r="AV35">
        <v>0.8</v>
      </c>
      <c r="AW35">
        <v>1.3</v>
      </c>
      <c r="AX35">
        <v>2.1</v>
      </c>
      <c r="AY35">
        <v>2.5</v>
      </c>
      <c r="AZ35" s="8">
        <v>5.05</v>
      </c>
      <c r="BA35" s="8">
        <v>0.36312710973255435</v>
      </c>
      <c r="BB35" s="3">
        <v>0</v>
      </c>
    </row>
    <row r="36" spans="1:54" x14ac:dyDescent="0.25">
      <c r="A36" t="s">
        <v>84</v>
      </c>
      <c r="B36" s="2">
        <v>37096500</v>
      </c>
      <c r="C36" t="s">
        <v>52</v>
      </c>
      <c r="D36">
        <v>24</v>
      </c>
      <c r="E36" t="s">
        <v>85</v>
      </c>
      <c r="F36">
        <v>73</v>
      </c>
      <c r="G36">
        <v>73</v>
      </c>
      <c r="H36">
        <v>34.799999999999997</v>
      </c>
      <c r="I36">
        <v>8.1999999999999993</v>
      </c>
      <c r="J36">
        <v>19</v>
      </c>
      <c r="K36">
        <v>0.42899999999999999</v>
      </c>
      <c r="L36">
        <v>2.1</v>
      </c>
      <c r="M36">
        <v>6.3</v>
      </c>
      <c r="N36">
        <v>0.33500000000000002</v>
      </c>
      <c r="O36">
        <v>6.1</v>
      </c>
      <c r="P36">
        <v>12.7</v>
      </c>
      <c r="Q36">
        <v>0.47599999999999998</v>
      </c>
      <c r="R36">
        <v>0.48499999999999999</v>
      </c>
      <c r="S36">
        <v>7.8</v>
      </c>
      <c r="T36">
        <v>8.8000000000000007</v>
      </c>
      <c r="U36">
        <v>0.88600000000000001</v>
      </c>
      <c r="V36">
        <v>0.8</v>
      </c>
      <c r="W36">
        <v>2.2000000000000002</v>
      </c>
      <c r="X36">
        <v>3</v>
      </c>
      <c r="Y36">
        <v>10.199999999999999</v>
      </c>
      <c r="Z36">
        <v>1.1000000000000001</v>
      </c>
      <c r="AA36">
        <v>0.1</v>
      </c>
      <c r="AB36">
        <v>4.0999999999999996</v>
      </c>
      <c r="AC36">
        <v>1.4</v>
      </c>
      <c r="AD36">
        <v>26.2</v>
      </c>
      <c r="AE36">
        <v>2541</v>
      </c>
      <c r="AF36">
        <v>22</v>
      </c>
      <c r="AG36">
        <v>0.57299999999999995</v>
      </c>
      <c r="AH36">
        <v>0.33100000000000002</v>
      </c>
      <c r="AI36">
        <v>0.46</v>
      </c>
      <c r="AJ36">
        <v>2.4</v>
      </c>
      <c r="AK36">
        <v>7</v>
      </c>
      <c r="AL36">
        <v>4.7</v>
      </c>
      <c r="AM36">
        <v>42.5</v>
      </c>
      <c r="AN36">
        <v>1.5</v>
      </c>
      <c r="AO36">
        <v>0.3</v>
      </c>
      <c r="AP36">
        <v>15.2</v>
      </c>
      <c r="AQ36">
        <v>32.6</v>
      </c>
      <c r="AR36">
        <v>5.3</v>
      </c>
      <c r="AS36">
        <v>1.4</v>
      </c>
      <c r="AT36">
        <v>6.7</v>
      </c>
      <c r="AU36">
        <v>0.126</v>
      </c>
      <c r="AV36">
        <v>5.3</v>
      </c>
      <c r="AW36">
        <v>-2</v>
      </c>
      <c r="AX36">
        <v>3.3</v>
      </c>
      <c r="AY36">
        <v>3.4</v>
      </c>
      <c r="AZ36" s="8">
        <v>5</v>
      </c>
      <c r="BA36" s="8">
        <v>0.13478360492229724</v>
      </c>
      <c r="BB36" s="3">
        <v>0</v>
      </c>
    </row>
    <row r="37" spans="1:54" x14ac:dyDescent="0.25">
      <c r="A37" t="s">
        <v>222</v>
      </c>
      <c r="B37" s="2">
        <v>8920794</v>
      </c>
      <c r="C37" t="s">
        <v>52</v>
      </c>
      <c r="D37">
        <v>23</v>
      </c>
      <c r="E37" t="s">
        <v>107</v>
      </c>
      <c r="F37">
        <v>69</v>
      </c>
      <c r="G37">
        <v>69</v>
      </c>
      <c r="H37">
        <v>35.5</v>
      </c>
      <c r="I37">
        <v>7.6</v>
      </c>
      <c r="J37">
        <v>16.399999999999999</v>
      </c>
      <c r="K37">
        <v>0.46200000000000002</v>
      </c>
      <c r="L37">
        <v>2.4</v>
      </c>
      <c r="M37">
        <v>6</v>
      </c>
      <c r="N37">
        <v>0.41</v>
      </c>
      <c r="O37">
        <v>5.0999999999999996</v>
      </c>
      <c r="P37">
        <v>10.4</v>
      </c>
      <c r="Q37">
        <v>0.49199999999999999</v>
      </c>
      <c r="R37">
        <v>0.53700000000000003</v>
      </c>
      <c r="S37">
        <v>4</v>
      </c>
      <c r="T37">
        <v>4.7</v>
      </c>
      <c r="U37">
        <v>0.86299999999999999</v>
      </c>
      <c r="V37">
        <v>0.4</v>
      </c>
      <c r="W37">
        <v>2.2999999999999998</v>
      </c>
      <c r="X37">
        <v>2.7</v>
      </c>
      <c r="Y37">
        <v>7.8</v>
      </c>
      <c r="Z37">
        <v>1.2</v>
      </c>
      <c r="AA37">
        <v>0.1</v>
      </c>
      <c r="AB37">
        <v>2.9</v>
      </c>
      <c r="AC37">
        <v>2.1</v>
      </c>
      <c r="AD37">
        <v>21.6</v>
      </c>
      <c r="AE37">
        <v>2447</v>
      </c>
      <c r="AF37">
        <v>18.8</v>
      </c>
      <c r="AG37">
        <v>0.58699999999999997</v>
      </c>
      <c r="AH37">
        <v>0.36499999999999999</v>
      </c>
      <c r="AI37">
        <v>0.28399999999999997</v>
      </c>
      <c r="AJ37">
        <v>1.3</v>
      </c>
      <c r="AK37">
        <v>7.6</v>
      </c>
      <c r="AL37">
        <v>4.5</v>
      </c>
      <c r="AM37">
        <v>34.1</v>
      </c>
      <c r="AN37">
        <v>1.7</v>
      </c>
      <c r="AO37">
        <v>0.3</v>
      </c>
      <c r="AP37">
        <v>13.5</v>
      </c>
      <c r="AQ37">
        <v>26.9</v>
      </c>
      <c r="AR37">
        <v>4.5</v>
      </c>
      <c r="AS37">
        <v>3</v>
      </c>
      <c r="AT37">
        <v>7.6</v>
      </c>
      <c r="AU37">
        <v>0.14799999999999999</v>
      </c>
      <c r="AV37">
        <v>3.2</v>
      </c>
      <c r="AW37">
        <v>-0.7</v>
      </c>
      <c r="AX37">
        <v>2.4</v>
      </c>
      <c r="AY37">
        <v>2.7</v>
      </c>
      <c r="AZ37" s="8">
        <v>5</v>
      </c>
      <c r="BA37" s="8">
        <v>0.5604882255996495</v>
      </c>
      <c r="BB37" s="3">
        <v>0</v>
      </c>
    </row>
    <row r="38" spans="1:54" x14ac:dyDescent="0.25">
      <c r="A38" t="s">
        <v>115</v>
      </c>
      <c r="B38" s="2">
        <v>30351780</v>
      </c>
      <c r="C38" t="s">
        <v>52</v>
      </c>
      <c r="D38">
        <v>25</v>
      </c>
      <c r="E38" t="s">
        <v>116</v>
      </c>
      <c r="F38">
        <v>73</v>
      </c>
      <c r="G38">
        <v>73</v>
      </c>
      <c r="H38">
        <v>33.4</v>
      </c>
      <c r="I38">
        <v>9.3000000000000007</v>
      </c>
      <c r="J38">
        <v>18.2</v>
      </c>
      <c r="K38">
        <v>0.51200000000000001</v>
      </c>
      <c r="L38">
        <v>1.6</v>
      </c>
      <c r="M38">
        <v>5</v>
      </c>
      <c r="N38">
        <v>0.32400000000000001</v>
      </c>
      <c r="O38">
        <v>7.7</v>
      </c>
      <c r="P38">
        <v>13.2</v>
      </c>
      <c r="Q38">
        <v>0.58399999999999996</v>
      </c>
      <c r="R38">
        <v>0.55700000000000005</v>
      </c>
      <c r="S38">
        <v>4.7</v>
      </c>
      <c r="T38">
        <v>6</v>
      </c>
      <c r="U38">
        <v>0.78</v>
      </c>
      <c r="V38">
        <v>0.5</v>
      </c>
      <c r="W38">
        <v>3.6</v>
      </c>
      <c r="X38">
        <v>4.2</v>
      </c>
      <c r="Y38">
        <v>6.1</v>
      </c>
      <c r="Z38">
        <v>1.1000000000000001</v>
      </c>
      <c r="AA38">
        <v>0.3</v>
      </c>
      <c r="AB38">
        <v>2.5</v>
      </c>
      <c r="AC38">
        <v>2.4</v>
      </c>
      <c r="AD38">
        <v>25</v>
      </c>
      <c r="AE38">
        <v>2435</v>
      </c>
      <c r="AF38">
        <v>21.8</v>
      </c>
      <c r="AG38">
        <v>0.59899999999999998</v>
      </c>
      <c r="AH38">
        <v>0.27600000000000002</v>
      </c>
      <c r="AI38">
        <v>0.33100000000000002</v>
      </c>
      <c r="AJ38">
        <v>1.9</v>
      </c>
      <c r="AK38">
        <v>12.4</v>
      </c>
      <c r="AL38">
        <v>7.2</v>
      </c>
      <c r="AM38">
        <v>29.6</v>
      </c>
      <c r="AN38">
        <v>1.6</v>
      </c>
      <c r="AO38">
        <v>0.8</v>
      </c>
      <c r="AP38">
        <v>10.6</v>
      </c>
      <c r="AQ38">
        <v>30.1</v>
      </c>
      <c r="AR38">
        <v>5.5</v>
      </c>
      <c r="AS38">
        <v>1.8</v>
      </c>
      <c r="AT38">
        <v>7.4</v>
      </c>
      <c r="AU38">
        <v>0.14599999999999999</v>
      </c>
      <c r="AV38">
        <v>3.4</v>
      </c>
      <c r="AW38">
        <v>-0.9</v>
      </c>
      <c r="AX38">
        <v>2.5</v>
      </c>
      <c r="AY38">
        <v>2.7</v>
      </c>
      <c r="AZ38" s="8">
        <v>4.95</v>
      </c>
      <c r="BA38" s="8">
        <v>0.1630876343990369</v>
      </c>
      <c r="BB38" s="3">
        <v>0</v>
      </c>
    </row>
    <row r="39" spans="1:54" x14ac:dyDescent="0.25">
      <c r="A39" t="s">
        <v>94</v>
      </c>
      <c r="B39" s="2">
        <v>34319520</v>
      </c>
      <c r="C39" t="s">
        <v>52</v>
      </c>
      <c r="D39">
        <v>32</v>
      </c>
      <c r="E39" t="s">
        <v>68</v>
      </c>
      <c r="F39">
        <v>67</v>
      </c>
      <c r="G39">
        <v>65</v>
      </c>
      <c r="H39">
        <v>32.6</v>
      </c>
      <c r="I39">
        <v>7.3</v>
      </c>
      <c r="J39">
        <v>15.3</v>
      </c>
      <c r="K39">
        <v>0.47899999999999998</v>
      </c>
      <c r="L39">
        <v>2.4</v>
      </c>
      <c r="M39">
        <v>6.1</v>
      </c>
      <c r="N39">
        <v>0.38400000000000001</v>
      </c>
      <c r="O39">
        <v>5</v>
      </c>
      <c r="P39">
        <v>9.1</v>
      </c>
      <c r="Q39">
        <v>0.54200000000000004</v>
      </c>
      <c r="R39">
        <v>0.55600000000000005</v>
      </c>
      <c r="S39">
        <v>2.2999999999999998</v>
      </c>
      <c r="T39">
        <v>2.6</v>
      </c>
      <c r="U39">
        <v>0.85899999999999999</v>
      </c>
      <c r="V39">
        <v>1.2</v>
      </c>
      <c r="W39">
        <v>3.9</v>
      </c>
      <c r="X39">
        <v>5.0999999999999996</v>
      </c>
      <c r="Y39">
        <v>7.4</v>
      </c>
      <c r="Z39">
        <v>1.2</v>
      </c>
      <c r="AA39">
        <v>0.4</v>
      </c>
      <c r="AB39">
        <v>2.9</v>
      </c>
      <c r="AC39">
        <v>1.7</v>
      </c>
      <c r="AD39">
        <v>19.3</v>
      </c>
      <c r="AE39">
        <v>2183</v>
      </c>
      <c r="AF39">
        <v>19.2</v>
      </c>
      <c r="AG39">
        <v>0.58599999999999997</v>
      </c>
      <c r="AH39">
        <v>0.40200000000000002</v>
      </c>
      <c r="AI39">
        <v>0.17299999999999999</v>
      </c>
      <c r="AJ39">
        <v>3.9</v>
      </c>
      <c r="AK39">
        <v>12</v>
      </c>
      <c r="AL39">
        <v>8.1</v>
      </c>
      <c r="AM39">
        <v>34.4</v>
      </c>
      <c r="AN39">
        <v>1.7</v>
      </c>
      <c r="AO39">
        <v>0.9</v>
      </c>
      <c r="AP39">
        <v>15.2</v>
      </c>
      <c r="AQ39">
        <v>25</v>
      </c>
      <c r="AR39">
        <v>3.9</v>
      </c>
      <c r="AS39">
        <v>2.8</v>
      </c>
      <c r="AT39">
        <v>6.7</v>
      </c>
      <c r="AU39">
        <v>0.14799999999999999</v>
      </c>
      <c r="AV39">
        <v>3</v>
      </c>
      <c r="AW39">
        <v>0.1</v>
      </c>
      <c r="AX39">
        <v>3.1</v>
      </c>
      <c r="AY39">
        <v>2.8</v>
      </c>
      <c r="AZ39" s="8">
        <v>4.9000000000000004</v>
      </c>
      <c r="BA39" s="8">
        <v>0.14277588963948215</v>
      </c>
      <c r="BB39" s="3">
        <v>0</v>
      </c>
    </row>
    <row r="40" spans="1:54" x14ac:dyDescent="0.25">
      <c r="A40" t="s">
        <v>155</v>
      </c>
      <c r="B40" s="2">
        <v>17142857</v>
      </c>
      <c r="C40" t="s">
        <v>62</v>
      </c>
      <c r="D40">
        <v>28</v>
      </c>
      <c r="E40" t="s">
        <v>113</v>
      </c>
      <c r="F40">
        <v>82</v>
      </c>
      <c r="G40">
        <v>70</v>
      </c>
      <c r="H40">
        <v>28.3</v>
      </c>
      <c r="I40">
        <v>4.3</v>
      </c>
      <c r="J40">
        <v>9.1999999999999993</v>
      </c>
      <c r="K40">
        <v>0.46200000000000002</v>
      </c>
      <c r="L40">
        <v>1.8</v>
      </c>
      <c r="M40">
        <v>4.8</v>
      </c>
      <c r="N40">
        <v>0.38100000000000001</v>
      </c>
      <c r="O40">
        <v>2.5</v>
      </c>
      <c r="P40">
        <v>4.5</v>
      </c>
      <c r="Q40">
        <v>0.54800000000000004</v>
      </c>
      <c r="R40">
        <v>0.56000000000000005</v>
      </c>
      <c r="S40">
        <v>2</v>
      </c>
      <c r="T40">
        <v>2.2999999999999998</v>
      </c>
      <c r="U40">
        <v>0.875</v>
      </c>
      <c r="V40">
        <v>0.6</v>
      </c>
      <c r="W40">
        <v>2.9</v>
      </c>
      <c r="X40">
        <v>3.6</v>
      </c>
      <c r="Y40">
        <v>3.9</v>
      </c>
      <c r="Z40">
        <v>0.7</v>
      </c>
      <c r="AA40">
        <v>0.9</v>
      </c>
      <c r="AB40">
        <v>1.2</v>
      </c>
      <c r="AC40">
        <v>2.2000000000000002</v>
      </c>
      <c r="AD40">
        <v>12.4</v>
      </c>
      <c r="AE40">
        <v>2319</v>
      </c>
      <c r="AF40">
        <v>15.4</v>
      </c>
      <c r="AG40">
        <v>0.60399999999999998</v>
      </c>
      <c r="AH40">
        <v>0.51600000000000001</v>
      </c>
      <c r="AI40">
        <v>0.253</v>
      </c>
      <c r="AJ40">
        <v>2.5</v>
      </c>
      <c r="AK40">
        <v>11.2</v>
      </c>
      <c r="AL40">
        <v>6.9</v>
      </c>
      <c r="AM40">
        <v>19.399999999999999</v>
      </c>
      <c r="AN40">
        <v>1.1000000000000001</v>
      </c>
      <c r="AO40">
        <v>2.8</v>
      </c>
      <c r="AP40">
        <v>10.1</v>
      </c>
      <c r="AQ40">
        <v>17.7</v>
      </c>
      <c r="AR40">
        <v>4.4000000000000004</v>
      </c>
      <c r="AS40">
        <v>3.1</v>
      </c>
      <c r="AT40">
        <v>7.4</v>
      </c>
      <c r="AU40">
        <v>0.154</v>
      </c>
      <c r="AV40">
        <v>1.1000000000000001</v>
      </c>
      <c r="AW40">
        <v>1.3</v>
      </c>
      <c r="AX40">
        <v>2.4</v>
      </c>
      <c r="AY40">
        <v>2.6</v>
      </c>
      <c r="AZ40" s="8">
        <v>4.9000000000000004</v>
      </c>
      <c r="BA40" s="8">
        <v>0.2858333357152778</v>
      </c>
      <c r="BB40" s="3">
        <v>0</v>
      </c>
    </row>
    <row r="41" spans="1:54" x14ac:dyDescent="0.25">
      <c r="A41" t="s">
        <v>125</v>
      </c>
      <c r="B41" s="2">
        <v>26500000</v>
      </c>
      <c r="C41" t="s">
        <v>75</v>
      </c>
      <c r="D41">
        <v>36</v>
      </c>
      <c r="E41" t="s">
        <v>113</v>
      </c>
      <c r="F41">
        <v>63</v>
      </c>
      <c r="G41">
        <v>63</v>
      </c>
      <c r="H41">
        <v>30.5</v>
      </c>
      <c r="I41">
        <v>3.6</v>
      </c>
      <c r="J41">
        <v>7.6</v>
      </c>
      <c r="K41">
        <v>0.47599999999999998</v>
      </c>
      <c r="L41">
        <v>2.2999999999999998</v>
      </c>
      <c r="M41">
        <v>5.2</v>
      </c>
      <c r="N41">
        <v>0.44600000000000001</v>
      </c>
      <c r="O41">
        <v>1.3</v>
      </c>
      <c r="P41">
        <v>2.4</v>
      </c>
      <c r="Q41">
        <v>0.53900000000000003</v>
      </c>
      <c r="R41">
        <v>0.627</v>
      </c>
      <c r="S41">
        <v>0.2</v>
      </c>
      <c r="T41">
        <v>0.3</v>
      </c>
      <c r="U41">
        <v>0.71399999999999997</v>
      </c>
      <c r="V41">
        <v>1.2</v>
      </c>
      <c r="W41">
        <v>5</v>
      </c>
      <c r="X41">
        <v>6.2</v>
      </c>
      <c r="Y41">
        <v>3</v>
      </c>
      <c r="Z41">
        <v>0.5</v>
      </c>
      <c r="AA41">
        <v>1</v>
      </c>
      <c r="AB41">
        <v>0.6</v>
      </c>
      <c r="AC41">
        <v>1.9</v>
      </c>
      <c r="AD41">
        <v>9.8000000000000007</v>
      </c>
      <c r="AE41">
        <v>1922</v>
      </c>
      <c r="AF41">
        <v>13.8</v>
      </c>
      <c r="AG41">
        <v>0.63100000000000001</v>
      </c>
      <c r="AH41">
        <v>0.67800000000000005</v>
      </c>
      <c r="AI41">
        <v>4.3999999999999997E-2</v>
      </c>
      <c r="AJ41">
        <v>4.2</v>
      </c>
      <c r="AK41">
        <v>17.7</v>
      </c>
      <c r="AL41">
        <v>11.1</v>
      </c>
      <c r="AM41">
        <v>13.2</v>
      </c>
      <c r="AN41">
        <v>0.8</v>
      </c>
      <c r="AO41">
        <v>2.7</v>
      </c>
      <c r="AP41">
        <v>7</v>
      </c>
      <c r="AQ41">
        <v>11.9</v>
      </c>
      <c r="AR41">
        <v>3.6</v>
      </c>
      <c r="AS41">
        <v>2.7</v>
      </c>
      <c r="AT41">
        <v>6.3</v>
      </c>
      <c r="AU41">
        <v>0.157</v>
      </c>
      <c r="AV41">
        <v>1.6</v>
      </c>
      <c r="AW41">
        <v>1.7</v>
      </c>
      <c r="AX41">
        <v>3.3</v>
      </c>
      <c r="AY41">
        <v>2.5</v>
      </c>
      <c r="AZ41" s="8">
        <v>4.8</v>
      </c>
      <c r="BA41" s="8">
        <v>0.1811320754716981</v>
      </c>
      <c r="BB41" s="3">
        <v>0</v>
      </c>
    </row>
    <row r="42" spans="1:54" x14ac:dyDescent="0.25">
      <c r="A42" t="s">
        <v>120</v>
      </c>
      <c r="B42" s="2">
        <v>28400000</v>
      </c>
      <c r="C42" t="s">
        <v>52</v>
      </c>
      <c r="D42">
        <v>37</v>
      </c>
      <c r="E42" t="s">
        <v>60</v>
      </c>
      <c r="F42">
        <v>59</v>
      </c>
      <c r="G42">
        <v>59</v>
      </c>
      <c r="H42">
        <v>32</v>
      </c>
      <c r="I42">
        <v>5</v>
      </c>
      <c r="J42">
        <v>11.3</v>
      </c>
      <c r="K42">
        <v>0.44</v>
      </c>
      <c r="L42">
        <v>1.7</v>
      </c>
      <c r="M42">
        <v>4.4000000000000004</v>
      </c>
      <c r="N42">
        <v>0.375</v>
      </c>
      <c r="O42">
        <v>3.3</v>
      </c>
      <c r="P42">
        <v>6.9</v>
      </c>
      <c r="Q42">
        <v>0.48199999999999998</v>
      </c>
      <c r="R42">
        <v>0.51300000000000001</v>
      </c>
      <c r="S42">
        <v>2.2999999999999998</v>
      </c>
      <c r="T42">
        <v>2.7</v>
      </c>
      <c r="U42">
        <v>0.83099999999999996</v>
      </c>
      <c r="V42">
        <v>0.5</v>
      </c>
      <c r="W42">
        <v>3.8</v>
      </c>
      <c r="X42">
        <v>4.3</v>
      </c>
      <c r="Y42">
        <v>8.9</v>
      </c>
      <c r="Z42">
        <v>1.5</v>
      </c>
      <c r="AA42">
        <v>0.4</v>
      </c>
      <c r="AB42">
        <v>1.9</v>
      </c>
      <c r="AC42">
        <v>2.1</v>
      </c>
      <c r="AD42">
        <v>13.9</v>
      </c>
      <c r="AE42">
        <v>1889</v>
      </c>
      <c r="AF42">
        <v>17.7</v>
      </c>
      <c r="AG42">
        <v>0.55500000000000005</v>
      </c>
      <c r="AH42">
        <v>0.39100000000000001</v>
      </c>
      <c r="AI42">
        <v>0.24</v>
      </c>
      <c r="AJ42">
        <v>1.6</v>
      </c>
      <c r="AK42">
        <v>13.4</v>
      </c>
      <c r="AL42">
        <v>7.4</v>
      </c>
      <c r="AM42">
        <v>38.700000000000003</v>
      </c>
      <c r="AN42">
        <v>2.4</v>
      </c>
      <c r="AO42">
        <v>1</v>
      </c>
      <c r="AP42">
        <v>13.4</v>
      </c>
      <c r="AQ42">
        <v>19.2</v>
      </c>
      <c r="AR42">
        <v>3.7</v>
      </c>
      <c r="AS42">
        <v>2.5</v>
      </c>
      <c r="AT42">
        <v>6.2</v>
      </c>
      <c r="AU42">
        <v>0.156</v>
      </c>
      <c r="AV42">
        <v>2</v>
      </c>
      <c r="AW42">
        <v>1.2</v>
      </c>
      <c r="AX42">
        <v>3.2</v>
      </c>
      <c r="AY42">
        <v>2.5</v>
      </c>
      <c r="AZ42" s="8">
        <v>4.7</v>
      </c>
      <c r="BA42" s="8">
        <v>0.16549295774647887</v>
      </c>
      <c r="BB42" s="3">
        <v>0</v>
      </c>
    </row>
    <row r="43" spans="1:54" x14ac:dyDescent="0.25">
      <c r="A43" t="s">
        <v>147</v>
      </c>
      <c r="B43" s="2">
        <v>18206896</v>
      </c>
      <c r="C43" t="s">
        <v>75</v>
      </c>
      <c r="D43">
        <v>28</v>
      </c>
      <c r="E43" t="s">
        <v>85</v>
      </c>
      <c r="F43">
        <v>65</v>
      </c>
      <c r="G43">
        <v>63</v>
      </c>
      <c r="H43">
        <v>26.6</v>
      </c>
      <c r="I43">
        <v>5.4</v>
      </c>
      <c r="J43">
        <v>8.1999999999999993</v>
      </c>
      <c r="K43">
        <v>0.65300000000000002</v>
      </c>
      <c r="L43">
        <v>0</v>
      </c>
      <c r="M43">
        <v>0</v>
      </c>
      <c r="N43">
        <v>0</v>
      </c>
      <c r="O43">
        <v>5.4</v>
      </c>
      <c r="P43">
        <v>8.1999999999999993</v>
      </c>
      <c r="Q43">
        <v>0.65400000000000003</v>
      </c>
      <c r="R43">
        <v>0.65300000000000002</v>
      </c>
      <c r="S43">
        <v>1.2</v>
      </c>
      <c r="T43">
        <v>2</v>
      </c>
      <c r="U43">
        <v>0.60299999999999998</v>
      </c>
      <c r="V43">
        <v>4</v>
      </c>
      <c r="W43">
        <v>7.1</v>
      </c>
      <c r="X43">
        <v>11</v>
      </c>
      <c r="Y43">
        <v>0.9</v>
      </c>
      <c r="Z43">
        <v>0.7</v>
      </c>
      <c r="AA43">
        <v>1.2</v>
      </c>
      <c r="AB43">
        <v>0.8</v>
      </c>
      <c r="AC43">
        <v>2.1</v>
      </c>
      <c r="AD43">
        <v>12</v>
      </c>
      <c r="AE43">
        <v>1730</v>
      </c>
      <c r="AF43">
        <v>22.1</v>
      </c>
      <c r="AG43">
        <v>0.65600000000000003</v>
      </c>
      <c r="AH43">
        <v>2E-3</v>
      </c>
      <c r="AI43">
        <v>0.24399999999999999</v>
      </c>
      <c r="AJ43">
        <v>16.100000000000001</v>
      </c>
      <c r="AK43">
        <v>29.4</v>
      </c>
      <c r="AL43">
        <v>22.7</v>
      </c>
      <c r="AM43">
        <v>4.7</v>
      </c>
      <c r="AN43">
        <v>1.2</v>
      </c>
      <c r="AO43">
        <v>3.9</v>
      </c>
      <c r="AP43">
        <v>8.3000000000000007</v>
      </c>
      <c r="AQ43">
        <v>15.7</v>
      </c>
      <c r="AR43">
        <v>4.9000000000000004</v>
      </c>
      <c r="AS43">
        <v>2.4</v>
      </c>
      <c r="AT43">
        <v>7.2</v>
      </c>
      <c r="AU43">
        <v>0.20100000000000001</v>
      </c>
      <c r="AV43">
        <v>2.2999999999999998</v>
      </c>
      <c r="AW43">
        <v>-0.1</v>
      </c>
      <c r="AX43">
        <v>2.2000000000000002</v>
      </c>
      <c r="AY43">
        <v>1.8</v>
      </c>
      <c r="AZ43" s="8">
        <v>4.7</v>
      </c>
      <c r="BA43" s="8">
        <v>0.25814394721648326</v>
      </c>
      <c r="BB43" s="3">
        <v>0</v>
      </c>
    </row>
    <row r="44" spans="1:54" x14ac:dyDescent="0.25">
      <c r="A44" t="s">
        <v>139</v>
      </c>
      <c r="B44" s="2">
        <v>20100000</v>
      </c>
      <c r="C44" t="s">
        <v>62</v>
      </c>
      <c r="D44">
        <v>26</v>
      </c>
      <c r="E44" t="s">
        <v>60</v>
      </c>
      <c r="F44">
        <v>83</v>
      </c>
      <c r="G44">
        <v>83</v>
      </c>
      <c r="H44">
        <v>35.700000000000003</v>
      </c>
      <c r="I44">
        <v>7.1</v>
      </c>
      <c r="J44">
        <v>15.3</v>
      </c>
      <c r="K44">
        <v>0.46800000000000003</v>
      </c>
      <c r="L44">
        <v>2</v>
      </c>
      <c r="M44">
        <v>5.3</v>
      </c>
      <c r="N44">
        <v>0.38200000000000001</v>
      </c>
      <c r="O44">
        <v>5.0999999999999996</v>
      </c>
      <c r="P44">
        <v>9.9</v>
      </c>
      <c r="Q44">
        <v>0.51400000000000001</v>
      </c>
      <c r="R44">
        <v>0.53500000000000003</v>
      </c>
      <c r="S44">
        <v>3.8</v>
      </c>
      <c r="T44">
        <v>4.3</v>
      </c>
      <c r="U44">
        <v>0.89500000000000002</v>
      </c>
      <c r="V44">
        <v>1</v>
      </c>
      <c r="W44">
        <v>3.4</v>
      </c>
      <c r="X44">
        <v>4.4000000000000004</v>
      </c>
      <c r="Y44">
        <v>3.3</v>
      </c>
      <c r="Z44">
        <v>1.1000000000000001</v>
      </c>
      <c r="AA44">
        <v>0.7</v>
      </c>
      <c r="AB44">
        <v>1.5</v>
      </c>
      <c r="AC44">
        <v>1.9</v>
      </c>
      <c r="AD44">
        <v>20.100000000000001</v>
      </c>
      <c r="AE44">
        <v>2963</v>
      </c>
      <c r="AF44">
        <v>16.8</v>
      </c>
      <c r="AG44">
        <v>0.58699999999999997</v>
      </c>
      <c r="AH44">
        <v>0.34899999999999998</v>
      </c>
      <c r="AI44">
        <v>0.27900000000000003</v>
      </c>
      <c r="AJ44">
        <v>2.9</v>
      </c>
      <c r="AK44">
        <v>10.8</v>
      </c>
      <c r="AL44">
        <v>6.8</v>
      </c>
      <c r="AM44">
        <v>13.7</v>
      </c>
      <c r="AN44">
        <v>1.5</v>
      </c>
      <c r="AO44">
        <v>1.8</v>
      </c>
      <c r="AP44">
        <v>8.1999999999999993</v>
      </c>
      <c r="AQ44">
        <v>22.6</v>
      </c>
      <c r="AR44">
        <v>4.4000000000000004</v>
      </c>
      <c r="AS44">
        <v>3.1</v>
      </c>
      <c r="AT44">
        <v>7.5</v>
      </c>
      <c r="AU44">
        <v>0.121</v>
      </c>
      <c r="AV44">
        <v>1.5</v>
      </c>
      <c r="AW44">
        <v>0.2</v>
      </c>
      <c r="AX44">
        <v>1.7</v>
      </c>
      <c r="AY44">
        <v>2.8</v>
      </c>
      <c r="AZ44" s="8">
        <v>4.5999999999999996</v>
      </c>
      <c r="BA44" s="8">
        <v>0.22885572139303484</v>
      </c>
      <c r="BB44" s="3">
        <v>0</v>
      </c>
    </row>
    <row r="45" spans="1:54" x14ac:dyDescent="0.25">
      <c r="A45" t="s">
        <v>86</v>
      </c>
      <c r="B45" s="2">
        <v>37096500</v>
      </c>
      <c r="C45" t="s">
        <v>62</v>
      </c>
      <c r="D45">
        <v>27</v>
      </c>
      <c r="E45" t="s">
        <v>87</v>
      </c>
      <c r="F45">
        <v>77</v>
      </c>
      <c r="G45">
        <v>77</v>
      </c>
      <c r="H45">
        <v>35.9</v>
      </c>
      <c r="I45">
        <v>8.6999999999999993</v>
      </c>
      <c r="J45">
        <v>18</v>
      </c>
      <c r="K45">
        <v>0.48499999999999999</v>
      </c>
      <c r="L45">
        <v>2.6</v>
      </c>
      <c r="M45">
        <v>7.1</v>
      </c>
      <c r="N45">
        <v>0.375</v>
      </c>
      <c r="O45">
        <v>6.1</v>
      </c>
      <c r="P45">
        <v>11</v>
      </c>
      <c r="Q45">
        <v>0.55600000000000005</v>
      </c>
      <c r="R45">
        <v>0.55800000000000005</v>
      </c>
      <c r="S45">
        <v>4.7</v>
      </c>
      <c r="T45">
        <v>5.6</v>
      </c>
      <c r="U45">
        <v>0.84799999999999998</v>
      </c>
      <c r="V45">
        <v>0.5</v>
      </c>
      <c r="W45">
        <v>3.9</v>
      </c>
      <c r="X45">
        <v>4.5</v>
      </c>
      <c r="Y45">
        <v>4.2</v>
      </c>
      <c r="Z45">
        <v>0.9</v>
      </c>
      <c r="AA45">
        <v>0.2</v>
      </c>
      <c r="AB45">
        <v>2.5</v>
      </c>
      <c r="AC45">
        <v>2.1</v>
      </c>
      <c r="AD45">
        <v>24.8</v>
      </c>
      <c r="AE45">
        <v>2768</v>
      </c>
      <c r="AF45">
        <v>19</v>
      </c>
      <c r="AG45">
        <v>0.60699999999999998</v>
      </c>
      <c r="AH45">
        <v>0.39200000000000002</v>
      </c>
      <c r="AI45">
        <v>0.308</v>
      </c>
      <c r="AJ45">
        <v>1.7</v>
      </c>
      <c r="AK45">
        <v>12.2</v>
      </c>
      <c r="AL45">
        <v>7.1</v>
      </c>
      <c r="AM45">
        <v>18.7</v>
      </c>
      <c r="AN45">
        <v>1.2</v>
      </c>
      <c r="AO45">
        <v>0.6</v>
      </c>
      <c r="AP45">
        <v>11</v>
      </c>
      <c r="AQ45">
        <v>28.3</v>
      </c>
      <c r="AR45">
        <v>4.2</v>
      </c>
      <c r="AS45">
        <v>2.9</v>
      </c>
      <c r="AT45">
        <v>7.1</v>
      </c>
      <c r="AU45">
        <v>0.123</v>
      </c>
      <c r="AV45">
        <v>2.7</v>
      </c>
      <c r="AW45">
        <v>-0.7</v>
      </c>
      <c r="AX45">
        <v>1.9</v>
      </c>
      <c r="AY45">
        <v>2.7</v>
      </c>
      <c r="AZ45" s="8">
        <v>4.5</v>
      </c>
      <c r="BA45" s="8">
        <v>0.12130524443006753</v>
      </c>
      <c r="BB45" s="3">
        <v>0</v>
      </c>
    </row>
    <row r="46" spans="1:54" x14ac:dyDescent="0.25">
      <c r="A46" t="s">
        <v>134</v>
      </c>
      <c r="B46" s="2">
        <v>21250000</v>
      </c>
      <c r="C46" t="s">
        <v>52</v>
      </c>
      <c r="D46">
        <v>28</v>
      </c>
      <c r="E46" t="s">
        <v>91</v>
      </c>
      <c r="F46">
        <v>69</v>
      </c>
      <c r="G46">
        <v>69</v>
      </c>
      <c r="H46">
        <v>36.700000000000003</v>
      </c>
      <c r="I46">
        <v>6.3</v>
      </c>
      <c r="J46">
        <v>16.100000000000001</v>
      </c>
      <c r="K46">
        <v>0.39300000000000002</v>
      </c>
      <c r="L46">
        <v>3</v>
      </c>
      <c r="M46">
        <v>8.8000000000000007</v>
      </c>
      <c r="N46">
        <v>0.34200000000000003</v>
      </c>
      <c r="O46">
        <v>3.3</v>
      </c>
      <c r="P46">
        <v>7.3</v>
      </c>
      <c r="Q46">
        <v>0.45500000000000002</v>
      </c>
      <c r="R46">
        <v>0.48599999999999999</v>
      </c>
      <c r="S46">
        <v>3.7</v>
      </c>
      <c r="T46">
        <v>4.0999999999999996</v>
      </c>
      <c r="U46">
        <v>0.89800000000000002</v>
      </c>
      <c r="V46">
        <v>0.4</v>
      </c>
      <c r="W46">
        <v>3.6</v>
      </c>
      <c r="X46">
        <v>4.0999999999999996</v>
      </c>
      <c r="Y46">
        <v>7.2</v>
      </c>
      <c r="Z46">
        <v>1.8</v>
      </c>
      <c r="AA46">
        <v>0.6</v>
      </c>
      <c r="AB46">
        <v>2</v>
      </c>
      <c r="AC46">
        <v>2.8</v>
      </c>
      <c r="AD46">
        <v>19.3</v>
      </c>
      <c r="AE46">
        <v>2535</v>
      </c>
      <c r="AF46">
        <v>17</v>
      </c>
      <c r="AG46">
        <v>0.54</v>
      </c>
      <c r="AH46">
        <v>0.54500000000000004</v>
      </c>
      <c r="AI46">
        <v>0.254</v>
      </c>
      <c r="AJ46">
        <v>1.2</v>
      </c>
      <c r="AK46">
        <v>12</v>
      </c>
      <c r="AL46">
        <v>6.3</v>
      </c>
      <c r="AM46">
        <v>28.1</v>
      </c>
      <c r="AN46">
        <v>2.4</v>
      </c>
      <c r="AO46">
        <v>1.5</v>
      </c>
      <c r="AP46">
        <v>10.199999999999999</v>
      </c>
      <c r="AQ46">
        <v>23.2</v>
      </c>
      <c r="AR46">
        <v>3.7</v>
      </c>
      <c r="AS46">
        <v>2.8</v>
      </c>
      <c r="AT46">
        <v>6.5</v>
      </c>
      <c r="AU46">
        <v>0.123</v>
      </c>
      <c r="AV46">
        <v>2</v>
      </c>
      <c r="AW46">
        <v>0.5</v>
      </c>
      <c r="AX46">
        <v>2.5</v>
      </c>
      <c r="AY46">
        <v>2.9</v>
      </c>
      <c r="AZ46" s="8">
        <v>4.5</v>
      </c>
      <c r="BA46" s="8">
        <v>0.21176470588235294</v>
      </c>
      <c r="BB46" s="3">
        <v>0</v>
      </c>
    </row>
    <row r="47" spans="1:54" x14ac:dyDescent="0.25">
      <c r="A47" t="s">
        <v>114</v>
      </c>
      <c r="B47" s="2">
        <v>30351780</v>
      </c>
      <c r="C47" t="s">
        <v>75</v>
      </c>
      <c r="D47">
        <v>25</v>
      </c>
      <c r="E47" t="s">
        <v>80</v>
      </c>
      <c r="F47">
        <v>75</v>
      </c>
      <c r="G47">
        <v>75</v>
      </c>
      <c r="H47">
        <v>34.6</v>
      </c>
      <c r="I47">
        <v>8</v>
      </c>
      <c r="J47">
        <v>14.9</v>
      </c>
      <c r="K47">
        <v>0.54</v>
      </c>
      <c r="L47">
        <v>0</v>
      </c>
      <c r="M47">
        <v>0.2</v>
      </c>
      <c r="N47">
        <v>8.3000000000000004E-2</v>
      </c>
      <c r="O47">
        <v>8</v>
      </c>
      <c r="P47">
        <v>14.7</v>
      </c>
      <c r="Q47">
        <v>0.54500000000000004</v>
      </c>
      <c r="R47">
        <v>0.54100000000000004</v>
      </c>
      <c r="S47">
        <v>4.3</v>
      </c>
      <c r="T47">
        <v>5.4</v>
      </c>
      <c r="U47">
        <v>0.80600000000000005</v>
      </c>
      <c r="V47">
        <v>2.5</v>
      </c>
      <c r="W47">
        <v>6.7</v>
      </c>
      <c r="X47">
        <v>9.1999999999999993</v>
      </c>
      <c r="Y47">
        <v>3.2</v>
      </c>
      <c r="Z47">
        <v>1.2</v>
      </c>
      <c r="AA47">
        <v>0.8</v>
      </c>
      <c r="AB47">
        <v>2.5</v>
      </c>
      <c r="AC47">
        <v>2.8</v>
      </c>
      <c r="AD47">
        <v>20.399999999999999</v>
      </c>
      <c r="AE47">
        <v>2598</v>
      </c>
      <c r="AF47">
        <v>20.100000000000001</v>
      </c>
      <c r="AG47">
        <v>0.59199999999999997</v>
      </c>
      <c r="AH47">
        <v>1.0999999999999999E-2</v>
      </c>
      <c r="AI47">
        <v>0.36099999999999999</v>
      </c>
      <c r="AJ47">
        <v>8</v>
      </c>
      <c r="AK47">
        <v>23.6</v>
      </c>
      <c r="AL47">
        <v>15.5</v>
      </c>
      <c r="AM47">
        <v>15.9</v>
      </c>
      <c r="AN47">
        <v>1.7</v>
      </c>
      <c r="AO47">
        <v>2.4</v>
      </c>
      <c r="AP47">
        <v>12.7</v>
      </c>
      <c r="AQ47">
        <v>25.2</v>
      </c>
      <c r="AR47">
        <v>3.6</v>
      </c>
      <c r="AS47">
        <v>3.8</v>
      </c>
      <c r="AT47">
        <v>7.4</v>
      </c>
      <c r="AU47">
        <v>0.13700000000000001</v>
      </c>
      <c r="AV47">
        <v>0.8</v>
      </c>
      <c r="AW47">
        <v>0.8</v>
      </c>
      <c r="AX47">
        <v>1.5</v>
      </c>
      <c r="AY47">
        <v>2.2999999999999998</v>
      </c>
      <c r="AZ47" s="8">
        <v>4.45</v>
      </c>
      <c r="BA47" s="8">
        <v>0.14661413597489176</v>
      </c>
      <c r="BB47" s="3">
        <v>0</v>
      </c>
    </row>
    <row r="48" spans="1:54" x14ac:dyDescent="0.25">
      <c r="A48" t="s">
        <v>138</v>
      </c>
      <c r="B48" s="2">
        <v>20690909</v>
      </c>
      <c r="C48" t="s">
        <v>28</v>
      </c>
      <c r="D48">
        <v>27</v>
      </c>
      <c r="E48" t="s">
        <v>103</v>
      </c>
      <c r="F48">
        <v>68</v>
      </c>
      <c r="G48">
        <v>68</v>
      </c>
      <c r="H48">
        <v>30.2</v>
      </c>
      <c r="I48">
        <v>6.3</v>
      </c>
      <c r="J48">
        <v>11.2</v>
      </c>
      <c r="K48">
        <v>0.56399999999999995</v>
      </c>
      <c r="L48">
        <v>0.9</v>
      </c>
      <c r="M48">
        <v>2.5</v>
      </c>
      <c r="N48">
        <v>0.34699999999999998</v>
      </c>
      <c r="O48">
        <v>5.4</v>
      </c>
      <c r="P48">
        <v>8.6</v>
      </c>
      <c r="Q48">
        <v>0.628</v>
      </c>
      <c r="R48">
        <v>0.60299999999999998</v>
      </c>
      <c r="S48">
        <v>2.8</v>
      </c>
      <c r="T48">
        <v>4.5999999999999996</v>
      </c>
      <c r="U48">
        <v>0.60799999999999998</v>
      </c>
      <c r="V48">
        <v>2.4</v>
      </c>
      <c r="W48">
        <v>4.0999999999999996</v>
      </c>
      <c r="X48">
        <v>6.6</v>
      </c>
      <c r="Y48">
        <v>3</v>
      </c>
      <c r="Z48">
        <v>0.8</v>
      </c>
      <c r="AA48">
        <v>0.8</v>
      </c>
      <c r="AB48">
        <v>1.4</v>
      </c>
      <c r="AC48">
        <v>1.9</v>
      </c>
      <c r="AD48">
        <v>16.3</v>
      </c>
      <c r="AE48">
        <v>2055</v>
      </c>
      <c r="AF48">
        <v>19.5</v>
      </c>
      <c r="AG48">
        <v>0.61699999999999999</v>
      </c>
      <c r="AH48">
        <v>0.22700000000000001</v>
      </c>
      <c r="AI48">
        <v>0.41299999999999998</v>
      </c>
      <c r="AJ48">
        <v>9.4</v>
      </c>
      <c r="AK48">
        <v>15.4</v>
      </c>
      <c r="AL48">
        <v>12.5</v>
      </c>
      <c r="AM48">
        <v>14.2</v>
      </c>
      <c r="AN48">
        <v>1.3</v>
      </c>
      <c r="AO48">
        <v>2.2000000000000002</v>
      </c>
      <c r="AP48">
        <v>9.8000000000000007</v>
      </c>
      <c r="AQ48">
        <v>21.1</v>
      </c>
      <c r="AR48">
        <v>4.5999999999999996</v>
      </c>
      <c r="AS48">
        <v>2.2000000000000002</v>
      </c>
      <c r="AT48">
        <v>6.8</v>
      </c>
      <c r="AU48">
        <v>0.158</v>
      </c>
      <c r="AV48">
        <v>2.4</v>
      </c>
      <c r="AW48">
        <v>-0.3</v>
      </c>
      <c r="AX48">
        <v>2.1</v>
      </c>
      <c r="AY48">
        <v>2.1</v>
      </c>
      <c r="AZ48" s="8">
        <v>4.45</v>
      </c>
      <c r="BA48" s="8">
        <v>0.21507029971472011</v>
      </c>
      <c r="BB48" s="3">
        <v>0</v>
      </c>
    </row>
    <row r="49" spans="1:54" x14ac:dyDescent="0.25">
      <c r="A49" t="s">
        <v>157</v>
      </c>
      <c r="B49" s="2">
        <v>17045454</v>
      </c>
      <c r="C49" t="s">
        <v>75</v>
      </c>
      <c r="D49">
        <v>24</v>
      </c>
      <c r="E49" t="s">
        <v>123</v>
      </c>
      <c r="F49">
        <v>59</v>
      </c>
      <c r="G49">
        <v>58</v>
      </c>
      <c r="H49">
        <v>27</v>
      </c>
      <c r="I49">
        <v>3.2</v>
      </c>
      <c r="J49">
        <v>4.7</v>
      </c>
      <c r="K49">
        <v>0.67100000000000004</v>
      </c>
      <c r="L49">
        <v>0</v>
      </c>
      <c r="M49">
        <v>0</v>
      </c>
      <c r="O49">
        <v>3.2</v>
      </c>
      <c r="P49">
        <v>4.7</v>
      </c>
      <c r="Q49">
        <v>0.67100000000000004</v>
      </c>
      <c r="R49">
        <v>0.67100000000000004</v>
      </c>
      <c r="S49">
        <v>1</v>
      </c>
      <c r="T49">
        <v>2.1</v>
      </c>
      <c r="U49">
        <v>0.48399999999999999</v>
      </c>
      <c r="V49">
        <v>4.5</v>
      </c>
      <c r="W49">
        <v>4.9000000000000004</v>
      </c>
      <c r="X49">
        <v>9.4</v>
      </c>
      <c r="Y49">
        <v>0.9</v>
      </c>
      <c r="Z49">
        <v>0.9</v>
      </c>
      <c r="AA49">
        <v>1.8</v>
      </c>
      <c r="AB49">
        <v>0.7</v>
      </c>
      <c r="AC49">
        <v>2.7</v>
      </c>
      <c r="AD49">
        <v>7.4</v>
      </c>
      <c r="AE49">
        <v>1591</v>
      </c>
      <c r="AF49">
        <v>18.899999999999999</v>
      </c>
      <c r="AG49">
        <v>0.65200000000000002</v>
      </c>
      <c r="AH49">
        <v>0</v>
      </c>
      <c r="AI49">
        <v>0.436</v>
      </c>
      <c r="AJ49">
        <v>18.399999999999999</v>
      </c>
      <c r="AK49">
        <v>20</v>
      </c>
      <c r="AL49">
        <v>19.2</v>
      </c>
      <c r="AM49">
        <v>4.5</v>
      </c>
      <c r="AN49">
        <v>1.7</v>
      </c>
      <c r="AO49">
        <v>6.5</v>
      </c>
      <c r="AP49">
        <v>10.9</v>
      </c>
      <c r="AQ49">
        <v>10.1</v>
      </c>
      <c r="AR49">
        <v>4</v>
      </c>
      <c r="AS49">
        <v>2.6</v>
      </c>
      <c r="AT49">
        <v>6.5</v>
      </c>
      <c r="AU49">
        <v>0.19700000000000001</v>
      </c>
      <c r="AV49">
        <v>1</v>
      </c>
      <c r="AW49">
        <v>1.4</v>
      </c>
      <c r="AX49">
        <v>2.4</v>
      </c>
      <c r="AY49">
        <v>1.7</v>
      </c>
      <c r="AZ49" s="8">
        <v>4.45</v>
      </c>
      <c r="BA49" s="8">
        <v>0.26106667502080028</v>
      </c>
      <c r="BB49" s="3">
        <v>0</v>
      </c>
    </row>
    <row r="50" spans="1:54" x14ac:dyDescent="0.25">
      <c r="A50" t="s">
        <v>131</v>
      </c>
      <c r="B50" s="2">
        <v>22600000</v>
      </c>
      <c r="C50" t="s">
        <v>52</v>
      </c>
      <c r="D50">
        <v>30</v>
      </c>
      <c r="E50" t="s">
        <v>113</v>
      </c>
      <c r="F50">
        <v>67</v>
      </c>
      <c r="G50">
        <v>0</v>
      </c>
      <c r="H50">
        <v>26</v>
      </c>
      <c r="I50">
        <v>5.3</v>
      </c>
      <c r="J50">
        <v>10.9</v>
      </c>
      <c r="K50">
        <v>0.48399999999999999</v>
      </c>
      <c r="L50">
        <v>2</v>
      </c>
      <c r="M50">
        <v>4.4000000000000004</v>
      </c>
      <c r="N50">
        <v>0.44400000000000001</v>
      </c>
      <c r="O50">
        <v>3.3</v>
      </c>
      <c r="P50">
        <v>6.5</v>
      </c>
      <c r="Q50">
        <v>0.51</v>
      </c>
      <c r="R50">
        <v>0.57399999999999995</v>
      </c>
      <c r="S50">
        <v>2.4</v>
      </c>
      <c r="T50">
        <v>2.7</v>
      </c>
      <c r="U50">
        <v>0.87</v>
      </c>
      <c r="V50">
        <v>0.6</v>
      </c>
      <c r="W50">
        <v>3.6</v>
      </c>
      <c r="X50">
        <v>4.2</v>
      </c>
      <c r="Y50">
        <v>3.7</v>
      </c>
      <c r="Z50">
        <v>0.7</v>
      </c>
      <c r="AA50">
        <v>0.3</v>
      </c>
      <c r="AB50">
        <v>1.5</v>
      </c>
      <c r="AC50">
        <v>1.6</v>
      </c>
      <c r="AD50">
        <v>14.9</v>
      </c>
      <c r="AE50">
        <v>1744</v>
      </c>
      <c r="AF50">
        <v>18.2</v>
      </c>
      <c r="AG50">
        <v>0.61499999999999999</v>
      </c>
      <c r="AH50">
        <v>0.40600000000000003</v>
      </c>
      <c r="AI50">
        <v>0.251</v>
      </c>
      <c r="AJ50">
        <v>2.7</v>
      </c>
      <c r="AK50">
        <v>14.7</v>
      </c>
      <c r="AL50">
        <v>8.8000000000000007</v>
      </c>
      <c r="AM50">
        <v>21.5</v>
      </c>
      <c r="AN50">
        <v>1.3</v>
      </c>
      <c r="AO50">
        <v>0.9</v>
      </c>
      <c r="AP50">
        <v>10.8</v>
      </c>
      <c r="AQ50">
        <v>22.8</v>
      </c>
      <c r="AR50">
        <v>3.6</v>
      </c>
      <c r="AS50">
        <v>2.2000000000000002</v>
      </c>
      <c r="AT50">
        <v>5.8</v>
      </c>
      <c r="AU50">
        <v>0.161</v>
      </c>
      <c r="AV50">
        <v>2.2999999999999998</v>
      </c>
      <c r="AW50">
        <v>0.6</v>
      </c>
      <c r="AX50">
        <v>2.8</v>
      </c>
      <c r="AY50">
        <v>2.1</v>
      </c>
      <c r="AZ50" s="8">
        <v>4.3</v>
      </c>
      <c r="BA50" s="8">
        <v>0.19026548672566371</v>
      </c>
      <c r="BB50" s="3">
        <v>0</v>
      </c>
    </row>
    <row r="51" spans="1:54" x14ac:dyDescent="0.25">
      <c r="A51" t="s">
        <v>74</v>
      </c>
      <c r="B51" s="2">
        <v>38172414</v>
      </c>
      <c r="C51" t="s">
        <v>75</v>
      </c>
      <c r="D51">
        <v>30</v>
      </c>
      <c r="E51" t="s">
        <v>76</v>
      </c>
      <c r="F51">
        <v>70</v>
      </c>
      <c r="G51">
        <v>70</v>
      </c>
      <c r="H51">
        <v>30.7</v>
      </c>
      <c r="I51">
        <v>5.0999999999999996</v>
      </c>
      <c r="J51">
        <v>7.8</v>
      </c>
      <c r="K51">
        <v>0.65900000000000003</v>
      </c>
      <c r="L51">
        <v>0</v>
      </c>
      <c r="M51">
        <v>0</v>
      </c>
      <c r="N51">
        <v>0</v>
      </c>
      <c r="O51">
        <v>5.0999999999999996</v>
      </c>
      <c r="P51">
        <v>7.8</v>
      </c>
      <c r="Q51">
        <v>0.66300000000000003</v>
      </c>
      <c r="R51">
        <v>0.65900000000000003</v>
      </c>
      <c r="S51">
        <v>3.1</v>
      </c>
      <c r="T51">
        <v>4.9000000000000004</v>
      </c>
      <c r="U51">
        <v>0.64400000000000002</v>
      </c>
      <c r="V51">
        <v>3.3</v>
      </c>
      <c r="W51">
        <v>8.3000000000000007</v>
      </c>
      <c r="X51">
        <v>11.6</v>
      </c>
      <c r="Y51">
        <v>1.2</v>
      </c>
      <c r="Z51">
        <v>0.8</v>
      </c>
      <c r="AA51">
        <v>1.4</v>
      </c>
      <c r="AB51">
        <v>1.7</v>
      </c>
      <c r="AC51">
        <v>3</v>
      </c>
      <c r="AD51">
        <v>13.4</v>
      </c>
      <c r="AE51">
        <v>2148</v>
      </c>
      <c r="AF51">
        <v>18.899999999999999</v>
      </c>
      <c r="AG51">
        <v>0.67500000000000004</v>
      </c>
      <c r="AH51">
        <v>5.0000000000000001E-3</v>
      </c>
      <c r="AI51">
        <v>0.623</v>
      </c>
      <c r="AJ51">
        <v>12.2</v>
      </c>
      <c r="AK51">
        <v>29.8</v>
      </c>
      <c r="AL51">
        <v>21.2</v>
      </c>
      <c r="AM51">
        <v>5.6</v>
      </c>
      <c r="AN51">
        <v>1.2</v>
      </c>
      <c r="AO51">
        <v>3.9</v>
      </c>
      <c r="AP51">
        <v>14.9</v>
      </c>
      <c r="AQ51">
        <v>16.3</v>
      </c>
      <c r="AR51">
        <v>4.3</v>
      </c>
      <c r="AS51">
        <v>3.5</v>
      </c>
      <c r="AT51">
        <v>7.8</v>
      </c>
      <c r="AU51">
        <v>0.17399999999999999</v>
      </c>
      <c r="AV51">
        <v>0</v>
      </c>
      <c r="AW51">
        <v>0.7</v>
      </c>
      <c r="AX51">
        <v>0.7</v>
      </c>
      <c r="AY51">
        <v>1.4</v>
      </c>
      <c r="AZ51" s="8">
        <v>4.25</v>
      </c>
      <c r="BA51" s="8">
        <v>0.11133694609934808</v>
      </c>
      <c r="BB51" s="3">
        <v>0</v>
      </c>
    </row>
    <row r="52" spans="1:54" x14ac:dyDescent="0.25">
      <c r="A52" t="s">
        <v>214</v>
      </c>
      <c r="B52" s="2">
        <v>9398148</v>
      </c>
      <c r="C52" t="s">
        <v>75</v>
      </c>
      <c r="D52">
        <v>27</v>
      </c>
      <c r="E52" t="s">
        <v>91</v>
      </c>
      <c r="F52">
        <v>72</v>
      </c>
      <c r="G52">
        <v>71</v>
      </c>
      <c r="H52">
        <v>26.5</v>
      </c>
      <c r="I52">
        <v>5.4</v>
      </c>
      <c r="J52">
        <v>8.6</v>
      </c>
      <c r="K52">
        <v>0.629</v>
      </c>
      <c r="L52">
        <v>0</v>
      </c>
      <c r="M52">
        <v>0</v>
      </c>
      <c r="N52">
        <v>0</v>
      </c>
      <c r="O52">
        <v>5.4</v>
      </c>
      <c r="P52">
        <v>8.6</v>
      </c>
      <c r="Q52">
        <v>0.63</v>
      </c>
      <c r="R52">
        <v>0.629</v>
      </c>
      <c r="S52">
        <v>1.7</v>
      </c>
      <c r="T52">
        <v>2.8</v>
      </c>
      <c r="U52">
        <v>0.59199999999999997</v>
      </c>
      <c r="V52">
        <v>3.3</v>
      </c>
      <c r="W52">
        <v>5.8</v>
      </c>
      <c r="X52">
        <v>9.1</v>
      </c>
      <c r="Y52">
        <v>2.7</v>
      </c>
      <c r="Z52">
        <v>0.9</v>
      </c>
      <c r="AA52">
        <v>1.2</v>
      </c>
      <c r="AB52">
        <v>1.7</v>
      </c>
      <c r="AC52">
        <v>2.7</v>
      </c>
      <c r="AD52">
        <v>12.5</v>
      </c>
      <c r="AE52">
        <v>1906</v>
      </c>
      <c r="AF52">
        <v>21</v>
      </c>
      <c r="AG52">
        <v>0.63500000000000001</v>
      </c>
      <c r="AH52">
        <v>2E-3</v>
      </c>
      <c r="AI52">
        <v>0.32500000000000001</v>
      </c>
      <c r="AJ52">
        <v>13</v>
      </c>
      <c r="AK52">
        <v>25.5</v>
      </c>
      <c r="AL52">
        <v>19</v>
      </c>
      <c r="AM52">
        <v>15.2</v>
      </c>
      <c r="AN52">
        <v>1.7</v>
      </c>
      <c r="AO52">
        <v>4</v>
      </c>
      <c r="AP52">
        <v>15</v>
      </c>
      <c r="AQ52">
        <v>18.2</v>
      </c>
      <c r="AR52">
        <v>3.7</v>
      </c>
      <c r="AS52">
        <v>2.2000000000000002</v>
      </c>
      <c r="AT52">
        <v>6</v>
      </c>
      <c r="AU52">
        <v>0.15</v>
      </c>
      <c r="AV52">
        <v>1.1000000000000001</v>
      </c>
      <c r="AW52">
        <v>0.8</v>
      </c>
      <c r="AX52">
        <v>1.9</v>
      </c>
      <c r="AY52">
        <v>1.9</v>
      </c>
      <c r="AZ52" s="8">
        <v>3.95</v>
      </c>
      <c r="BA52" s="8">
        <v>0.42029557312781202</v>
      </c>
      <c r="BB52" s="3">
        <v>0</v>
      </c>
    </row>
    <row r="53" spans="1:54" x14ac:dyDescent="0.25">
      <c r="A53" t="s">
        <v>255</v>
      </c>
      <c r="B53" s="2">
        <v>6395160</v>
      </c>
      <c r="C53" t="s">
        <v>75</v>
      </c>
      <c r="D53">
        <v>22</v>
      </c>
      <c r="E53" t="s">
        <v>85</v>
      </c>
      <c r="F53">
        <v>80</v>
      </c>
      <c r="G53">
        <v>18</v>
      </c>
      <c r="H53">
        <v>23.1</v>
      </c>
      <c r="I53">
        <v>4</v>
      </c>
      <c r="J53">
        <v>6.2</v>
      </c>
      <c r="K53">
        <v>0.63800000000000001</v>
      </c>
      <c r="L53">
        <v>0.1</v>
      </c>
      <c r="M53">
        <v>0.2</v>
      </c>
      <c r="N53">
        <v>0.308</v>
      </c>
      <c r="O53">
        <v>3.9</v>
      </c>
      <c r="P53">
        <v>6.1</v>
      </c>
      <c r="Q53">
        <v>0.64700000000000002</v>
      </c>
      <c r="R53">
        <v>0.64200000000000002</v>
      </c>
      <c r="S53">
        <v>1.9</v>
      </c>
      <c r="T53">
        <v>2.5</v>
      </c>
      <c r="U53">
        <v>0.78100000000000003</v>
      </c>
      <c r="V53">
        <v>2.7</v>
      </c>
      <c r="W53">
        <v>4.5</v>
      </c>
      <c r="X53">
        <v>7.2</v>
      </c>
      <c r="Y53">
        <v>1</v>
      </c>
      <c r="Z53">
        <v>0.7</v>
      </c>
      <c r="AA53">
        <v>1.3</v>
      </c>
      <c r="AB53">
        <v>1</v>
      </c>
      <c r="AC53">
        <v>3.1</v>
      </c>
      <c r="AD53">
        <v>9.9</v>
      </c>
      <c r="AE53">
        <v>1849</v>
      </c>
      <c r="AF53">
        <v>19.399999999999999</v>
      </c>
      <c r="AG53">
        <v>0.67800000000000005</v>
      </c>
      <c r="AH53">
        <v>2.5999999999999999E-2</v>
      </c>
      <c r="AI53">
        <v>0.39400000000000002</v>
      </c>
      <c r="AJ53">
        <v>12.7</v>
      </c>
      <c r="AK53">
        <v>21.5</v>
      </c>
      <c r="AL53">
        <v>17</v>
      </c>
      <c r="AM53">
        <v>5.8</v>
      </c>
      <c r="AN53">
        <v>1.4</v>
      </c>
      <c r="AO53">
        <v>4.9000000000000004</v>
      </c>
      <c r="AP53">
        <v>12.2</v>
      </c>
      <c r="AQ53">
        <v>15.1</v>
      </c>
      <c r="AR53">
        <v>4.7</v>
      </c>
      <c r="AS53">
        <v>2.4</v>
      </c>
      <c r="AT53">
        <v>7.1</v>
      </c>
      <c r="AU53">
        <v>0.185</v>
      </c>
      <c r="AV53">
        <v>0</v>
      </c>
      <c r="AW53">
        <v>0.8</v>
      </c>
      <c r="AX53">
        <v>0.8</v>
      </c>
      <c r="AY53">
        <v>1.3</v>
      </c>
      <c r="AZ53" s="8">
        <v>3.9499999999999997</v>
      </c>
      <c r="BA53" s="8">
        <v>0.61765460129222716</v>
      </c>
      <c r="BB53" s="3">
        <v>0</v>
      </c>
    </row>
    <row r="54" spans="1:54" x14ac:dyDescent="0.25">
      <c r="A54" t="s">
        <v>224</v>
      </c>
      <c r="B54" s="2">
        <v>8780488</v>
      </c>
      <c r="C54" t="s">
        <v>28</v>
      </c>
      <c r="D54">
        <v>29</v>
      </c>
      <c r="E54" t="s">
        <v>76</v>
      </c>
      <c r="F54">
        <v>69</v>
      </c>
      <c r="G54">
        <v>46</v>
      </c>
      <c r="H54">
        <v>28.4</v>
      </c>
      <c r="I54">
        <v>3.7</v>
      </c>
      <c r="J54">
        <v>7.2</v>
      </c>
      <c r="K54">
        <v>0.50900000000000001</v>
      </c>
      <c r="L54">
        <v>0.6</v>
      </c>
      <c r="M54">
        <v>1.5</v>
      </c>
      <c r="N54">
        <v>0.41</v>
      </c>
      <c r="O54">
        <v>3</v>
      </c>
      <c r="P54">
        <v>5.7</v>
      </c>
      <c r="Q54">
        <v>0.53600000000000003</v>
      </c>
      <c r="R54">
        <v>0.55300000000000005</v>
      </c>
      <c r="S54">
        <v>1.4</v>
      </c>
      <c r="T54">
        <v>2</v>
      </c>
      <c r="U54">
        <v>0.73499999999999999</v>
      </c>
      <c r="V54">
        <v>1</v>
      </c>
      <c r="W54">
        <v>4.4000000000000004</v>
      </c>
      <c r="X54">
        <v>5.3</v>
      </c>
      <c r="Y54">
        <v>4.9000000000000004</v>
      </c>
      <c r="Z54">
        <v>1.1000000000000001</v>
      </c>
      <c r="AA54">
        <v>0.9</v>
      </c>
      <c r="AB54">
        <v>1.5</v>
      </c>
      <c r="AC54">
        <v>2.1</v>
      </c>
      <c r="AD54">
        <v>9.4</v>
      </c>
      <c r="AE54">
        <v>1957</v>
      </c>
      <c r="AF54">
        <v>14.8</v>
      </c>
      <c r="AG54">
        <v>0.58299999999999996</v>
      </c>
      <c r="AH54">
        <v>0.21199999999999999</v>
      </c>
      <c r="AI54">
        <v>0.27500000000000002</v>
      </c>
      <c r="AJ54">
        <v>3.8</v>
      </c>
      <c r="AK54">
        <v>16.899999999999999</v>
      </c>
      <c r="AL54">
        <v>10.5</v>
      </c>
      <c r="AM54">
        <v>22.6</v>
      </c>
      <c r="AN54">
        <v>1.9</v>
      </c>
      <c r="AO54">
        <v>2.8</v>
      </c>
      <c r="AP54">
        <v>15.7</v>
      </c>
      <c r="AQ54">
        <v>14.4</v>
      </c>
      <c r="AR54">
        <v>2.5</v>
      </c>
      <c r="AS54">
        <v>2.6</v>
      </c>
      <c r="AT54">
        <v>5.0999999999999996</v>
      </c>
      <c r="AU54">
        <v>0.125</v>
      </c>
      <c r="AV54">
        <v>0.2</v>
      </c>
      <c r="AW54">
        <v>2.2999999999999998</v>
      </c>
      <c r="AX54">
        <v>2.5</v>
      </c>
      <c r="AY54">
        <v>2.2000000000000002</v>
      </c>
      <c r="AZ54" s="8">
        <v>3.8</v>
      </c>
      <c r="BA54" s="8">
        <v>0.43277776816049401</v>
      </c>
      <c r="BB54" s="3">
        <v>0</v>
      </c>
    </row>
    <row r="55" spans="1:54" x14ac:dyDescent="0.25">
      <c r="A55" t="s">
        <v>92</v>
      </c>
      <c r="B55" s="2">
        <v>35096500</v>
      </c>
      <c r="C55" t="s">
        <v>75</v>
      </c>
      <c r="D55">
        <v>26</v>
      </c>
      <c r="E55" t="s">
        <v>93</v>
      </c>
      <c r="F55">
        <v>62</v>
      </c>
      <c r="G55">
        <v>62</v>
      </c>
      <c r="H55">
        <v>29.4</v>
      </c>
      <c r="I55">
        <v>6.5</v>
      </c>
      <c r="J55">
        <v>11.8</v>
      </c>
      <c r="K55">
        <v>0.54800000000000004</v>
      </c>
      <c r="L55">
        <v>1.5</v>
      </c>
      <c r="M55">
        <v>4</v>
      </c>
      <c r="N55">
        <v>0.373</v>
      </c>
      <c r="O55">
        <v>5</v>
      </c>
      <c r="P55">
        <v>7.8</v>
      </c>
      <c r="Q55">
        <v>0.63800000000000001</v>
      </c>
      <c r="R55">
        <v>0.61199999999999999</v>
      </c>
      <c r="S55">
        <v>3.5</v>
      </c>
      <c r="T55">
        <v>4.5</v>
      </c>
      <c r="U55">
        <v>0.78300000000000003</v>
      </c>
      <c r="V55">
        <v>1.4</v>
      </c>
      <c r="W55">
        <v>6.1</v>
      </c>
      <c r="X55">
        <v>7.5</v>
      </c>
      <c r="Y55">
        <v>1.4</v>
      </c>
      <c r="Z55">
        <v>0.6</v>
      </c>
      <c r="AA55">
        <v>2.2999999999999998</v>
      </c>
      <c r="AB55">
        <v>1.7</v>
      </c>
      <c r="AC55">
        <v>3.5</v>
      </c>
      <c r="AD55">
        <v>18</v>
      </c>
      <c r="AE55">
        <v>1825</v>
      </c>
      <c r="AF55">
        <v>20</v>
      </c>
      <c r="AG55">
        <v>0.65100000000000002</v>
      </c>
      <c r="AH55">
        <v>0.34</v>
      </c>
      <c r="AI55">
        <v>0.377</v>
      </c>
      <c r="AJ55">
        <v>5.4</v>
      </c>
      <c r="AK55">
        <v>22.9</v>
      </c>
      <c r="AL55">
        <v>14.2</v>
      </c>
      <c r="AM55">
        <v>7.5</v>
      </c>
      <c r="AN55">
        <v>0.9</v>
      </c>
      <c r="AO55">
        <v>6.6</v>
      </c>
      <c r="AP55">
        <v>10.8</v>
      </c>
      <c r="AQ55">
        <v>22</v>
      </c>
      <c r="AR55">
        <v>3.4</v>
      </c>
      <c r="AS55">
        <v>2</v>
      </c>
      <c r="AT55">
        <v>5.4</v>
      </c>
      <c r="AU55">
        <v>0.14199999999999999</v>
      </c>
      <c r="AV55">
        <v>1.4</v>
      </c>
      <c r="AW55">
        <v>0.7</v>
      </c>
      <c r="AX55">
        <v>2.1</v>
      </c>
      <c r="AY55">
        <v>1.9</v>
      </c>
      <c r="AZ55" s="8">
        <v>3.75</v>
      </c>
      <c r="BA55" s="8">
        <v>0.10684826122262904</v>
      </c>
      <c r="BB55" s="3">
        <v>0</v>
      </c>
    </row>
    <row r="56" spans="1:54" x14ac:dyDescent="0.25">
      <c r="A56" t="s">
        <v>66</v>
      </c>
      <c r="B56" s="2">
        <v>42492492</v>
      </c>
      <c r="C56" t="s">
        <v>65</v>
      </c>
      <c r="D56">
        <v>32</v>
      </c>
      <c r="E56" t="s">
        <v>55</v>
      </c>
      <c r="F56">
        <v>56</v>
      </c>
      <c r="G56">
        <v>56</v>
      </c>
      <c r="H56">
        <v>34.6</v>
      </c>
      <c r="I56">
        <v>8.1999999999999993</v>
      </c>
      <c r="J56">
        <v>17.899999999999999</v>
      </c>
      <c r="K56">
        <v>0.45700000000000002</v>
      </c>
      <c r="L56">
        <v>2.8</v>
      </c>
      <c r="M56">
        <v>7.6</v>
      </c>
      <c r="N56">
        <v>0.371</v>
      </c>
      <c r="O56">
        <v>5.4</v>
      </c>
      <c r="P56">
        <v>10.3</v>
      </c>
      <c r="Q56">
        <v>0.52100000000000002</v>
      </c>
      <c r="R56">
        <v>0.53600000000000003</v>
      </c>
      <c r="S56">
        <v>4.5999999999999996</v>
      </c>
      <c r="T56">
        <v>5.3</v>
      </c>
      <c r="U56">
        <v>0.871</v>
      </c>
      <c r="V56">
        <v>0.8</v>
      </c>
      <c r="W56">
        <v>5.3</v>
      </c>
      <c r="X56">
        <v>6.1</v>
      </c>
      <c r="Y56">
        <v>5.0999999999999996</v>
      </c>
      <c r="Z56">
        <v>1.5</v>
      </c>
      <c r="AA56">
        <v>0.4</v>
      </c>
      <c r="AB56">
        <v>3.1</v>
      </c>
      <c r="AC56">
        <v>2.8</v>
      </c>
      <c r="AD56">
        <v>23.8</v>
      </c>
      <c r="AE56">
        <v>1939</v>
      </c>
      <c r="AF56">
        <v>19.600000000000001</v>
      </c>
      <c r="AG56">
        <v>0.58799999999999997</v>
      </c>
      <c r="AH56">
        <v>0.42399999999999999</v>
      </c>
      <c r="AI56">
        <v>0.29299999999999998</v>
      </c>
      <c r="AJ56">
        <v>2.6</v>
      </c>
      <c r="AK56">
        <v>17</v>
      </c>
      <c r="AL56">
        <v>9.9</v>
      </c>
      <c r="AM56">
        <v>24.2</v>
      </c>
      <c r="AN56">
        <v>2.1</v>
      </c>
      <c r="AO56">
        <v>0.9</v>
      </c>
      <c r="AP56">
        <v>13.4</v>
      </c>
      <c r="AQ56">
        <v>29.5</v>
      </c>
      <c r="AR56">
        <v>2.2999999999999998</v>
      </c>
      <c r="AS56">
        <v>2.2999999999999998</v>
      </c>
      <c r="AT56">
        <v>4.5999999999999996</v>
      </c>
      <c r="AU56">
        <v>0.114</v>
      </c>
      <c r="AV56">
        <v>2.4</v>
      </c>
      <c r="AW56">
        <v>0.3</v>
      </c>
      <c r="AX56">
        <v>2.8</v>
      </c>
      <c r="AY56">
        <v>2.2999999999999998</v>
      </c>
      <c r="AZ56" s="8">
        <v>3.6999999999999997</v>
      </c>
      <c r="BA56" s="8">
        <v>8.7074205956195735E-2</v>
      </c>
      <c r="BB56" s="3">
        <v>0</v>
      </c>
    </row>
    <row r="57" spans="1:54" x14ac:dyDescent="0.25">
      <c r="A57" t="s">
        <v>167</v>
      </c>
      <c r="B57" s="2">
        <v>15000000</v>
      </c>
      <c r="C57" t="s">
        <v>52</v>
      </c>
      <c r="D57">
        <v>26</v>
      </c>
      <c r="E57" t="s">
        <v>150</v>
      </c>
      <c r="F57">
        <v>80</v>
      </c>
      <c r="G57">
        <v>22</v>
      </c>
      <c r="H57">
        <v>24.3</v>
      </c>
      <c r="I57">
        <v>3.9</v>
      </c>
      <c r="J57">
        <v>8.9</v>
      </c>
      <c r="K57">
        <v>0.438</v>
      </c>
      <c r="L57">
        <v>1.5</v>
      </c>
      <c r="M57">
        <v>4.0999999999999996</v>
      </c>
      <c r="N57">
        <v>0.371</v>
      </c>
      <c r="O57">
        <v>2.4</v>
      </c>
      <c r="P57">
        <v>4.8</v>
      </c>
      <c r="Q57">
        <v>0.495</v>
      </c>
      <c r="R57">
        <v>0.52300000000000002</v>
      </c>
      <c r="S57">
        <v>1</v>
      </c>
      <c r="T57">
        <v>1.3</v>
      </c>
      <c r="U57">
        <v>0.8</v>
      </c>
      <c r="V57">
        <v>0.4</v>
      </c>
      <c r="W57">
        <v>2.2000000000000002</v>
      </c>
      <c r="X57">
        <v>2.5</v>
      </c>
      <c r="Y57">
        <v>5.2</v>
      </c>
      <c r="Z57">
        <v>1</v>
      </c>
      <c r="AA57">
        <v>0.1</v>
      </c>
      <c r="AB57">
        <v>0.9</v>
      </c>
      <c r="AC57">
        <v>0.4</v>
      </c>
      <c r="AD57">
        <v>10.3</v>
      </c>
      <c r="AE57">
        <v>1940</v>
      </c>
      <c r="AF57">
        <v>16</v>
      </c>
      <c r="AG57">
        <v>0.54600000000000004</v>
      </c>
      <c r="AH57">
        <v>0.45900000000000002</v>
      </c>
      <c r="AI57">
        <v>0.14099999999999999</v>
      </c>
      <c r="AJ57">
        <v>1.5</v>
      </c>
      <c r="AK57">
        <v>9.4</v>
      </c>
      <c r="AL57">
        <v>5.5</v>
      </c>
      <c r="AM57">
        <v>28.8</v>
      </c>
      <c r="AN57">
        <v>2</v>
      </c>
      <c r="AO57">
        <v>0.3</v>
      </c>
      <c r="AP57">
        <v>8.9</v>
      </c>
      <c r="AQ57">
        <v>17.7</v>
      </c>
      <c r="AR57">
        <v>3.4</v>
      </c>
      <c r="AS57">
        <v>2.2999999999999998</v>
      </c>
      <c r="AT57">
        <v>5.7</v>
      </c>
      <c r="AU57">
        <v>0.14099999999999999</v>
      </c>
      <c r="AV57">
        <v>1.2</v>
      </c>
      <c r="AW57">
        <v>0.3</v>
      </c>
      <c r="AX57">
        <v>1.6</v>
      </c>
      <c r="AY57">
        <v>1.7</v>
      </c>
      <c r="AZ57" s="8">
        <v>3.6500000000000004</v>
      </c>
      <c r="BA57" s="8">
        <v>0.24333333333333337</v>
      </c>
      <c r="BB57" s="3">
        <v>0</v>
      </c>
    </row>
    <row r="58" spans="1:54" x14ac:dyDescent="0.25">
      <c r="A58" t="s">
        <v>110</v>
      </c>
      <c r="B58" s="2">
        <v>30913750</v>
      </c>
      <c r="C58" t="s">
        <v>75</v>
      </c>
      <c r="D58">
        <v>24</v>
      </c>
      <c r="E58" t="s">
        <v>60</v>
      </c>
      <c r="F58">
        <v>67</v>
      </c>
      <c r="G58">
        <v>67</v>
      </c>
      <c r="H58">
        <v>30.4</v>
      </c>
      <c r="I58">
        <v>7.8</v>
      </c>
      <c r="J58">
        <v>13.2</v>
      </c>
      <c r="K58">
        <v>0.58899999999999997</v>
      </c>
      <c r="L58">
        <v>0.1</v>
      </c>
      <c r="M58">
        <v>0.4</v>
      </c>
      <c r="N58">
        <v>0.29199999999999998</v>
      </c>
      <c r="O58">
        <v>7.7</v>
      </c>
      <c r="P58">
        <v>12.9</v>
      </c>
      <c r="Q58">
        <v>0.59699999999999998</v>
      </c>
      <c r="R58">
        <v>0.59199999999999997</v>
      </c>
      <c r="S58">
        <v>2.2999999999999998</v>
      </c>
      <c r="T58">
        <v>3</v>
      </c>
      <c r="U58">
        <v>0.76</v>
      </c>
      <c r="V58">
        <v>2.6</v>
      </c>
      <c r="W58">
        <v>7.4</v>
      </c>
      <c r="X58">
        <v>10</v>
      </c>
      <c r="Y58">
        <v>1.7</v>
      </c>
      <c r="Z58">
        <v>0.6</v>
      </c>
      <c r="AA58">
        <v>0.8</v>
      </c>
      <c r="AB58">
        <v>1.8</v>
      </c>
      <c r="AC58">
        <v>2.8</v>
      </c>
      <c r="AD58">
        <v>18</v>
      </c>
      <c r="AE58">
        <v>2035</v>
      </c>
      <c r="AF58">
        <v>19.899999999999999</v>
      </c>
      <c r="AG58">
        <v>0.61699999999999999</v>
      </c>
      <c r="AH58">
        <v>2.7E-2</v>
      </c>
      <c r="AI58">
        <v>0.22500000000000001</v>
      </c>
      <c r="AJ58">
        <v>9.1999999999999993</v>
      </c>
      <c r="AK58">
        <v>27.5</v>
      </c>
      <c r="AL58">
        <v>18.100000000000001</v>
      </c>
      <c r="AM58">
        <v>9.1999999999999993</v>
      </c>
      <c r="AN58">
        <v>0.9</v>
      </c>
      <c r="AO58">
        <v>2.2999999999999998</v>
      </c>
      <c r="AP58">
        <v>11</v>
      </c>
      <c r="AQ58">
        <v>22.9</v>
      </c>
      <c r="AR58">
        <v>3.3</v>
      </c>
      <c r="AS58">
        <v>3</v>
      </c>
      <c r="AT58">
        <v>6.2</v>
      </c>
      <c r="AU58">
        <v>0.14699999999999999</v>
      </c>
      <c r="AV58">
        <v>0.9</v>
      </c>
      <c r="AW58">
        <v>0</v>
      </c>
      <c r="AX58">
        <v>0.9</v>
      </c>
      <c r="AY58">
        <v>1.5</v>
      </c>
      <c r="AZ58" s="8">
        <v>3.5500000000000003</v>
      </c>
      <c r="BA58" s="8">
        <v>0.11483563139379728</v>
      </c>
      <c r="BB58" s="3">
        <v>0</v>
      </c>
    </row>
    <row r="59" spans="1:54" x14ac:dyDescent="0.25">
      <c r="A59" t="s">
        <v>417</v>
      </c>
      <c r="B59" s="2">
        <v>1930681</v>
      </c>
      <c r="C59" t="s">
        <v>75</v>
      </c>
      <c r="D59">
        <v>24</v>
      </c>
      <c r="E59" t="s">
        <v>63</v>
      </c>
      <c r="F59">
        <v>78</v>
      </c>
      <c r="G59">
        <v>47</v>
      </c>
      <c r="H59">
        <v>20.6</v>
      </c>
      <c r="I59">
        <v>3.7</v>
      </c>
      <c r="J59">
        <v>5.0999999999999996</v>
      </c>
      <c r="K59">
        <v>0.73199999999999998</v>
      </c>
      <c r="L59">
        <v>0</v>
      </c>
      <c r="M59">
        <v>0</v>
      </c>
      <c r="O59">
        <v>3.7</v>
      </c>
      <c r="P59">
        <v>5.0999999999999996</v>
      </c>
      <c r="Q59">
        <v>0.73199999999999998</v>
      </c>
      <c r="R59">
        <v>0.73199999999999998</v>
      </c>
      <c r="S59">
        <v>1.6</v>
      </c>
      <c r="T59">
        <v>2.4</v>
      </c>
      <c r="U59">
        <v>0.67900000000000005</v>
      </c>
      <c r="V59">
        <v>2.1</v>
      </c>
      <c r="W59">
        <v>3.5</v>
      </c>
      <c r="X59">
        <v>5.6</v>
      </c>
      <c r="Y59">
        <v>1.1000000000000001</v>
      </c>
      <c r="Z59">
        <v>0.4</v>
      </c>
      <c r="AA59">
        <v>1.3</v>
      </c>
      <c r="AB59">
        <v>1.1000000000000001</v>
      </c>
      <c r="AC59">
        <v>2.4</v>
      </c>
      <c r="AD59">
        <v>9</v>
      </c>
      <c r="AE59">
        <v>1604</v>
      </c>
      <c r="AF59">
        <v>19.7</v>
      </c>
      <c r="AG59">
        <v>0.73899999999999999</v>
      </c>
      <c r="AH59">
        <v>0</v>
      </c>
      <c r="AI59">
        <v>0.47299999999999998</v>
      </c>
      <c r="AJ59">
        <v>11.7</v>
      </c>
      <c r="AK59">
        <v>18</v>
      </c>
      <c r="AL59">
        <v>15</v>
      </c>
      <c r="AM59">
        <v>7.5</v>
      </c>
      <c r="AN59">
        <v>1</v>
      </c>
      <c r="AO59">
        <v>5.2</v>
      </c>
      <c r="AP59">
        <v>15.1</v>
      </c>
      <c r="AQ59">
        <v>15.2</v>
      </c>
      <c r="AR59">
        <v>4.2</v>
      </c>
      <c r="AS59">
        <v>1.9</v>
      </c>
      <c r="AT59">
        <v>6.1</v>
      </c>
      <c r="AU59">
        <v>0.184</v>
      </c>
      <c r="AV59">
        <v>0.4</v>
      </c>
      <c r="AW59">
        <v>0.6</v>
      </c>
      <c r="AX59">
        <v>1</v>
      </c>
      <c r="AY59">
        <v>1.2</v>
      </c>
      <c r="AZ59" s="8">
        <v>3.55</v>
      </c>
      <c r="BA59" s="8">
        <v>1.8387294431343137</v>
      </c>
      <c r="BB59" s="3">
        <v>0</v>
      </c>
    </row>
    <row r="60" spans="1:54" x14ac:dyDescent="0.25">
      <c r="A60" t="s">
        <v>237</v>
      </c>
      <c r="B60" s="2">
        <v>7804878</v>
      </c>
      <c r="C60" t="s">
        <v>52</v>
      </c>
      <c r="D60">
        <v>30</v>
      </c>
      <c r="E60" t="s">
        <v>63</v>
      </c>
      <c r="F60">
        <v>50</v>
      </c>
      <c r="G60">
        <v>14</v>
      </c>
      <c r="H60">
        <v>24.4</v>
      </c>
      <c r="I60">
        <v>2.8</v>
      </c>
      <c r="J60">
        <v>5.8</v>
      </c>
      <c r="K60">
        <v>0.47399999999999998</v>
      </c>
      <c r="L60">
        <v>0.8</v>
      </c>
      <c r="M60">
        <v>2.4</v>
      </c>
      <c r="N60">
        <v>0.34499999999999997</v>
      </c>
      <c r="O60">
        <v>1.9</v>
      </c>
      <c r="P60">
        <v>3.4</v>
      </c>
      <c r="Q60">
        <v>0.56399999999999995</v>
      </c>
      <c r="R60">
        <v>0.54500000000000004</v>
      </c>
      <c r="S60">
        <v>1</v>
      </c>
      <c r="T60">
        <v>1.2</v>
      </c>
      <c r="U60">
        <v>0.86699999999999999</v>
      </c>
      <c r="V60">
        <v>1.2</v>
      </c>
      <c r="W60">
        <v>2.4</v>
      </c>
      <c r="X60">
        <v>3.6</v>
      </c>
      <c r="Y60">
        <v>3.9</v>
      </c>
      <c r="Z60">
        <v>1.8</v>
      </c>
      <c r="AA60">
        <v>0.3</v>
      </c>
      <c r="AB60">
        <v>0.9</v>
      </c>
      <c r="AC60">
        <v>1.2</v>
      </c>
      <c r="AD60">
        <v>7.4</v>
      </c>
      <c r="AE60">
        <v>1221</v>
      </c>
      <c r="AF60">
        <v>16.3</v>
      </c>
      <c r="AG60">
        <v>0.58099999999999996</v>
      </c>
      <c r="AH60">
        <v>0.40899999999999997</v>
      </c>
      <c r="AI60">
        <v>0.20599999999999999</v>
      </c>
      <c r="AJ60">
        <v>5.5</v>
      </c>
      <c r="AK60">
        <v>10.7</v>
      </c>
      <c r="AL60">
        <v>8.1999999999999993</v>
      </c>
      <c r="AM60">
        <v>20.9</v>
      </c>
      <c r="AN60">
        <v>3.7</v>
      </c>
      <c r="AO60">
        <v>1.2</v>
      </c>
      <c r="AP60">
        <v>12.2</v>
      </c>
      <c r="AQ60">
        <v>12.9</v>
      </c>
      <c r="AR60">
        <v>2.1</v>
      </c>
      <c r="AS60">
        <v>1.6</v>
      </c>
      <c r="AT60">
        <v>3.7</v>
      </c>
      <c r="AU60">
        <v>0.14599999999999999</v>
      </c>
      <c r="AV60">
        <v>0.4</v>
      </c>
      <c r="AW60">
        <v>3.1</v>
      </c>
      <c r="AX60">
        <v>3.4</v>
      </c>
      <c r="AY60">
        <v>1.7</v>
      </c>
      <c r="AZ60" s="8">
        <v>3.55</v>
      </c>
      <c r="BA60" s="8">
        <v>0.45484375284277345</v>
      </c>
      <c r="BB60" s="3">
        <v>0</v>
      </c>
    </row>
    <row r="61" spans="1:54" x14ac:dyDescent="0.25">
      <c r="A61" t="s">
        <v>297</v>
      </c>
      <c r="B61" s="2">
        <v>4343919</v>
      </c>
      <c r="C61" t="s">
        <v>28</v>
      </c>
      <c r="D61">
        <v>26</v>
      </c>
      <c r="E61" t="s">
        <v>150</v>
      </c>
      <c r="F61">
        <v>56</v>
      </c>
      <c r="G61">
        <v>8</v>
      </c>
      <c r="H61">
        <v>19.5</v>
      </c>
      <c r="I61">
        <v>4.0999999999999996</v>
      </c>
      <c r="J61">
        <v>6.2</v>
      </c>
      <c r="K61">
        <v>0.65600000000000003</v>
      </c>
      <c r="L61">
        <v>0</v>
      </c>
      <c r="M61">
        <v>0.1</v>
      </c>
      <c r="N61">
        <v>0.16700000000000001</v>
      </c>
      <c r="O61">
        <v>4.0999999999999996</v>
      </c>
      <c r="P61">
        <v>6.1</v>
      </c>
      <c r="Q61">
        <v>0.66500000000000004</v>
      </c>
      <c r="R61">
        <v>0.65800000000000003</v>
      </c>
      <c r="S61">
        <v>1.8</v>
      </c>
      <c r="T61">
        <v>2.4</v>
      </c>
      <c r="U61">
        <v>0.72299999999999998</v>
      </c>
      <c r="V61">
        <v>1.6</v>
      </c>
      <c r="W61">
        <v>3.9</v>
      </c>
      <c r="X61">
        <v>5.5</v>
      </c>
      <c r="Y61">
        <v>1.3</v>
      </c>
      <c r="Z61">
        <v>0.6</v>
      </c>
      <c r="AA61">
        <v>0.7</v>
      </c>
      <c r="AB61">
        <v>1</v>
      </c>
      <c r="AC61">
        <v>2.2999999999999998</v>
      </c>
      <c r="AD61">
        <v>10</v>
      </c>
      <c r="AE61">
        <v>1090</v>
      </c>
      <c r="AF61">
        <v>20</v>
      </c>
      <c r="AG61">
        <v>0.68200000000000005</v>
      </c>
      <c r="AH61">
        <v>1.7000000000000001E-2</v>
      </c>
      <c r="AI61">
        <v>0.39300000000000002</v>
      </c>
      <c r="AJ61">
        <v>9</v>
      </c>
      <c r="AK61">
        <v>21.2</v>
      </c>
      <c r="AL61">
        <v>15.1</v>
      </c>
      <c r="AM61">
        <v>9.5</v>
      </c>
      <c r="AN61">
        <v>1.5</v>
      </c>
      <c r="AO61">
        <v>3.1</v>
      </c>
      <c r="AP61">
        <v>11.8</v>
      </c>
      <c r="AQ61">
        <v>17.7</v>
      </c>
      <c r="AR61">
        <v>2.7</v>
      </c>
      <c r="AS61">
        <v>1.8</v>
      </c>
      <c r="AT61">
        <v>4.5</v>
      </c>
      <c r="AU61">
        <v>0.19900000000000001</v>
      </c>
      <c r="AV61">
        <v>0.8</v>
      </c>
      <c r="AW61">
        <v>1.8</v>
      </c>
      <c r="AX61">
        <v>2.5</v>
      </c>
      <c r="AY61">
        <v>1.3</v>
      </c>
      <c r="AZ61" s="8">
        <v>3.5</v>
      </c>
      <c r="BA61" s="8">
        <v>0.80572404780107543</v>
      </c>
      <c r="BB61" s="3">
        <v>0</v>
      </c>
    </row>
    <row r="62" spans="1:54" x14ac:dyDescent="0.25">
      <c r="A62" t="s">
        <v>143</v>
      </c>
      <c r="B62" s="2">
        <v>19500000</v>
      </c>
      <c r="C62" t="s">
        <v>52</v>
      </c>
      <c r="D62">
        <v>29</v>
      </c>
      <c r="E62" t="s">
        <v>73</v>
      </c>
      <c r="F62">
        <v>79</v>
      </c>
      <c r="G62">
        <v>79</v>
      </c>
      <c r="H62">
        <v>34.5</v>
      </c>
      <c r="I62">
        <v>5.8</v>
      </c>
      <c r="J62">
        <v>13.3</v>
      </c>
      <c r="K62">
        <v>0.438</v>
      </c>
      <c r="L62">
        <v>2.2999999999999998</v>
      </c>
      <c r="M62">
        <v>6.2</v>
      </c>
      <c r="N62">
        <v>0.36899999999999999</v>
      </c>
      <c r="O62">
        <v>3.5</v>
      </c>
      <c r="P62">
        <v>7.1</v>
      </c>
      <c r="Q62">
        <v>0.498</v>
      </c>
      <c r="R62">
        <v>0.52400000000000002</v>
      </c>
      <c r="S62">
        <v>3.4</v>
      </c>
      <c r="T62">
        <v>4.2</v>
      </c>
      <c r="U62">
        <v>0.81200000000000006</v>
      </c>
      <c r="V62">
        <v>0.4</v>
      </c>
      <c r="W62">
        <v>3.1</v>
      </c>
      <c r="X62">
        <v>3.4</v>
      </c>
      <c r="Y62">
        <v>6.5</v>
      </c>
      <c r="Z62">
        <v>0.8</v>
      </c>
      <c r="AA62">
        <v>0.3</v>
      </c>
      <c r="AB62">
        <v>1.8</v>
      </c>
      <c r="AC62">
        <v>2.4</v>
      </c>
      <c r="AD62">
        <v>17.3</v>
      </c>
      <c r="AE62">
        <v>2725</v>
      </c>
      <c r="AF62">
        <v>16</v>
      </c>
      <c r="AG62">
        <v>0.57299999999999995</v>
      </c>
      <c r="AH62">
        <v>0.46700000000000003</v>
      </c>
      <c r="AI62">
        <v>0.314</v>
      </c>
      <c r="AJ62">
        <v>1.2</v>
      </c>
      <c r="AK62">
        <v>10.199999999999999</v>
      </c>
      <c r="AL62">
        <v>5.7</v>
      </c>
      <c r="AM62">
        <v>28.1</v>
      </c>
      <c r="AN62">
        <v>1.2</v>
      </c>
      <c r="AO62">
        <v>0.8</v>
      </c>
      <c r="AP62">
        <v>10.8</v>
      </c>
      <c r="AQ62">
        <v>22.1</v>
      </c>
      <c r="AR62">
        <v>4.5</v>
      </c>
      <c r="AS62">
        <v>1.8</v>
      </c>
      <c r="AT62">
        <v>6.3</v>
      </c>
      <c r="AU62">
        <v>0.111</v>
      </c>
      <c r="AV62">
        <v>1.6</v>
      </c>
      <c r="AW62">
        <v>-0.9</v>
      </c>
      <c r="AX62">
        <v>0.7</v>
      </c>
      <c r="AY62">
        <v>1.8</v>
      </c>
      <c r="AZ62" s="8">
        <v>3.5</v>
      </c>
      <c r="BA62" s="8">
        <v>0.17948717948717949</v>
      </c>
      <c r="BB62" s="3">
        <v>0</v>
      </c>
    </row>
    <row r="63" spans="1:54" x14ac:dyDescent="0.25">
      <c r="A63" t="s">
        <v>181</v>
      </c>
      <c r="B63" s="2">
        <v>12960000</v>
      </c>
      <c r="C63" t="s">
        <v>65</v>
      </c>
      <c r="D63">
        <v>27</v>
      </c>
      <c r="E63" t="s">
        <v>70</v>
      </c>
      <c r="F63">
        <v>76</v>
      </c>
      <c r="G63">
        <v>52</v>
      </c>
      <c r="H63">
        <v>32.299999999999997</v>
      </c>
      <c r="I63">
        <v>3.6</v>
      </c>
      <c r="J63">
        <v>6.8</v>
      </c>
      <c r="K63">
        <v>0.52900000000000003</v>
      </c>
      <c r="L63">
        <v>0.8</v>
      </c>
      <c r="M63">
        <v>2.2000000000000002</v>
      </c>
      <c r="N63">
        <v>0.372</v>
      </c>
      <c r="O63">
        <v>2.8</v>
      </c>
      <c r="P63">
        <v>4.7</v>
      </c>
      <c r="Q63">
        <v>0.60099999999999998</v>
      </c>
      <c r="R63">
        <v>0.58799999999999997</v>
      </c>
      <c r="S63">
        <v>1.7</v>
      </c>
      <c r="T63">
        <v>2.2999999999999998</v>
      </c>
      <c r="U63">
        <v>0.75</v>
      </c>
      <c r="V63">
        <v>1.9</v>
      </c>
      <c r="W63">
        <v>5.9</v>
      </c>
      <c r="X63">
        <v>7.8</v>
      </c>
      <c r="Y63">
        <v>3.8</v>
      </c>
      <c r="Z63">
        <v>1.2</v>
      </c>
      <c r="AA63">
        <v>0.3</v>
      </c>
      <c r="AB63">
        <v>1.5</v>
      </c>
      <c r="AC63">
        <v>2.6</v>
      </c>
      <c r="AD63">
        <v>9.8000000000000007</v>
      </c>
      <c r="AE63">
        <v>2454</v>
      </c>
      <c r="AF63">
        <v>14.1</v>
      </c>
      <c r="AG63">
        <v>0.622</v>
      </c>
      <c r="AH63">
        <v>0.315</v>
      </c>
      <c r="AI63">
        <v>0.33800000000000002</v>
      </c>
      <c r="AJ63">
        <v>6.5</v>
      </c>
      <c r="AK63">
        <v>21</v>
      </c>
      <c r="AL63">
        <v>13.7</v>
      </c>
      <c r="AM63">
        <v>16.100000000000001</v>
      </c>
      <c r="AN63">
        <v>1.8</v>
      </c>
      <c r="AO63">
        <v>0.8</v>
      </c>
      <c r="AP63">
        <v>16.399999999999999</v>
      </c>
      <c r="AQ63">
        <v>12.6</v>
      </c>
      <c r="AR63">
        <v>3.8</v>
      </c>
      <c r="AS63">
        <v>2.2000000000000002</v>
      </c>
      <c r="AT63">
        <v>6</v>
      </c>
      <c r="AU63">
        <v>0.11799999999999999</v>
      </c>
      <c r="AV63">
        <v>-0.2</v>
      </c>
      <c r="AW63">
        <v>1.1000000000000001</v>
      </c>
      <c r="AX63">
        <v>0.9</v>
      </c>
      <c r="AY63">
        <v>1.8</v>
      </c>
      <c r="AZ63" s="8">
        <v>3.45</v>
      </c>
      <c r="BA63" s="8">
        <v>0.26620370370370372</v>
      </c>
      <c r="BB63" s="3">
        <v>0</v>
      </c>
    </row>
    <row r="64" spans="1:54" x14ac:dyDescent="0.25">
      <c r="A64" t="s">
        <v>81</v>
      </c>
      <c r="B64" s="2">
        <v>37633050</v>
      </c>
      <c r="C64" t="s">
        <v>65</v>
      </c>
      <c r="D64">
        <v>30</v>
      </c>
      <c r="E64" t="s">
        <v>82</v>
      </c>
      <c r="F64">
        <v>74</v>
      </c>
      <c r="G64">
        <v>74</v>
      </c>
      <c r="H64">
        <v>32.9</v>
      </c>
      <c r="I64">
        <v>5.7</v>
      </c>
      <c r="J64">
        <v>11.4</v>
      </c>
      <c r="K64">
        <v>0.501</v>
      </c>
      <c r="L64">
        <v>1.7</v>
      </c>
      <c r="M64">
        <v>4.4000000000000004</v>
      </c>
      <c r="N64">
        <v>0.38900000000000001</v>
      </c>
      <c r="O64">
        <v>4</v>
      </c>
      <c r="P64">
        <v>7</v>
      </c>
      <c r="Q64">
        <v>0.56999999999999995</v>
      </c>
      <c r="R64">
        <v>0.57499999999999996</v>
      </c>
      <c r="S64">
        <v>1.5</v>
      </c>
      <c r="T64">
        <v>1.7</v>
      </c>
      <c r="U64">
        <v>0.876</v>
      </c>
      <c r="V64">
        <v>0.9</v>
      </c>
      <c r="W64">
        <v>4.8</v>
      </c>
      <c r="X64">
        <v>5.7</v>
      </c>
      <c r="Y64">
        <v>2.5</v>
      </c>
      <c r="Z64">
        <v>0.9</v>
      </c>
      <c r="AA64">
        <v>0.5</v>
      </c>
      <c r="AB64">
        <v>1.2</v>
      </c>
      <c r="AC64">
        <v>2</v>
      </c>
      <c r="AD64">
        <v>14.7</v>
      </c>
      <c r="AE64">
        <v>2436</v>
      </c>
      <c r="AF64">
        <v>14.8</v>
      </c>
      <c r="AG64">
        <v>0.60199999999999998</v>
      </c>
      <c r="AH64">
        <v>0.38300000000000001</v>
      </c>
      <c r="AI64">
        <v>0.153</v>
      </c>
      <c r="AJ64">
        <v>3.3</v>
      </c>
      <c r="AK64">
        <v>17</v>
      </c>
      <c r="AL64">
        <v>10.3</v>
      </c>
      <c r="AM64">
        <v>11.4</v>
      </c>
      <c r="AN64">
        <v>1.4</v>
      </c>
      <c r="AO64">
        <v>1.5</v>
      </c>
      <c r="AP64">
        <v>9</v>
      </c>
      <c r="AQ64">
        <v>18.2</v>
      </c>
      <c r="AR64">
        <v>3.1</v>
      </c>
      <c r="AS64">
        <v>2.8</v>
      </c>
      <c r="AT64">
        <v>5.9</v>
      </c>
      <c r="AU64">
        <v>0.11600000000000001</v>
      </c>
      <c r="AV64">
        <v>0.6</v>
      </c>
      <c r="AW64">
        <v>0.1</v>
      </c>
      <c r="AX64">
        <v>0.7</v>
      </c>
      <c r="AY64">
        <v>1.7</v>
      </c>
      <c r="AZ64" s="8">
        <v>3.3000000000000003</v>
      </c>
      <c r="BA64" s="8">
        <v>8.7688879854277035E-2</v>
      </c>
      <c r="BB64" s="3">
        <v>0</v>
      </c>
    </row>
    <row r="65" spans="1:54" x14ac:dyDescent="0.25">
      <c r="A65" t="s">
        <v>105</v>
      </c>
      <c r="B65" s="2">
        <v>31377750</v>
      </c>
      <c r="C65" t="s">
        <v>52</v>
      </c>
      <c r="D65">
        <v>26</v>
      </c>
      <c r="E65" t="s">
        <v>76</v>
      </c>
      <c r="F65">
        <v>71</v>
      </c>
      <c r="G65">
        <v>71</v>
      </c>
      <c r="H65">
        <v>32.5</v>
      </c>
      <c r="I65">
        <v>6.3</v>
      </c>
      <c r="J65">
        <v>13.4</v>
      </c>
      <c r="K65">
        <v>0.46899999999999997</v>
      </c>
      <c r="L65">
        <v>2.7</v>
      </c>
      <c r="M65">
        <v>6.9</v>
      </c>
      <c r="N65">
        <v>0.39600000000000002</v>
      </c>
      <c r="O65">
        <v>3.5</v>
      </c>
      <c r="P65">
        <v>6.5</v>
      </c>
      <c r="Q65">
        <v>0.54800000000000004</v>
      </c>
      <c r="R65">
        <v>0.57199999999999995</v>
      </c>
      <c r="S65">
        <v>2.5</v>
      </c>
      <c r="T65">
        <v>3</v>
      </c>
      <c r="U65">
        <v>0.82899999999999996</v>
      </c>
      <c r="V65">
        <v>0.5</v>
      </c>
      <c r="W65">
        <v>2.5</v>
      </c>
      <c r="X65">
        <v>3</v>
      </c>
      <c r="Y65">
        <v>6.2</v>
      </c>
      <c r="Z65">
        <v>1</v>
      </c>
      <c r="AA65">
        <v>0.4</v>
      </c>
      <c r="AB65">
        <v>2.6</v>
      </c>
      <c r="AC65">
        <v>2</v>
      </c>
      <c r="AD65">
        <v>17.8</v>
      </c>
      <c r="AE65">
        <v>2304</v>
      </c>
      <c r="AF65">
        <v>16.3</v>
      </c>
      <c r="AG65">
        <v>0.60499999999999998</v>
      </c>
      <c r="AH65">
        <v>0.51700000000000002</v>
      </c>
      <c r="AI65">
        <v>0.22800000000000001</v>
      </c>
      <c r="AJ65">
        <v>1.7</v>
      </c>
      <c r="AK65">
        <v>8.5</v>
      </c>
      <c r="AL65">
        <v>5.2</v>
      </c>
      <c r="AM65">
        <v>27.4</v>
      </c>
      <c r="AN65">
        <v>1.4</v>
      </c>
      <c r="AO65">
        <v>1.1000000000000001</v>
      </c>
      <c r="AP65">
        <v>15.1</v>
      </c>
      <c r="AQ65">
        <v>22.7</v>
      </c>
      <c r="AR65">
        <v>3.1</v>
      </c>
      <c r="AS65">
        <v>1.9</v>
      </c>
      <c r="AT65">
        <v>5.0999999999999996</v>
      </c>
      <c r="AU65">
        <v>0.106</v>
      </c>
      <c r="AV65">
        <v>2.1</v>
      </c>
      <c r="AW65">
        <v>-0.7</v>
      </c>
      <c r="AX65">
        <v>1.5</v>
      </c>
      <c r="AY65">
        <v>2</v>
      </c>
      <c r="AZ65" s="8">
        <v>3.3</v>
      </c>
      <c r="BA65" s="8">
        <v>0.10517006477519898</v>
      </c>
      <c r="BB65" s="3">
        <v>0</v>
      </c>
    </row>
    <row r="66" spans="1:54" x14ac:dyDescent="0.25">
      <c r="A66" t="s">
        <v>170</v>
      </c>
      <c r="B66" s="2">
        <v>14317459</v>
      </c>
      <c r="C66" t="s">
        <v>75</v>
      </c>
      <c r="D66">
        <v>27</v>
      </c>
      <c r="E66" t="s">
        <v>73</v>
      </c>
      <c r="F66">
        <v>67</v>
      </c>
      <c r="G66">
        <v>17</v>
      </c>
      <c r="H66">
        <v>25.9</v>
      </c>
      <c r="I66">
        <v>5.9</v>
      </c>
      <c r="J66">
        <v>11.5</v>
      </c>
      <c r="K66">
        <v>0.51500000000000001</v>
      </c>
      <c r="L66">
        <v>1.6</v>
      </c>
      <c r="M66">
        <v>4.2</v>
      </c>
      <c r="N66">
        <v>0.376</v>
      </c>
      <c r="O66">
        <v>4.3</v>
      </c>
      <c r="P66">
        <v>7.3</v>
      </c>
      <c r="Q66">
        <v>0.59399999999999997</v>
      </c>
      <c r="R66">
        <v>0.58299999999999996</v>
      </c>
      <c r="S66">
        <v>3.2</v>
      </c>
      <c r="T66">
        <v>4.2</v>
      </c>
      <c r="U66">
        <v>0.77200000000000002</v>
      </c>
      <c r="V66">
        <v>1.3</v>
      </c>
      <c r="W66">
        <v>6</v>
      </c>
      <c r="X66">
        <v>7.3</v>
      </c>
      <c r="Y66">
        <v>1.8</v>
      </c>
      <c r="Z66">
        <v>0.4</v>
      </c>
      <c r="AA66">
        <v>1.1000000000000001</v>
      </c>
      <c r="AB66">
        <v>1.8</v>
      </c>
      <c r="AC66">
        <v>2.5</v>
      </c>
      <c r="AD66">
        <v>16.600000000000001</v>
      </c>
      <c r="AE66">
        <v>1738</v>
      </c>
      <c r="AF66">
        <v>20.6</v>
      </c>
      <c r="AG66">
        <v>0.624</v>
      </c>
      <c r="AH66">
        <v>0.36299999999999999</v>
      </c>
      <c r="AI66">
        <v>0.36499999999999999</v>
      </c>
      <c r="AJ66">
        <v>5.8</v>
      </c>
      <c r="AK66">
        <v>27.4</v>
      </c>
      <c r="AL66">
        <v>16.399999999999999</v>
      </c>
      <c r="AM66">
        <v>11.7</v>
      </c>
      <c r="AN66">
        <v>0.9</v>
      </c>
      <c r="AO66">
        <v>3.7</v>
      </c>
      <c r="AP66">
        <v>11.9</v>
      </c>
      <c r="AQ66">
        <v>26.4</v>
      </c>
      <c r="AR66">
        <v>2.7</v>
      </c>
      <c r="AS66">
        <v>2.1</v>
      </c>
      <c r="AT66">
        <v>4.8</v>
      </c>
      <c r="AU66">
        <v>0.13200000000000001</v>
      </c>
      <c r="AV66">
        <v>1.9</v>
      </c>
      <c r="AW66">
        <v>-0.3</v>
      </c>
      <c r="AX66">
        <v>1.7</v>
      </c>
      <c r="AY66">
        <v>1.6</v>
      </c>
      <c r="AZ66" s="8">
        <v>3.25</v>
      </c>
      <c r="BA66" s="8">
        <v>0.22699558629782002</v>
      </c>
      <c r="BB66" s="3">
        <v>0</v>
      </c>
    </row>
    <row r="67" spans="1:54" x14ac:dyDescent="0.25">
      <c r="A67" t="s">
        <v>129</v>
      </c>
      <c r="B67" s="2">
        <v>22680000</v>
      </c>
      <c r="C67" t="s">
        <v>52</v>
      </c>
      <c r="D67">
        <v>35</v>
      </c>
      <c r="E67" t="s">
        <v>130</v>
      </c>
      <c r="F67">
        <v>67</v>
      </c>
      <c r="G67">
        <v>66</v>
      </c>
      <c r="H67">
        <v>30.3</v>
      </c>
      <c r="I67">
        <v>3.9</v>
      </c>
      <c r="J67">
        <v>9.1</v>
      </c>
      <c r="K67">
        <v>0.42799999999999999</v>
      </c>
      <c r="L67">
        <v>2</v>
      </c>
      <c r="M67">
        <v>5.2</v>
      </c>
      <c r="N67">
        <v>0.38500000000000001</v>
      </c>
      <c r="O67">
        <v>1.9</v>
      </c>
      <c r="P67">
        <v>3.9</v>
      </c>
      <c r="Q67">
        <v>0.48599999999999999</v>
      </c>
      <c r="R67">
        <v>0.53900000000000003</v>
      </c>
      <c r="S67">
        <v>2.1</v>
      </c>
      <c r="T67">
        <v>2.5</v>
      </c>
      <c r="U67">
        <v>0.83399999999999996</v>
      </c>
      <c r="V67">
        <v>0.5</v>
      </c>
      <c r="W67">
        <v>2.2000000000000002</v>
      </c>
      <c r="X67">
        <v>2.7</v>
      </c>
      <c r="Y67">
        <v>6.7</v>
      </c>
      <c r="Z67">
        <v>1.1000000000000001</v>
      </c>
      <c r="AA67">
        <v>0.2</v>
      </c>
      <c r="AB67">
        <v>1.5</v>
      </c>
      <c r="AC67">
        <v>2.1</v>
      </c>
      <c r="AD67">
        <v>11.9</v>
      </c>
      <c r="AE67">
        <v>2029</v>
      </c>
      <c r="AF67">
        <v>14.7</v>
      </c>
      <c r="AG67">
        <v>0.58299999999999996</v>
      </c>
      <c r="AH67">
        <v>0.57499999999999996</v>
      </c>
      <c r="AI67">
        <v>0.27700000000000002</v>
      </c>
      <c r="AJ67">
        <v>1.8</v>
      </c>
      <c r="AK67">
        <v>7.9</v>
      </c>
      <c r="AL67">
        <v>4.9000000000000004</v>
      </c>
      <c r="AM67">
        <v>29.4</v>
      </c>
      <c r="AN67">
        <v>1.7</v>
      </c>
      <c r="AO67">
        <v>0.6</v>
      </c>
      <c r="AP67">
        <v>13.1</v>
      </c>
      <c r="AQ67">
        <v>16.3</v>
      </c>
      <c r="AR67">
        <v>4.0999999999999996</v>
      </c>
      <c r="AS67">
        <v>1.4</v>
      </c>
      <c r="AT67">
        <v>5.5</v>
      </c>
      <c r="AU67">
        <v>0.13</v>
      </c>
      <c r="AV67">
        <v>1</v>
      </c>
      <c r="AW67">
        <v>-0.1</v>
      </c>
      <c r="AX67">
        <v>0.9</v>
      </c>
      <c r="AY67">
        <v>1.5</v>
      </c>
      <c r="AZ67" s="8">
        <v>3.2</v>
      </c>
      <c r="BA67" s="8">
        <v>0.14109347442680775</v>
      </c>
      <c r="BB67" s="3">
        <v>0</v>
      </c>
    </row>
    <row r="68" spans="1:54" x14ac:dyDescent="0.25">
      <c r="A68" t="s">
        <v>102</v>
      </c>
      <c r="B68" s="2">
        <v>31650600</v>
      </c>
      <c r="C68" t="s">
        <v>52</v>
      </c>
      <c r="D68">
        <v>25</v>
      </c>
      <c r="E68" t="s">
        <v>103</v>
      </c>
      <c r="F68">
        <v>65</v>
      </c>
      <c r="G68">
        <v>65</v>
      </c>
      <c r="H68">
        <v>32.799999999999997</v>
      </c>
      <c r="I68">
        <v>7.3</v>
      </c>
      <c r="J68">
        <v>16</v>
      </c>
      <c r="K68">
        <v>0.45400000000000001</v>
      </c>
      <c r="L68">
        <v>2.6</v>
      </c>
      <c r="M68">
        <v>6.6</v>
      </c>
      <c r="N68">
        <v>0.39800000000000002</v>
      </c>
      <c r="O68">
        <v>4.5999999999999996</v>
      </c>
      <c r="P68">
        <v>9.4</v>
      </c>
      <c r="Q68">
        <v>0.49399999999999999</v>
      </c>
      <c r="R68">
        <v>0.53700000000000003</v>
      </c>
      <c r="S68">
        <v>2.8</v>
      </c>
      <c r="T68">
        <v>3.3</v>
      </c>
      <c r="U68">
        <v>0.83299999999999996</v>
      </c>
      <c r="V68">
        <v>0.7</v>
      </c>
      <c r="W68">
        <v>3.2</v>
      </c>
      <c r="X68">
        <v>4</v>
      </c>
      <c r="Y68">
        <v>6.2</v>
      </c>
      <c r="Z68">
        <v>1</v>
      </c>
      <c r="AA68">
        <v>0.2</v>
      </c>
      <c r="AB68">
        <v>2.2000000000000002</v>
      </c>
      <c r="AC68">
        <v>1.6</v>
      </c>
      <c r="AD68">
        <v>20</v>
      </c>
      <c r="AE68">
        <v>2133</v>
      </c>
      <c r="AF68">
        <v>18</v>
      </c>
      <c r="AG68">
        <v>0.57099999999999995</v>
      </c>
      <c r="AH68">
        <v>0.41499999999999998</v>
      </c>
      <c r="AI68">
        <v>0.20699999999999999</v>
      </c>
      <c r="AJ68">
        <v>2.7</v>
      </c>
      <c r="AK68">
        <v>11</v>
      </c>
      <c r="AL68">
        <v>6.9</v>
      </c>
      <c r="AM68">
        <v>27.5</v>
      </c>
      <c r="AN68">
        <v>1.5</v>
      </c>
      <c r="AO68">
        <v>0.7</v>
      </c>
      <c r="AP68">
        <v>11.3</v>
      </c>
      <c r="AQ68">
        <v>26.1</v>
      </c>
      <c r="AR68">
        <v>3.3</v>
      </c>
      <c r="AS68">
        <v>1.9</v>
      </c>
      <c r="AT68">
        <v>5.0999999999999996</v>
      </c>
      <c r="AU68">
        <v>0.11600000000000001</v>
      </c>
      <c r="AV68">
        <v>2.6</v>
      </c>
      <c r="AW68">
        <v>-1.3</v>
      </c>
      <c r="AX68">
        <v>1.3</v>
      </c>
      <c r="AY68">
        <v>1.8</v>
      </c>
      <c r="AZ68" s="8">
        <v>3.1999999999999997</v>
      </c>
      <c r="BA68" s="8">
        <v>0.10110392851952252</v>
      </c>
      <c r="BB68" s="3">
        <v>0</v>
      </c>
    </row>
    <row r="69" spans="1:54" x14ac:dyDescent="0.25">
      <c r="A69" t="s">
        <v>135</v>
      </c>
      <c r="B69" s="2">
        <v>21177750</v>
      </c>
      <c r="C69" t="s">
        <v>65</v>
      </c>
      <c r="D69">
        <v>30</v>
      </c>
      <c r="E69" t="s">
        <v>93</v>
      </c>
      <c r="F69">
        <v>80</v>
      </c>
      <c r="G69">
        <v>73</v>
      </c>
      <c r="H69">
        <v>31</v>
      </c>
      <c r="I69">
        <v>5.9</v>
      </c>
      <c r="J69">
        <v>13</v>
      </c>
      <c r="K69">
        <v>0.45800000000000002</v>
      </c>
      <c r="L69">
        <v>3.6</v>
      </c>
      <c r="M69">
        <v>8.5</v>
      </c>
      <c r="N69">
        <v>0.42499999999999999</v>
      </c>
      <c r="O69">
        <v>2.2999999999999998</v>
      </c>
      <c r="P69">
        <v>4.5</v>
      </c>
      <c r="Q69">
        <v>0.51800000000000002</v>
      </c>
      <c r="R69">
        <v>0.59599999999999997</v>
      </c>
      <c r="S69">
        <v>1.3</v>
      </c>
      <c r="T69">
        <v>1.6</v>
      </c>
      <c r="U69">
        <v>0.82199999999999995</v>
      </c>
      <c r="V69">
        <v>0.8</v>
      </c>
      <c r="W69">
        <v>4.2</v>
      </c>
      <c r="X69">
        <v>5</v>
      </c>
      <c r="Y69">
        <v>2.8</v>
      </c>
      <c r="Z69">
        <v>1.2</v>
      </c>
      <c r="AA69">
        <v>0.3</v>
      </c>
      <c r="AB69">
        <v>1.7</v>
      </c>
      <c r="AC69">
        <v>2</v>
      </c>
      <c r="AD69">
        <v>16.8</v>
      </c>
      <c r="AE69">
        <v>2482</v>
      </c>
      <c r="AF69">
        <v>15.4</v>
      </c>
      <c r="AG69">
        <v>0.61399999999999999</v>
      </c>
      <c r="AH69">
        <v>0.65200000000000002</v>
      </c>
      <c r="AI69">
        <v>0.124</v>
      </c>
      <c r="AJ69">
        <v>3</v>
      </c>
      <c r="AK69">
        <v>14.9</v>
      </c>
      <c r="AL69">
        <v>8.9</v>
      </c>
      <c r="AM69">
        <v>13.3</v>
      </c>
      <c r="AN69">
        <v>1.8</v>
      </c>
      <c r="AO69">
        <v>0.9</v>
      </c>
      <c r="AP69">
        <v>11.3</v>
      </c>
      <c r="AQ69">
        <v>20.8</v>
      </c>
      <c r="AR69">
        <v>2.7</v>
      </c>
      <c r="AS69">
        <v>1.6</v>
      </c>
      <c r="AT69">
        <v>4.4000000000000004</v>
      </c>
      <c r="AU69">
        <v>8.5000000000000006E-2</v>
      </c>
      <c r="AV69">
        <v>2.5</v>
      </c>
      <c r="AW69">
        <v>-0.6</v>
      </c>
      <c r="AX69">
        <v>1.9</v>
      </c>
      <c r="AY69">
        <v>2.4</v>
      </c>
      <c r="AZ69" s="8">
        <v>3.1500000000000004</v>
      </c>
      <c r="BA69" s="8">
        <v>0.14874101356376387</v>
      </c>
      <c r="BB69" s="3">
        <v>0</v>
      </c>
    </row>
    <row r="70" spans="1:54" x14ac:dyDescent="0.25">
      <c r="A70" t="s">
        <v>295</v>
      </c>
      <c r="B70" s="2">
        <v>4374000</v>
      </c>
      <c r="C70" t="s">
        <v>28</v>
      </c>
      <c r="D70">
        <v>23</v>
      </c>
      <c r="E70" t="s">
        <v>130</v>
      </c>
      <c r="F70">
        <v>78</v>
      </c>
      <c r="G70">
        <v>65</v>
      </c>
      <c r="H70">
        <v>24.1</v>
      </c>
      <c r="I70">
        <v>3.2</v>
      </c>
      <c r="J70">
        <v>5.8</v>
      </c>
      <c r="K70">
        <v>0.54800000000000004</v>
      </c>
      <c r="L70">
        <v>0.4</v>
      </c>
      <c r="M70">
        <v>1.2</v>
      </c>
      <c r="N70">
        <v>0.32200000000000001</v>
      </c>
      <c r="O70">
        <v>2.8</v>
      </c>
      <c r="P70">
        <v>4.5999999999999996</v>
      </c>
      <c r="Q70">
        <v>0.60399999999999998</v>
      </c>
      <c r="R70">
        <v>0.57999999999999996</v>
      </c>
      <c r="S70">
        <v>1.2</v>
      </c>
      <c r="T70">
        <v>1.8</v>
      </c>
      <c r="U70">
        <v>0.69099999999999995</v>
      </c>
      <c r="V70">
        <v>2.2000000000000002</v>
      </c>
      <c r="W70">
        <v>5.3</v>
      </c>
      <c r="X70">
        <v>7.5</v>
      </c>
      <c r="Y70">
        <v>2.4</v>
      </c>
      <c r="Z70">
        <v>1.1000000000000001</v>
      </c>
      <c r="AA70">
        <v>0.3</v>
      </c>
      <c r="AB70">
        <v>1.2</v>
      </c>
      <c r="AC70">
        <v>2.4</v>
      </c>
      <c r="AD70">
        <v>7.9</v>
      </c>
      <c r="AE70">
        <v>1879</v>
      </c>
      <c r="AF70">
        <v>15.1</v>
      </c>
      <c r="AG70">
        <v>0.60399999999999998</v>
      </c>
      <c r="AH70">
        <v>0.2</v>
      </c>
      <c r="AI70">
        <v>0.308</v>
      </c>
      <c r="AJ70">
        <v>10</v>
      </c>
      <c r="AK70">
        <v>23.2</v>
      </c>
      <c r="AL70">
        <v>16.7</v>
      </c>
      <c r="AM70">
        <v>13.1</v>
      </c>
      <c r="AN70">
        <v>2.1</v>
      </c>
      <c r="AO70">
        <v>0.9</v>
      </c>
      <c r="AP70">
        <v>15.9</v>
      </c>
      <c r="AQ70">
        <v>13.6</v>
      </c>
      <c r="AR70">
        <v>2.7</v>
      </c>
      <c r="AS70">
        <v>2.5</v>
      </c>
      <c r="AT70">
        <v>5.2</v>
      </c>
      <c r="AU70">
        <v>0.13200000000000001</v>
      </c>
      <c r="AV70">
        <v>-0.6</v>
      </c>
      <c r="AW70">
        <v>1.6</v>
      </c>
      <c r="AX70">
        <v>1.1000000000000001</v>
      </c>
      <c r="AY70">
        <v>1.5</v>
      </c>
      <c r="AZ70" s="8">
        <v>3.1500000000000004</v>
      </c>
      <c r="BA70" s="8">
        <v>0.72016460905349799</v>
      </c>
      <c r="BB70" s="3">
        <v>0</v>
      </c>
    </row>
    <row r="71" spans="1:54" x14ac:dyDescent="0.25">
      <c r="A71" t="s">
        <v>119</v>
      </c>
      <c r="B71" s="2">
        <v>29776785</v>
      </c>
      <c r="C71" t="s">
        <v>65</v>
      </c>
      <c r="D71">
        <v>26</v>
      </c>
      <c r="E71" t="s">
        <v>113</v>
      </c>
      <c r="F71">
        <v>67</v>
      </c>
      <c r="G71">
        <v>67</v>
      </c>
      <c r="H71">
        <v>35.9</v>
      </c>
      <c r="I71">
        <v>10.1</v>
      </c>
      <c r="J71">
        <v>20.6</v>
      </c>
      <c r="K71">
        <v>0.49099999999999999</v>
      </c>
      <c r="L71">
        <v>2.4</v>
      </c>
      <c r="M71">
        <v>7.3</v>
      </c>
      <c r="N71">
        <v>0.33500000000000002</v>
      </c>
      <c r="O71">
        <v>7.7</v>
      </c>
      <c r="P71">
        <v>13.4</v>
      </c>
      <c r="Q71">
        <v>0.57599999999999996</v>
      </c>
      <c r="R71">
        <v>0.55000000000000004</v>
      </c>
      <c r="S71">
        <v>3.9</v>
      </c>
      <c r="T71">
        <v>5.0999999999999996</v>
      </c>
      <c r="U71">
        <v>0.76500000000000001</v>
      </c>
      <c r="V71">
        <v>1.2</v>
      </c>
      <c r="W71">
        <v>5.7</v>
      </c>
      <c r="X71">
        <v>6.9</v>
      </c>
      <c r="Y71">
        <v>3.5</v>
      </c>
      <c r="Z71">
        <v>1.1000000000000001</v>
      </c>
      <c r="AA71">
        <v>0.4</v>
      </c>
      <c r="AB71">
        <v>2.9</v>
      </c>
      <c r="AC71">
        <v>2.6</v>
      </c>
      <c r="AD71">
        <v>26.6</v>
      </c>
      <c r="AE71">
        <v>2405</v>
      </c>
      <c r="AF71">
        <v>19.100000000000001</v>
      </c>
      <c r="AG71">
        <v>0.58099999999999996</v>
      </c>
      <c r="AH71">
        <v>0.35199999999999998</v>
      </c>
      <c r="AI71">
        <v>0.249</v>
      </c>
      <c r="AJ71">
        <v>3.6</v>
      </c>
      <c r="AK71">
        <v>17</v>
      </c>
      <c r="AL71">
        <v>10.4</v>
      </c>
      <c r="AM71">
        <v>16.5</v>
      </c>
      <c r="AN71">
        <v>1.5</v>
      </c>
      <c r="AO71">
        <v>0.9</v>
      </c>
      <c r="AP71">
        <v>11.4</v>
      </c>
      <c r="AQ71">
        <v>31.4</v>
      </c>
      <c r="AR71">
        <v>1.6</v>
      </c>
      <c r="AS71">
        <v>3.4</v>
      </c>
      <c r="AT71">
        <v>5</v>
      </c>
      <c r="AU71">
        <v>0.1</v>
      </c>
      <c r="AV71">
        <v>1.5</v>
      </c>
      <c r="AW71">
        <v>-0.2</v>
      </c>
      <c r="AX71">
        <v>1.3</v>
      </c>
      <c r="AY71">
        <v>2</v>
      </c>
      <c r="AZ71" s="8">
        <v>3.15</v>
      </c>
      <c r="BA71" s="8">
        <v>0.10578710898439841</v>
      </c>
      <c r="BB71" s="3">
        <v>0</v>
      </c>
    </row>
    <row r="72" spans="1:54" x14ac:dyDescent="0.25">
      <c r="A72" t="s">
        <v>455</v>
      </c>
      <c r="B72" s="2">
        <v>1563518</v>
      </c>
      <c r="C72" t="s">
        <v>62</v>
      </c>
      <c r="D72">
        <v>24</v>
      </c>
      <c r="E72" t="s">
        <v>58</v>
      </c>
      <c r="F72">
        <v>64</v>
      </c>
      <c r="G72">
        <v>22</v>
      </c>
      <c r="H72">
        <v>28.8</v>
      </c>
      <c r="I72">
        <v>4</v>
      </c>
      <c r="J72">
        <v>7.7</v>
      </c>
      <c r="K72">
        <v>0.52900000000000003</v>
      </c>
      <c r="L72">
        <v>1.3</v>
      </c>
      <c r="M72">
        <v>3.4</v>
      </c>
      <c r="N72">
        <v>0.39800000000000002</v>
      </c>
      <c r="O72">
        <v>2.7</v>
      </c>
      <c r="P72">
        <v>4.3</v>
      </c>
      <c r="Q72">
        <v>0.63100000000000001</v>
      </c>
      <c r="R72">
        <v>0.61599999999999999</v>
      </c>
      <c r="S72">
        <v>3.6</v>
      </c>
      <c r="T72">
        <v>4.0999999999999996</v>
      </c>
      <c r="U72">
        <v>0.86399999999999999</v>
      </c>
      <c r="V72">
        <v>0.5</v>
      </c>
      <c r="W72">
        <v>2.5</v>
      </c>
      <c r="X72">
        <v>3</v>
      </c>
      <c r="Y72">
        <v>3.4</v>
      </c>
      <c r="Z72">
        <v>0.5</v>
      </c>
      <c r="AA72">
        <v>0.3</v>
      </c>
      <c r="AB72">
        <v>1.5</v>
      </c>
      <c r="AC72">
        <v>1.7</v>
      </c>
      <c r="AD72">
        <v>13</v>
      </c>
      <c r="AE72">
        <v>1843</v>
      </c>
      <c r="AF72">
        <v>14.9</v>
      </c>
      <c r="AG72">
        <v>0.68700000000000006</v>
      </c>
      <c r="AH72">
        <v>0.441</v>
      </c>
      <c r="AI72">
        <v>0.54100000000000004</v>
      </c>
      <c r="AJ72">
        <v>2</v>
      </c>
      <c r="AK72">
        <v>9</v>
      </c>
      <c r="AL72">
        <v>5.6</v>
      </c>
      <c r="AM72">
        <v>15.7</v>
      </c>
      <c r="AN72">
        <v>0.8</v>
      </c>
      <c r="AO72">
        <v>0.9</v>
      </c>
      <c r="AP72">
        <v>14</v>
      </c>
      <c r="AQ72">
        <v>16.2</v>
      </c>
      <c r="AR72">
        <v>4.0999999999999996</v>
      </c>
      <c r="AS72">
        <v>1.4</v>
      </c>
      <c r="AT72">
        <v>5.4</v>
      </c>
      <c r="AU72">
        <v>0.14199999999999999</v>
      </c>
      <c r="AV72">
        <v>0.6</v>
      </c>
      <c r="AW72">
        <v>0.1</v>
      </c>
      <c r="AX72">
        <v>0.7</v>
      </c>
      <c r="AY72">
        <v>1.2</v>
      </c>
      <c r="AZ72" s="8">
        <v>3.0500000000000003</v>
      </c>
      <c r="BA72" s="8">
        <v>1.9507290610021761</v>
      </c>
      <c r="BB72" s="3">
        <v>0</v>
      </c>
    </row>
    <row r="73" spans="1:54" x14ac:dyDescent="0.25">
      <c r="A73" t="s">
        <v>264</v>
      </c>
      <c r="B73" s="2">
        <v>5887899</v>
      </c>
      <c r="C73" t="s">
        <v>28</v>
      </c>
      <c r="D73">
        <v>26</v>
      </c>
      <c r="E73" t="s">
        <v>60</v>
      </c>
      <c r="F73">
        <v>42</v>
      </c>
      <c r="G73">
        <v>41</v>
      </c>
      <c r="H73">
        <v>28.5</v>
      </c>
      <c r="I73">
        <v>5.3</v>
      </c>
      <c r="J73">
        <v>11.3</v>
      </c>
      <c r="K73">
        <v>0.47</v>
      </c>
      <c r="L73">
        <v>2.5</v>
      </c>
      <c r="M73">
        <v>6.1</v>
      </c>
      <c r="N73">
        <v>0.40400000000000003</v>
      </c>
      <c r="O73">
        <v>2.9</v>
      </c>
      <c r="P73">
        <v>5.2</v>
      </c>
      <c r="Q73">
        <v>0.54800000000000004</v>
      </c>
      <c r="R73">
        <v>0.57899999999999996</v>
      </c>
      <c r="S73">
        <v>2.4</v>
      </c>
      <c r="T73">
        <v>2.9</v>
      </c>
      <c r="U73">
        <v>0.84199999999999997</v>
      </c>
      <c r="V73">
        <v>0.8</v>
      </c>
      <c r="W73">
        <v>3.6</v>
      </c>
      <c r="X73">
        <v>4.4000000000000004</v>
      </c>
      <c r="Y73">
        <v>1.9</v>
      </c>
      <c r="Z73">
        <v>1.2</v>
      </c>
      <c r="AA73">
        <v>0.3</v>
      </c>
      <c r="AB73">
        <v>0.9</v>
      </c>
      <c r="AC73">
        <v>2</v>
      </c>
      <c r="AD73">
        <v>15.5</v>
      </c>
      <c r="AE73">
        <v>1199</v>
      </c>
      <c r="AF73">
        <v>17.100000000000001</v>
      </c>
      <c r="AG73">
        <v>0.61699999999999999</v>
      </c>
      <c r="AH73">
        <v>0.53800000000000003</v>
      </c>
      <c r="AI73">
        <v>0.253</v>
      </c>
      <c r="AJ73">
        <v>3.2</v>
      </c>
      <c r="AK73">
        <v>14</v>
      </c>
      <c r="AL73">
        <v>8.6</v>
      </c>
      <c r="AM73">
        <v>9.6</v>
      </c>
      <c r="AN73">
        <v>2</v>
      </c>
      <c r="AO73">
        <v>1</v>
      </c>
      <c r="AP73">
        <v>6.6</v>
      </c>
      <c r="AQ73">
        <v>20.6</v>
      </c>
      <c r="AR73">
        <v>2.1</v>
      </c>
      <c r="AS73">
        <v>1.4</v>
      </c>
      <c r="AT73">
        <v>3.5</v>
      </c>
      <c r="AU73">
        <v>0.14199999999999999</v>
      </c>
      <c r="AV73">
        <v>2</v>
      </c>
      <c r="AW73">
        <v>0.6</v>
      </c>
      <c r="AX73">
        <v>2.6</v>
      </c>
      <c r="AY73">
        <v>1.4</v>
      </c>
      <c r="AZ73" s="8">
        <v>3.05</v>
      </c>
      <c r="BA73" s="8">
        <v>0.5180116031202302</v>
      </c>
      <c r="BB73" s="3">
        <v>0</v>
      </c>
    </row>
    <row r="74" spans="1:54" x14ac:dyDescent="0.25">
      <c r="A74" t="s">
        <v>196</v>
      </c>
      <c r="B74" s="2">
        <v>10843350</v>
      </c>
      <c r="C74" t="s">
        <v>28</v>
      </c>
      <c r="D74">
        <v>27</v>
      </c>
      <c r="E74" t="s">
        <v>68</v>
      </c>
      <c r="F74">
        <v>70</v>
      </c>
      <c r="G74">
        <v>22</v>
      </c>
      <c r="H74">
        <v>26</v>
      </c>
      <c r="I74">
        <v>5.7</v>
      </c>
      <c r="J74">
        <v>11.5</v>
      </c>
      <c r="K74">
        <v>0.496</v>
      </c>
      <c r="L74">
        <v>1.4</v>
      </c>
      <c r="M74">
        <v>3.7</v>
      </c>
      <c r="N74">
        <v>0.37</v>
      </c>
      <c r="O74">
        <v>4.3</v>
      </c>
      <c r="P74">
        <v>7.8</v>
      </c>
      <c r="Q74">
        <v>0.55500000000000005</v>
      </c>
      <c r="R74">
        <v>0.55500000000000005</v>
      </c>
      <c r="S74">
        <v>1.4</v>
      </c>
      <c r="T74">
        <v>1.8</v>
      </c>
      <c r="U74">
        <v>0.76800000000000002</v>
      </c>
      <c r="V74">
        <v>2.2000000000000002</v>
      </c>
      <c r="W74">
        <v>7.4</v>
      </c>
      <c r="X74">
        <v>9.6</v>
      </c>
      <c r="Y74">
        <v>1.5</v>
      </c>
      <c r="Z74">
        <v>0.4</v>
      </c>
      <c r="AA74">
        <v>0.2</v>
      </c>
      <c r="AB74">
        <v>1.2</v>
      </c>
      <c r="AC74">
        <v>1.6</v>
      </c>
      <c r="AD74">
        <v>14.1</v>
      </c>
      <c r="AE74">
        <v>1818</v>
      </c>
      <c r="AF74">
        <v>17.8</v>
      </c>
      <c r="AG74">
        <v>0.57499999999999996</v>
      </c>
      <c r="AH74">
        <v>0.32</v>
      </c>
      <c r="AI74">
        <v>0.156</v>
      </c>
      <c r="AJ74">
        <v>9.1999999999999993</v>
      </c>
      <c r="AK74">
        <v>28.6</v>
      </c>
      <c r="AL74">
        <v>19.3</v>
      </c>
      <c r="AM74">
        <v>8.6999999999999993</v>
      </c>
      <c r="AN74">
        <v>0.8</v>
      </c>
      <c r="AO74">
        <v>0.7</v>
      </c>
      <c r="AP74">
        <v>8.6</v>
      </c>
      <c r="AQ74">
        <v>21.7</v>
      </c>
      <c r="AR74">
        <v>2.5</v>
      </c>
      <c r="AS74">
        <v>2.8</v>
      </c>
      <c r="AT74">
        <v>5.3</v>
      </c>
      <c r="AU74">
        <v>0.13900000000000001</v>
      </c>
      <c r="AV74">
        <v>1.2</v>
      </c>
      <c r="AW74">
        <v>-0.6</v>
      </c>
      <c r="AX74">
        <v>0.7</v>
      </c>
      <c r="AY74">
        <v>1.2</v>
      </c>
      <c r="AZ74" s="8">
        <v>3</v>
      </c>
      <c r="BA74" s="8">
        <v>0.27666726611240994</v>
      </c>
      <c r="BB74" s="3">
        <v>0</v>
      </c>
    </row>
    <row r="75" spans="1:54" x14ac:dyDescent="0.25">
      <c r="A75" t="s">
        <v>355</v>
      </c>
      <c r="B75" s="2">
        <v>2726880</v>
      </c>
      <c r="C75" t="s">
        <v>62</v>
      </c>
      <c r="D75">
        <v>22</v>
      </c>
      <c r="E75" t="s">
        <v>82</v>
      </c>
      <c r="F75">
        <v>60</v>
      </c>
      <c r="G75">
        <v>41</v>
      </c>
      <c r="H75">
        <v>33.6</v>
      </c>
      <c r="I75">
        <v>7.3</v>
      </c>
      <c r="J75">
        <v>15.2</v>
      </c>
      <c r="K75">
        <v>0.48099999999999998</v>
      </c>
      <c r="L75">
        <v>2.7</v>
      </c>
      <c r="M75">
        <v>6.2</v>
      </c>
      <c r="N75">
        <v>0.434</v>
      </c>
      <c r="O75">
        <v>4.7</v>
      </c>
      <c r="P75">
        <v>9.1</v>
      </c>
      <c r="Q75">
        <v>0.51300000000000001</v>
      </c>
      <c r="R75">
        <v>0.56799999999999995</v>
      </c>
      <c r="S75">
        <v>3</v>
      </c>
      <c r="T75">
        <v>3.6</v>
      </c>
      <c r="U75">
        <v>0.84499999999999997</v>
      </c>
      <c r="V75">
        <v>0.4</v>
      </c>
      <c r="W75">
        <v>2.6</v>
      </c>
      <c r="X75">
        <v>2.9</v>
      </c>
      <c r="Y75">
        <v>3.5</v>
      </c>
      <c r="Z75">
        <v>0.8</v>
      </c>
      <c r="AA75">
        <v>0.1</v>
      </c>
      <c r="AB75">
        <v>1.3</v>
      </c>
      <c r="AC75">
        <v>2.2000000000000002</v>
      </c>
      <c r="AD75">
        <v>20.3</v>
      </c>
      <c r="AE75">
        <v>2016</v>
      </c>
      <c r="AF75">
        <v>17</v>
      </c>
      <c r="AG75">
        <v>0.60499999999999998</v>
      </c>
      <c r="AH75">
        <v>0.40400000000000003</v>
      </c>
      <c r="AI75">
        <v>0.23300000000000001</v>
      </c>
      <c r="AJ75">
        <v>1.4</v>
      </c>
      <c r="AK75">
        <v>8.8000000000000007</v>
      </c>
      <c r="AL75">
        <v>5.2</v>
      </c>
      <c r="AM75">
        <v>16.899999999999999</v>
      </c>
      <c r="AN75">
        <v>1.2</v>
      </c>
      <c r="AO75">
        <v>0.4</v>
      </c>
      <c r="AP75">
        <v>7.4</v>
      </c>
      <c r="AQ75">
        <v>24.1</v>
      </c>
      <c r="AR75">
        <v>3.7</v>
      </c>
      <c r="AS75">
        <v>1.6</v>
      </c>
      <c r="AT75">
        <v>5.4</v>
      </c>
      <c r="AU75">
        <v>0.128</v>
      </c>
      <c r="AV75">
        <v>1.9</v>
      </c>
      <c r="AW75">
        <v>-1.2</v>
      </c>
      <c r="AX75">
        <v>0.6</v>
      </c>
      <c r="AY75">
        <v>1.3</v>
      </c>
      <c r="AZ75" s="8">
        <v>3</v>
      </c>
      <c r="BA75" s="8">
        <v>1.1001584228128851</v>
      </c>
      <c r="BB75" s="3">
        <v>0</v>
      </c>
    </row>
    <row r="76" spans="1:54" x14ac:dyDescent="0.25">
      <c r="A76" t="s">
        <v>169</v>
      </c>
      <c r="B76" s="2">
        <v>14508929</v>
      </c>
      <c r="C76" t="s">
        <v>62</v>
      </c>
      <c r="D76">
        <v>24</v>
      </c>
      <c r="E76" t="s">
        <v>116</v>
      </c>
      <c r="F76">
        <v>75</v>
      </c>
      <c r="G76">
        <v>75</v>
      </c>
      <c r="H76">
        <v>29.4</v>
      </c>
      <c r="I76">
        <v>5.6</v>
      </c>
      <c r="J76">
        <v>11.5</v>
      </c>
      <c r="K76">
        <v>0.48499999999999999</v>
      </c>
      <c r="L76">
        <v>2.7</v>
      </c>
      <c r="M76">
        <v>6.8</v>
      </c>
      <c r="N76">
        <v>0.40200000000000002</v>
      </c>
      <c r="O76">
        <v>2.9</v>
      </c>
      <c r="P76">
        <v>4.7</v>
      </c>
      <c r="Q76">
        <v>0.60399999999999998</v>
      </c>
      <c r="R76">
        <v>0.60299999999999998</v>
      </c>
      <c r="S76">
        <v>1.3</v>
      </c>
      <c r="T76">
        <v>1.7</v>
      </c>
      <c r="U76">
        <v>0.72499999999999998</v>
      </c>
      <c r="V76">
        <v>0.6</v>
      </c>
      <c r="W76">
        <v>2.8</v>
      </c>
      <c r="X76">
        <v>3.3</v>
      </c>
      <c r="Y76">
        <v>2.9</v>
      </c>
      <c r="Z76">
        <v>1.1000000000000001</v>
      </c>
      <c r="AA76">
        <v>0.3</v>
      </c>
      <c r="AB76">
        <v>1.3</v>
      </c>
      <c r="AC76">
        <v>2.4</v>
      </c>
      <c r="AD76">
        <v>15.2</v>
      </c>
      <c r="AE76">
        <v>2203</v>
      </c>
      <c r="AF76">
        <v>15.2</v>
      </c>
      <c r="AG76">
        <v>0.61699999999999999</v>
      </c>
      <c r="AH76">
        <v>0.58899999999999997</v>
      </c>
      <c r="AI76">
        <v>0.151</v>
      </c>
      <c r="AJ76">
        <v>2.2000000000000002</v>
      </c>
      <c r="AK76">
        <v>10.8</v>
      </c>
      <c r="AL76">
        <v>6.5</v>
      </c>
      <c r="AM76">
        <v>14.1</v>
      </c>
      <c r="AN76">
        <v>1.7</v>
      </c>
      <c r="AO76">
        <v>1</v>
      </c>
      <c r="AP76">
        <v>9.5</v>
      </c>
      <c r="AQ76">
        <v>19.899999999999999</v>
      </c>
      <c r="AR76">
        <v>3.3</v>
      </c>
      <c r="AS76">
        <v>1.7</v>
      </c>
      <c r="AT76">
        <v>4.9000000000000004</v>
      </c>
      <c r="AU76">
        <v>0.107</v>
      </c>
      <c r="AV76">
        <v>1.4</v>
      </c>
      <c r="AW76">
        <v>-0.3</v>
      </c>
      <c r="AX76">
        <v>1</v>
      </c>
      <c r="AY76">
        <v>1.7</v>
      </c>
      <c r="AZ76" s="8">
        <v>2.95</v>
      </c>
      <c r="BA76" s="8">
        <v>0.20332307091722621</v>
      </c>
      <c r="BB76" s="3">
        <v>0</v>
      </c>
    </row>
    <row r="77" spans="1:54" x14ac:dyDescent="0.25">
      <c r="A77" t="s">
        <v>298</v>
      </c>
      <c r="B77" s="2">
        <v>4341480</v>
      </c>
      <c r="C77" t="s">
        <v>62</v>
      </c>
      <c r="D77">
        <v>21</v>
      </c>
      <c r="E77" t="s">
        <v>109</v>
      </c>
      <c r="F77">
        <v>75</v>
      </c>
      <c r="G77">
        <v>62</v>
      </c>
      <c r="H77">
        <v>30.3</v>
      </c>
      <c r="I77">
        <v>5.5</v>
      </c>
      <c r="J77">
        <v>10.6</v>
      </c>
      <c r="K77">
        <v>0.52100000000000002</v>
      </c>
      <c r="L77">
        <v>1</v>
      </c>
      <c r="M77">
        <v>2.7</v>
      </c>
      <c r="N77">
        <v>0.35599999999999998</v>
      </c>
      <c r="O77">
        <v>4.5</v>
      </c>
      <c r="P77">
        <v>7.9</v>
      </c>
      <c r="Q77">
        <v>0.57899999999999996</v>
      </c>
      <c r="R77">
        <v>0.56699999999999995</v>
      </c>
      <c r="S77">
        <v>2.1</v>
      </c>
      <c r="T77">
        <v>2.5</v>
      </c>
      <c r="U77">
        <v>0.81200000000000006</v>
      </c>
      <c r="V77">
        <v>1.1000000000000001</v>
      </c>
      <c r="W77">
        <v>3.4</v>
      </c>
      <c r="X77">
        <v>4.5</v>
      </c>
      <c r="Y77">
        <v>3.3</v>
      </c>
      <c r="Z77">
        <v>1.4</v>
      </c>
      <c r="AA77">
        <v>0.5</v>
      </c>
      <c r="AB77">
        <v>1.6</v>
      </c>
      <c r="AC77">
        <v>2.5</v>
      </c>
      <c r="AD77">
        <v>14.1</v>
      </c>
      <c r="AE77">
        <v>2276</v>
      </c>
      <c r="AF77">
        <v>15.6</v>
      </c>
      <c r="AG77">
        <v>0.60099999999999998</v>
      </c>
      <c r="AH77">
        <v>0.25800000000000001</v>
      </c>
      <c r="AI77">
        <v>0.24099999999999999</v>
      </c>
      <c r="AJ77">
        <v>3.9</v>
      </c>
      <c r="AK77">
        <v>12.2</v>
      </c>
      <c r="AL77">
        <v>7.9</v>
      </c>
      <c r="AM77">
        <v>15.4</v>
      </c>
      <c r="AN77">
        <v>2.1</v>
      </c>
      <c r="AO77">
        <v>1.4</v>
      </c>
      <c r="AP77">
        <v>12.3</v>
      </c>
      <c r="AQ77">
        <v>18.399999999999999</v>
      </c>
      <c r="AR77">
        <v>3</v>
      </c>
      <c r="AS77">
        <v>2.6</v>
      </c>
      <c r="AT77">
        <v>5.6</v>
      </c>
      <c r="AU77">
        <v>0.11899999999999999</v>
      </c>
      <c r="AV77">
        <v>-0.4</v>
      </c>
      <c r="AW77">
        <v>0.7</v>
      </c>
      <c r="AX77">
        <v>0.3</v>
      </c>
      <c r="AY77">
        <v>1.3</v>
      </c>
      <c r="AZ77" s="8">
        <v>2.9499999999999997</v>
      </c>
      <c r="BA77" s="8">
        <v>0.67949178621115369</v>
      </c>
      <c r="BB77" s="3">
        <v>0</v>
      </c>
    </row>
    <row r="78" spans="1:54" x14ac:dyDescent="0.25">
      <c r="A78" t="s">
        <v>205</v>
      </c>
      <c r="B78" s="2">
        <v>10123457</v>
      </c>
      <c r="C78" t="s">
        <v>75</v>
      </c>
      <c r="D78">
        <v>25</v>
      </c>
      <c r="E78" t="s">
        <v>55</v>
      </c>
      <c r="F78">
        <v>76</v>
      </c>
      <c r="G78">
        <v>76</v>
      </c>
      <c r="H78">
        <v>28.6</v>
      </c>
      <c r="I78">
        <v>4.3</v>
      </c>
      <c r="J78">
        <v>6.8</v>
      </c>
      <c r="K78">
        <v>0.63400000000000001</v>
      </c>
      <c r="L78">
        <v>0</v>
      </c>
      <c r="M78">
        <v>0</v>
      </c>
      <c r="N78">
        <v>0</v>
      </c>
      <c r="O78">
        <v>4.3</v>
      </c>
      <c r="P78">
        <v>6.7</v>
      </c>
      <c r="Q78">
        <v>0.63700000000000001</v>
      </c>
      <c r="R78">
        <v>0.63400000000000001</v>
      </c>
      <c r="S78">
        <v>2.2000000000000002</v>
      </c>
      <c r="T78">
        <v>3.1</v>
      </c>
      <c r="U78">
        <v>0.69699999999999995</v>
      </c>
      <c r="V78">
        <v>3.1</v>
      </c>
      <c r="W78">
        <v>6.8</v>
      </c>
      <c r="X78">
        <v>9.9</v>
      </c>
      <c r="Y78">
        <v>1</v>
      </c>
      <c r="Z78">
        <v>0.4</v>
      </c>
      <c r="AA78">
        <v>1.3</v>
      </c>
      <c r="AB78">
        <v>1.5</v>
      </c>
      <c r="AC78">
        <v>2.9</v>
      </c>
      <c r="AD78">
        <v>10.8</v>
      </c>
      <c r="AE78">
        <v>2170</v>
      </c>
      <c r="AF78">
        <v>16.7</v>
      </c>
      <c r="AG78">
        <v>0.66100000000000003</v>
      </c>
      <c r="AH78">
        <v>4.0000000000000001E-3</v>
      </c>
      <c r="AI78">
        <v>0.46300000000000002</v>
      </c>
      <c r="AJ78">
        <v>12.3</v>
      </c>
      <c r="AK78">
        <v>26.5</v>
      </c>
      <c r="AL78">
        <v>19.5</v>
      </c>
      <c r="AM78">
        <v>5.0999999999999996</v>
      </c>
      <c r="AN78">
        <v>0.7</v>
      </c>
      <c r="AO78">
        <v>4</v>
      </c>
      <c r="AP78">
        <v>15.9</v>
      </c>
      <c r="AQ78">
        <v>14.8</v>
      </c>
      <c r="AR78">
        <v>3.8</v>
      </c>
      <c r="AS78">
        <v>2.9</v>
      </c>
      <c r="AT78">
        <v>6.7</v>
      </c>
      <c r="AU78">
        <v>0.14899999999999999</v>
      </c>
      <c r="AV78">
        <v>-1.1000000000000001</v>
      </c>
      <c r="AW78">
        <v>0.2</v>
      </c>
      <c r="AX78">
        <v>-0.9</v>
      </c>
      <c r="AY78">
        <v>0.6</v>
      </c>
      <c r="AZ78" s="8">
        <v>2.9</v>
      </c>
      <c r="BA78" s="8">
        <v>0.28646340869527082</v>
      </c>
      <c r="BB78" s="3">
        <v>0</v>
      </c>
    </row>
    <row r="79" spans="1:54" x14ac:dyDescent="0.25">
      <c r="A79" t="s">
        <v>156</v>
      </c>
      <c r="B79" s="2">
        <v>17071120</v>
      </c>
      <c r="C79" t="s">
        <v>62</v>
      </c>
      <c r="D79">
        <v>26</v>
      </c>
      <c r="E79" t="s">
        <v>85</v>
      </c>
      <c r="F79">
        <v>74</v>
      </c>
      <c r="G79">
        <v>74</v>
      </c>
      <c r="H79">
        <v>36.4</v>
      </c>
      <c r="I79">
        <v>8.3000000000000007</v>
      </c>
      <c r="J79">
        <v>17.8</v>
      </c>
      <c r="K79">
        <v>0.46400000000000002</v>
      </c>
      <c r="L79">
        <v>1.8</v>
      </c>
      <c r="M79">
        <v>5.2</v>
      </c>
      <c r="N79">
        <v>0.34399999999999997</v>
      </c>
      <c r="O79">
        <v>6.5</v>
      </c>
      <c r="P79">
        <v>12.6</v>
      </c>
      <c r="Q79">
        <v>0.51400000000000001</v>
      </c>
      <c r="R79">
        <v>0.51400000000000001</v>
      </c>
      <c r="S79">
        <v>2.1</v>
      </c>
      <c r="T79">
        <v>2.6</v>
      </c>
      <c r="U79">
        <v>0.83199999999999996</v>
      </c>
      <c r="V79">
        <v>0.7</v>
      </c>
      <c r="W79">
        <v>4.5</v>
      </c>
      <c r="X79">
        <v>5.3</v>
      </c>
      <c r="Y79">
        <v>6.1</v>
      </c>
      <c r="Z79">
        <v>1.5</v>
      </c>
      <c r="AA79">
        <v>0.3</v>
      </c>
      <c r="AB79">
        <v>2.2000000000000002</v>
      </c>
      <c r="AC79">
        <v>1.4</v>
      </c>
      <c r="AD79">
        <v>20.5</v>
      </c>
      <c r="AE79">
        <v>2693</v>
      </c>
      <c r="AF79">
        <v>17</v>
      </c>
      <c r="AG79">
        <v>0.54</v>
      </c>
      <c r="AH79">
        <v>0.29299999999999998</v>
      </c>
      <c r="AI79">
        <v>0.14399999999999999</v>
      </c>
      <c r="AJ79">
        <v>2.1</v>
      </c>
      <c r="AK79">
        <v>13.8</v>
      </c>
      <c r="AL79">
        <v>7.9</v>
      </c>
      <c r="AM79">
        <v>24</v>
      </c>
      <c r="AN79">
        <v>2</v>
      </c>
      <c r="AO79">
        <v>0.6</v>
      </c>
      <c r="AP79">
        <v>10.199999999999999</v>
      </c>
      <c r="AQ79">
        <v>24.4</v>
      </c>
      <c r="AR79">
        <v>2.4</v>
      </c>
      <c r="AS79">
        <v>2.2999999999999998</v>
      </c>
      <c r="AT79">
        <v>4.7</v>
      </c>
      <c r="AU79">
        <v>8.4000000000000005E-2</v>
      </c>
      <c r="AV79">
        <v>1.1000000000000001</v>
      </c>
      <c r="AW79">
        <v>0</v>
      </c>
      <c r="AX79">
        <v>1</v>
      </c>
      <c r="AY79">
        <v>2.1</v>
      </c>
      <c r="AZ79" s="8">
        <v>2.85</v>
      </c>
      <c r="BA79" s="8">
        <v>0.16694862434333541</v>
      </c>
      <c r="BB79" s="3">
        <v>0</v>
      </c>
    </row>
    <row r="80" spans="1:54" x14ac:dyDescent="0.25">
      <c r="A80" t="s">
        <v>126</v>
      </c>
      <c r="B80" s="2">
        <v>25806468</v>
      </c>
      <c r="C80" t="s">
        <v>28</v>
      </c>
      <c r="D80">
        <v>32</v>
      </c>
      <c r="E80" t="s">
        <v>53</v>
      </c>
      <c r="F80">
        <v>73</v>
      </c>
      <c r="G80">
        <v>73</v>
      </c>
      <c r="H80">
        <v>31.5</v>
      </c>
      <c r="I80">
        <v>3.4</v>
      </c>
      <c r="J80">
        <v>6.5</v>
      </c>
      <c r="K80">
        <v>0.52700000000000002</v>
      </c>
      <c r="L80">
        <v>0.5</v>
      </c>
      <c r="M80">
        <v>1.8</v>
      </c>
      <c r="N80">
        <v>0.30499999999999999</v>
      </c>
      <c r="O80">
        <v>2.9</v>
      </c>
      <c r="P80">
        <v>4.7</v>
      </c>
      <c r="Q80">
        <v>0.61199999999999999</v>
      </c>
      <c r="R80">
        <v>0.56999999999999995</v>
      </c>
      <c r="S80">
        <v>1.1000000000000001</v>
      </c>
      <c r="T80">
        <v>1.5</v>
      </c>
      <c r="U80">
        <v>0.71299999999999997</v>
      </c>
      <c r="V80">
        <v>0.9</v>
      </c>
      <c r="W80">
        <v>6.3</v>
      </c>
      <c r="X80">
        <v>7.2</v>
      </c>
      <c r="Y80">
        <v>6.8</v>
      </c>
      <c r="Z80">
        <v>1</v>
      </c>
      <c r="AA80">
        <v>0.8</v>
      </c>
      <c r="AB80">
        <v>2.8</v>
      </c>
      <c r="AC80">
        <v>3.1</v>
      </c>
      <c r="AD80">
        <v>8.5</v>
      </c>
      <c r="AE80">
        <v>2297</v>
      </c>
      <c r="AF80">
        <v>12.2</v>
      </c>
      <c r="AG80">
        <v>0.59199999999999997</v>
      </c>
      <c r="AH80">
        <v>0.27600000000000002</v>
      </c>
      <c r="AI80">
        <v>0.22800000000000001</v>
      </c>
      <c r="AJ80">
        <v>3.2</v>
      </c>
      <c r="AK80">
        <v>21.6</v>
      </c>
      <c r="AL80">
        <v>12.6</v>
      </c>
      <c r="AM80">
        <v>27.8</v>
      </c>
      <c r="AN80">
        <v>1.5</v>
      </c>
      <c r="AO80">
        <v>2.2999999999999998</v>
      </c>
      <c r="AP80">
        <v>28.1</v>
      </c>
      <c r="AQ80">
        <v>13.2</v>
      </c>
      <c r="AR80">
        <v>1.6</v>
      </c>
      <c r="AS80">
        <v>3.1</v>
      </c>
      <c r="AT80">
        <v>4.7</v>
      </c>
      <c r="AU80">
        <v>9.8000000000000004E-2</v>
      </c>
      <c r="AV80">
        <v>-1.8</v>
      </c>
      <c r="AW80">
        <v>2.6</v>
      </c>
      <c r="AX80">
        <v>0.8</v>
      </c>
      <c r="AY80">
        <v>1.6</v>
      </c>
      <c r="AZ80" s="8">
        <v>2.75</v>
      </c>
      <c r="BA80" s="8">
        <v>0.10656243233285546</v>
      </c>
      <c r="BB80" s="3">
        <v>0</v>
      </c>
    </row>
    <row r="81" spans="1:54" x14ac:dyDescent="0.25">
      <c r="A81" t="s">
        <v>146</v>
      </c>
      <c r="B81" s="2">
        <v>18352273</v>
      </c>
      <c r="C81" t="s">
        <v>28</v>
      </c>
      <c r="D81">
        <v>30</v>
      </c>
      <c r="E81" t="s">
        <v>116</v>
      </c>
      <c r="F81">
        <v>82</v>
      </c>
      <c r="G81">
        <v>82</v>
      </c>
      <c r="H81">
        <v>32.5</v>
      </c>
      <c r="I81">
        <v>4.5999999999999996</v>
      </c>
      <c r="J81">
        <v>9.6</v>
      </c>
      <c r="K81">
        <v>0.47299999999999998</v>
      </c>
      <c r="L81">
        <v>1.6</v>
      </c>
      <c r="M81">
        <v>4.3</v>
      </c>
      <c r="N81">
        <v>0.374</v>
      </c>
      <c r="O81">
        <v>3</v>
      </c>
      <c r="P81">
        <v>5.3</v>
      </c>
      <c r="Q81">
        <v>0.55300000000000005</v>
      </c>
      <c r="R81">
        <v>0.55600000000000005</v>
      </c>
      <c r="S81">
        <v>4.3</v>
      </c>
      <c r="T81">
        <v>5</v>
      </c>
      <c r="U81">
        <v>0.84699999999999998</v>
      </c>
      <c r="V81">
        <v>1.1000000000000001</v>
      </c>
      <c r="W81">
        <v>3.4</v>
      </c>
      <c r="X81">
        <v>4.5</v>
      </c>
      <c r="Y81">
        <v>1.6</v>
      </c>
      <c r="Z81">
        <v>0.7</v>
      </c>
      <c r="AA81">
        <v>0.1</v>
      </c>
      <c r="AB81">
        <v>1</v>
      </c>
      <c r="AC81">
        <v>1.3</v>
      </c>
      <c r="AD81">
        <v>15</v>
      </c>
      <c r="AE81">
        <v>2662</v>
      </c>
      <c r="AF81">
        <v>14.1</v>
      </c>
      <c r="AG81">
        <v>0.63200000000000001</v>
      </c>
      <c r="AH81">
        <v>0.44600000000000001</v>
      </c>
      <c r="AI81">
        <v>0.52200000000000002</v>
      </c>
      <c r="AJ81">
        <v>3.8</v>
      </c>
      <c r="AK81">
        <v>11.9</v>
      </c>
      <c r="AL81">
        <v>7.9</v>
      </c>
      <c r="AM81">
        <v>6.3</v>
      </c>
      <c r="AN81">
        <v>1</v>
      </c>
      <c r="AO81">
        <v>0.3</v>
      </c>
      <c r="AP81">
        <v>8.1</v>
      </c>
      <c r="AQ81">
        <v>17.100000000000001</v>
      </c>
      <c r="AR81">
        <v>5.0999999999999996</v>
      </c>
      <c r="AS81">
        <v>1.4</v>
      </c>
      <c r="AT81">
        <v>6.5</v>
      </c>
      <c r="AU81">
        <v>0.11799999999999999</v>
      </c>
      <c r="AV81">
        <v>0.5</v>
      </c>
      <c r="AW81">
        <v>-1.5</v>
      </c>
      <c r="AX81">
        <v>-1</v>
      </c>
      <c r="AY81">
        <v>0.7</v>
      </c>
      <c r="AZ81" s="8">
        <v>2.75</v>
      </c>
      <c r="BA81" s="8">
        <v>0.14984519901158838</v>
      </c>
      <c r="BB81" s="3">
        <v>0</v>
      </c>
    </row>
    <row r="82" spans="1:54" x14ac:dyDescent="0.25">
      <c r="A82" t="s">
        <v>275</v>
      </c>
      <c r="B82" s="2">
        <v>5258280</v>
      </c>
      <c r="C82" t="s">
        <v>65</v>
      </c>
      <c r="D82">
        <v>21</v>
      </c>
      <c r="E82" t="s">
        <v>152</v>
      </c>
      <c r="F82">
        <v>80</v>
      </c>
      <c r="G82">
        <v>80</v>
      </c>
      <c r="H82">
        <v>32.6</v>
      </c>
      <c r="I82">
        <v>6.8</v>
      </c>
      <c r="J82">
        <v>14</v>
      </c>
      <c r="K82">
        <v>0.48499999999999999</v>
      </c>
      <c r="L82">
        <v>1.6</v>
      </c>
      <c r="M82">
        <v>4.5</v>
      </c>
      <c r="N82">
        <v>0.36099999999999999</v>
      </c>
      <c r="O82">
        <v>5.2</v>
      </c>
      <c r="P82">
        <v>9.5</v>
      </c>
      <c r="Q82">
        <v>0.54400000000000004</v>
      </c>
      <c r="R82">
        <v>0.54300000000000004</v>
      </c>
      <c r="S82">
        <v>3.4</v>
      </c>
      <c r="T82">
        <v>4</v>
      </c>
      <c r="U82">
        <v>0.84199999999999997</v>
      </c>
      <c r="V82">
        <v>0.9</v>
      </c>
      <c r="W82">
        <v>3.2</v>
      </c>
      <c r="X82">
        <v>4.0999999999999996</v>
      </c>
      <c r="Y82">
        <v>3.5</v>
      </c>
      <c r="Z82">
        <v>1</v>
      </c>
      <c r="AA82">
        <v>0.2</v>
      </c>
      <c r="AB82">
        <v>2.1</v>
      </c>
      <c r="AC82">
        <v>2.2999999999999998</v>
      </c>
      <c r="AD82">
        <v>18.600000000000001</v>
      </c>
      <c r="AE82">
        <v>2609</v>
      </c>
      <c r="AF82">
        <v>15.9</v>
      </c>
      <c r="AG82">
        <v>0.58899999999999997</v>
      </c>
      <c r="AH82">
        <v>0.32200000000000001</v>
      </c>
      <c r="AI82">
        <v>0.28799999999999998</v>
      </c>
      <c r="AJ82">
        <v>3</v>
      </c>
      <c r="AK82">
        <v>11.2</v>
      </c>
      <c r="AL82">
        <v>7.1</v>
      </c>
      <c r="AM82">
        <v>17.2</v>
      </c>
      <c r="AN82">
        <v>1.4</v>
      </c>
      <c r="AO82">
        <v>0.6</v>
      </c>
      <c r="AP82">
        <v>11.7</v>
      </c>
      <c r="AQ82">
        <v>23.5</v>
      </c>
      <c r="AR82">
        <v>3.1</v>
      </c>
      <c r="AS82">
        <v>2.2999999999999998</v>
      </c>
      <c r="AT82">
        <v>5.4</v>
      </c>
      <c r="AU82">
        <v>9.9000000000000005E-2</v>
      </c>
      <c r="AV82">
        <v>0.4</v>
      </c>
      <c r="AW82">
        <v>-0.5</v>
      </c>
      <c r="AX82">
        <v>-0.1</v>
      </c>
      <c r="AY82">
        <v>1.3</v>
      </c>
      <c r="AZ82" s="8">
        <v>2.6500000000000004</v>
      </c>
      <c r="BA82" s="8">
        <v>0.50396707668667329</v>
      </c>
      <c r="BB82" s="3">
        <v>0</v>
      </c>
    </row>
    <row r="83" spans="1:54" x14ac:dyDescent="0.25">
      <c r="A83" t="s">
        <v>61</v>
      </c>
      <c r="B83" s="2">
        <v>43279250</v>
      </c>
      <c r="C83" t="s">
        <v>62</v>
      </c>
      <c r="D83">
        <v>29</v>
      </c>
      <c r="E83" t="s">
        <v>63</v>
      </c>
      <c r="F83">
        <v>50</v>
      </c>
      <c r="G83">
        <v>50</v>
      </c>
      <c r="H83">
        <v>33.5</v>
      </c>
      <c r="I83">
        <v>8.9</v>
      </c>
      <c r="J83">
        <v>17.600000000000001</v>
      </c>
      <c r="K83">
        <v>0.50600000000000001</v>
      </c>
      <c r="L83">
        <v>1.6</v>
      </c>
      <c r="M83">
        <v>4.4000000000000004</v>
      </c>
      <c r="N83">
        <v>0.36499999999999999</v>
      </c>
      <c r="O83">
        <v>7.3</v>
      </c>
      <c r="P83">
        <v>13.2</v>
      </c>
      <c r="Q83">
        <v>0.55200000000000005</v>
      </c>
      <c r="R83">
        <v>0.55100000000000005</v>
      </c>
      <c r="S83">
        <v>3.8</v>
      </c>
      <c r="T83">
        <v>4.5999999999999996</v>
      </c>
      <c r="U83">
        <v>0.84199999999999997</v>
      </c>
      <c r="V83">
        <v>0.8</v>
      </c>
      <c r="W83">
        <v>3.1</v>
      </c>
      <c r="X83">
        <v>3.9</v>
      </c>
      <c r="Y83">
        <v>5.4</v>
      </c>
      <c r="Z83">
        <v>0.9</v>
      </c>
      <c r="AA83">
        <v>0.7</v>
      </c>
      <c r="AB83">
        <v>2.9</v>
      </c>
      <c r="AC83">
        <v>2.1</v>
      </c>
      <c r="AD83">
        <v>23.2</v>
      </c>
      <c r="AE83">
        <v>1673</v>
      </c>
      <c r="AF83">
        <v>19.7</v>
      </c>
      <c r="AG83">
        <v>0.59299999999999997</v>
      </c>
      <c r="AH83">
        <v>0.249</v>
      </c>
      <c r="AI83">
        <v>0.26</v>
      </c>
      <c r="AJ83">
        <v>2.8</v>
      </c>
      <c r="AK83">
        <v>9.9</v>
      </c>
      <c r="AL83">
        <v>6.5</v>
      </c>
      <c r="AM83">
        <v>26.6</v>
      </c>
      <c r="AN83">
        <v>1.3</v>
      </c>
      <c r="AO83">
        <v>1.7</v>
      </c>
      <c r="AP83">
        <v>12.9</v>
      </c>
      <c r="AQ83">
        <v>29.2</v>
      </c>
      <c r="AR83">
        <v>2.2000000000000002</v>
      </c>
      <c r="AS83">
        <v>1.2</v>
      </c>
      <c r="AT83">
        <v>3.4</v>
      </c>
      <c r="AU83">
        <v>9.9000000000000005E-2</v>
      </c>
      <c r="AV83">
        <v>2.9</v>
      </c>
      <c r="AW83">
        <v>-1.2</v>
      </c>
      <c r="AX83">
        <v>1.8</v>
      </c>
      <c r="AY83">
        <v>1.6</v>
      </c>
      <c r="AZ83" s="8">
        <v>2.6</v>
      </c>
      <c r="BA83" s="8">
        <v>6.0074978193938207E-2</v>
      </c>
      <c r="BB83" s="3">
        <v>0</v>
      </c>
    </row>
    <row r="84" spans="1:54" x14ac:dyDescent="0.25">
      <c r="A84" t="s">
        <v>104</v>
      </c>
      <c r="B84" s="2">
        <v>31650600</v>
      </c>
      <c r="C84" t="s">
        <v>65</v>
      </c>
      <c r="D84">
        <v>25</v>
      </c>
      <c r="E84" t="s">
        <v>100</v>
      </c>
      <c r="F84">
        <v>45</v>
      </c>
      <c r="G84">
        <v>45</v>
      </c>
      <c r="H84">
        <v>34.200000000000003</v>
      </c>
      <c r="I84">
        <v>9</v>
      </c>
      <c r="J84">
        <v>18.600000000000001</v>
      </c>
      <c r="K84">
        <v>0.48399999999999999</v>
      </c>
      <c r="L84">
        <v>1.4</v>
      </c>
      <c r="M84">
        <v>3.6</v>
      </c>
      <c r="N84">
        <v>0.39</v>
      </c>
      <c r="O84">
        <v>7.6</v>
      </c>
      <c r="P84">
        <v>14.9</v>
      </c>
      <c r="Q84">
        <v>0.50700000000000001</v>
      </c>
      <c r="R84">
        <v>0.52200000000000002</v>
      </c>
      <c r="S84">
        <v>5.3</v>
      </c>
      <c r="T84">
        <v>6</v>
      </c>
      <c r="U84">
        <v>0.88200000000000001</v>
      </c>
      <c r="V84">
        <v>0.5</v>
      </c>
      <c r="W84">
        <v>5</v>
      </c>
      <c r="X84">
        <v>5.5</v>
      </c>
      <c r="Y84">
        <v>5.8</v>
      </c>
      <c r="Z84">
        <v>0.7</v>
      </c>
      <c r="AA84">
        <v>0.4</v>
      </c>
      <c r="AB84">
        <v>3.3</v>
      </c>
      <c r="AC84">
        <v>2.6</v>
      </c>
      <c r="AD84">
        <v>24.7</v>
      </c>
      <c r="AE84">
        <v>1538</v>
      </c>
      <c r="AF84">
        <v>19.2</v>
      </c>
      <c r="AG84">
        <v>0.58199999999999996</v>
      </c>
      <c r="AH84">
        <v>0.19600000000000001</v>
      </c>
      <c r="AI84">
        <v>0.32600000000000001</v>
      </c>
      <c r="AJ84">
        <v>1.7</v>
      </c>
      <c r="AK84">
        <v>16.399999999999999</v>
      </c>
      <c r="AL84">
        <v>9.1</v>
      </c>
      <c r="AM84">
        <v>28.1</v>
      </c>
      <c r="AN84">
        <v>1</v>
      </c>
      <c r="AO84">
        <v>1.2</v>
      </c>
      <c r="AP84">
        <v>13.4</v>
      </c>
      <c r="AQ84">
        <v>30.8</v>
      </c>
      <c r="AR84">
        <v>1.8</v>
      </c>
      <c r="AS84">
        <v>1.7</v>
      </c>
      <c r="AT84">
        <v>3.5</v>
      </c>
      <c r="AU84">
        <v>0.108</v>
      </c>
      <c r="AV84">
        <v>2.2000000000000002</v>
      </c>
      <c r="AW84">
        <v>-0.4</v>
      </c>
      <c r="AX84">
        <v>1.7</v>
      </c>
      <c r="AY84">
        <v>1.4</v>
      </c>
      <c r="AZ84" s="8">
        <v>2.6</v>
      </c>
      <c r="BA84" s="8">
        <v>8.2146941922112054E-2</v>
      </c>
      <c r="BB84" s="3">
        <v>0</v>
      </c>
    </row>
    <row r="85" spans="1:54" x14ac:dyDescent="0.25">
      <c r="A85" t="s">
        <v>256</v>
      </c>
      <c r="B85" s="2">
        <v>6287400</v>
      </c>
      <c r="C85" t="s">
        <v>28</v>
      </c>
      <c r="D85">
        <v>20</v>
      </c>
      <c r="E85" t="s">
        <v>109</v>
      </c>
      <c r="F85">
        <v>76</v>
      </c>
      <c r="G85">
        <v>76</v>
      </c>
      <c r="H85">
        <v>31.1</v>
      </c>
      <c r="I85">
        <v>7.1</v>
      </c>
      <c r="J85">
        <v>14.7</v>
      </c>
      <c r="K85">
        <v>0.48199999999999998</v>
      </c>
      <c r="L85">
        <v>1</v>
      </c>
      <c r="M85">
        <v>3.1</v>
      </c>
      <c r="N85">
        <v>0.32500000000000001</v>
      </c>
      <c r="O85">
        <v>6.1</v>
      </c>
      <c r="P85">
        <v>11.6</v>
      </c>
      <c r="Q85">
        <v>0.52400000000000002</v>
      </c>
      <c r="R85">
        <v>0.51600000000000001</v>
      </c>
      <c r="S85">
        <v>1.4</v>
      </c>
      <c r="T85">
        <v>1.9</v>
      </c>
      <c r="U85">
        <v>0.73099999999999998</v>
      </c>
      <c r="V85">
        <v>1.9</v>
      </c>
      <c r="W85">
        <v>5.9</v>
      </c>
      <c r="X85">
        <v>7.9</v>
      </c>
      <c r="Y85">
        <v>6.2</v>
      </c>
      <c r="Z85">
        <v>0.8</v>
      </c>
      <c r="AA85">
        <v>0.4</v>
      </c>
      <c r="AB85">
        <v>2.8</v>
      </c>
      <c r="AC85">
        <v>1.9</v>
      </c>
      <c r="AD85">
        <v>16.600000000000001</v>
      </c>
      <c r="AE85">
        <v>2367</v>
      </c>
      <c r="AF85">
        <v>17.100000000000001</v>
      </c>
      <c r="AG85">
        <v>0.53300000000000003</v>
      </c>
      <c r="AH85">
        <v>0.20899999999999999</v>
      </c>
      <c r="AI85">
        <v>0.13</v>
      </c>
      <c r="AJ85">
        <v>6.6</v>
      </c>
      <c r="AK85">
        <v>20.9</v>
      </c>
      <c r="AL85">
        <v>13.6</v>
      </c>
      <c r="AM85">
        <v>29.9</v>
      </c>
      <c r="AN85">
        <v>1.1000000000000001</v>
      </c>
      <c r="AO85">
        <v>1.2</v>
      </c>
      <c r="AP85">
        <v>15.1</v>
      </c>
      <c r="AQ85">
        <v>24.6</v>
      </c>
      <c r="AR85">
        <v>1.3</v>
      </c>
      <c r="AS85">
        <v>2.7</v>
      </c>
      <c r="AT85">
        <v>4</v>
      </c>
      <c r="AU85">
        <v>8.1000000000000003E-2</v>
      </c>
      <c r="AV85">
        <v>1.5</v>
      </c>
      <c r="AW85">
        <v>-0.3</v>
      </c>
      <c r="AX85">
        <v>1.2</v>
      </c>
      <c r="AY85">
        <v>1.9</v>
      </c>
      <c r="AZ85" s="8">
        <v>2.6</v>
      </c>
      <c r="BA85" s="8">
        <v>0.413525463625664</v>
      </c>
      <c r="BB85" s="3">
        <v>0</v>
      </c>
    </row>
    <row r="86" spans="1:54" x14ac:dyDescent="0.25">
      <c r="A86" t="s">
        <v>221</v>
      </c>
      <c r="B86" s="2">
        <v>8925000</v>
      </c>
      <c r="C86" t="s">
        <v>62</v>
      </c>
      <c r="D86">
        <v>27</v>
      </c>
      <c r="E86" t="s">
        <v>68</v>
      </c>
      <c r="F86">
        <v>72</v>
      </c>
      <c r="G86">
        <v>70</v>
      </c>
      <c r="H86">
        <v>27.4</v>
      </c>
      <c r="I86">
        <v>3.4</v>
      </c>
      <c r="J86">
        <v>7.7</v>
      </c>
      <c r="K86">
        <v>0.44</v>
      </c>
      <c r="L86">
        <v>2</v>
      </c>
      <c r="M86">
        <v>5.0999999999999996</v>
      </c>
      <c r="N86">
        <v>0.39900000000000002</v>
      </c>
      <c r="O86">
        <v>1.4</v>
      </c>
      <c r="P86">
        <v>2.7</v>
      </c>
      <c r="Q86">
        <v>0.51800000000000002</v>
      </c>
      <c r="R86">
        <v>0.57099999999999995</v>
      </c>
      <c r="S86">
        <v>1.6</v>
      </c>
      <c r="T86">
        <v>1.8</v>
      </c>
      <c r="U86">
        <v>0.90500000000000003</v>
      </c>
      <c r="V86">
        <v>0.8</v>
      </c>
      <c r="W86">
        <v>2.4</v>
      </c>
      <c r="X86">
        <v>3.3</v>
      </c>
      <c r="Y86">
        <v>2.2999999999999998</v>
      </c>
      <c r="Z86">
        <v>0.9</v>
      </c>
      <c r="AA86">
        <v>0.2</v>
      </c>
      <c r="AB86">
        <v>1</v>
      </c>
      <c r="AC86">
        <v>1.6</v>
      </c>
      <c r="AD86">
        <v>10.4</v>
      </c>
      <c r="AE86">
        <v>1972</v>
      </c>
      <c r="AF86">
        <v>12.3</v>
      </c>
      <c r="AG86">
        <v>0.61199999999999999</v>
      </c>
      <c r="AH86">
        <v>0.65700000000000003</v>
      </c>
      <c r="AI86">
        <v>0.22600000000000001</v>
      </c>
      <c r="AJ86">
        <v>3.4</v>
      </c>
      <c r="AK86">
        <v>9</v>
      </c>
      <c r="AL86">
        <v>6.3</v>
      </c>
      <c r="AM86">
        <v>10.9</v>
      </c>
      <c r="AN86">
        <v>1.5</v>
      </c>
      <c r="AO86">
        <v>0.6</v>
      </c>
      <c r="AP86">
        <v>10.5</v>
      </c>
      <c r="AQ86">
        <v>14.6</v>
      </c>
      <c r="AR86">
        <v>2.8</v>
      </c>
      <c r="AS86">
        <v>2.2000000000000002</v>
      </c>
      <c r="AT86">
        <v>5.0999999999999996</v>
      </c>
      <c r="AU86">
        <v>0.123</v>
      </c>
      <c r="AV86">
        <v>-0.6</v>
      </c>
      <c r="AW86">
        <v>0.7</v>
      </c>
      <c r="AX86">
        <v>0.1</v>
      </c>
      <c r="AY86">
        <v>1</v>
      </c>
      <c r="AZ86" s="8">
        <v>2.5999999999999996</v>
      </c>
      <c r="BA86" s="8">
        <v>0.29131652661064422</v>
      </c>
      <c r="BB86" s="3">
        <v>0</v>
      </c>
    </row>
    <row r="87" spans="1:54" x14ac:dyDescent="0.25">
      <c r="A87" t="s">
        <v>153</v>
      </c>
      <c r="B87" s="2">
        <v>17357143</v>
      </c>
      <c r="C87" t="s">
        <v>65</v>
      </c>
      <c r="D87">
        <v>25</v>
      </c>
      <c r="E87" t="s">
        <v>91</v>
      </c>
      <c r="F87">
        <v>67</v>
      </c>
      <c r="G87">
        <v>67</v>
      </c>
      <c r="H87">
        <v>35.6</v>
      </c>
      <c r="I87">
        <v>6.3</v>
      </c>
      <c r="J87">
        <v>13.2</v>
      </c>
      <c r="K87">
        <v>0.47599999999999998</v>
      </c>
      <c r="L87">
        <v>2.1</v>
      </c>
      <c r="M87">
        <v>5.5</v>
      </c>
      <c r="N87">
        <v>0.38700000000000001</v>
      </c>
      <c r="O87">
        <v>4.2</v>
      </c>
      <c r="P87">
        <v>7.7</v>
      </c>
      <c r="Q87">
        <v>0.53900000000000003</v>
      </c>
      <c r="R87">
        <v>0.55600000000000005</v>
      </c>
      <c r="S87">
        <v>2.1</v>
      </c>
      <c r="T87">
        <v>2.5</v>
      </c>
      <c r="U87">
        <v>0.83799999999999997</v>
      </c>
      <c r="V87">
        <v>1.4</v>
      </c>
      <c r="W87">
        <v>3.5</v>
      </c>
      <c r="X87">
        <v>5</v>
      </c>
      <c r="Y87">
        <v>2</v>
      </c>
      <c r="Z87">
        <v>1.9</v>
      </c>
      <c r="AA87">
        <v>0.7</v>
      </c>
      <c r="AB87">
        <v>2</v>
      </c>
      <c r="AC87">
        <v>3</v>
      </c>
      <c r="AD87">
        <v>16.8</v>
      </c>
      <c r="AE87">
        <v>2386</v>
      </c>
      <c r="AF87">
        <v>14.6</v>
      </c>
      <c r="AG87">
        <v>0.58599999999999997</v>
      </c>
      <c r="AH87">
        <v>0.41499999999999998</v>
      </c>
      <c r="AI87">
        <v>0.189</v>
      </c>
      <c r="AJ87">
        <v>4.2</v>
      </c>
      <c r="AK87">
        <v>12.1</v>
      </c>
      <c r="AL87">
        <v>7.9</v>
      </c>
      <c r="AM87">
        <v>8</v>
      </c>
      <c r="AN87">
        <v>2.7</v>
      </c>
      <c r="AO87">
        <v>2</v>
      </c>
      <c r="AP87">
        <v>12.1</v>
      </c>
      <c r="AQ87">
        <v>19.5</v>
      </c>
      <c r="AR87">
        <v>1.8</v>
      </c>
      <c r="AS87">
        <v>2.9</v>
      </c>
      <c r="AT87">
        <v>4.7</v>
      </c>
      <c r="AU87">
        <v>9.4E-2</v>
      </c>
      <c r="AV87">
        <v>-0.3</v>
      </c>
      <c r="AW87">
        <v>0.7</v>
      </c>
      <c r="AX87">
        <v>0.4</v>
      </c>
      <c r="AY87">
        <v>1.5</v>
      </c>
      <c r="AZ87" s="8">
        <v>2.5500000000000003</v>
      </c>
      <c r="BA87" s="8">
        <v>0.14691357903774835</v>
      </c>
      <c r="BB87" s="3">
        <v>0</v>
      </c>
    </row>
    <row r="88" spans="1:54" x14ac:dyDescent="0.25">
      <c r="A88" t="s">
        <v>232</v>
      </c>
      <c r="B88" s="2">
        <v>8250000</v>
      </c>
      <c r="C88" t="s">
        <v>62</v>
      </c>
      <c r="D88">
        <v>24</v>
      </c>
      <c r="E88" t="s">
        <v>82</v>
      </c>
      <c r="F88">
        <v>77</v>
      </c>
      <c r="G88">
        <v>58</v>
      </c>
      <c r="H88">
        <v>27.9</v>
      </c>
      <c r="I88">
        <v>3.6</v>
      </c>
      <c r="J88">
        <v>8.5</v>
      </c>
      <c r="K88">
        <v>0.42499999999999999</v>
      </c>
      <c r="L88">
        <v>2</v>
      </c>
      <c r="M88">
        <v>5.2</v>
      </c>
      <c r="N88">
        <v>0.39</v>
      </c>
      <c r="O88">
        <v>1.6</v>
      </c>
      <c r="P88">
        <v>3.2</v>
      </c>
      <c r="Q88">
        <v>0.48399999999999999</v>
      </c>
      <c r="R88">
        <v>0.54600000000000004</v>
      </c>
      <c r="S88">
        <v>0.9</v>
      </c>
      <c r="T88">
        <v>1.1000000000000001</v>
      </c>
      <c r="U88">
        <v>0.79300000000000004</v>
      </c>
      <c r="V88">
        <v>0.9</v>
      </c>
      <c r="W88">
        <v>3.2</v>
      </c>
      <c r="X88">
        <v>4.0999999999999996</v>
      </c>
      <c r="Y88">
        <v>2.6</v>
      </c>
      <c r="Z88">
        <v>1.6</v>
      </c>
      <c r="AA88">
        <v>0.5</v>
      </c>
      <c r="AB88">
        <v>1.3</v>
      </c>
      <c r="AC88">
        <v>2.5</v>
      </c>
      <c r="AD88">
        <v>10.1</v>
      </c>
      <c r="AE88">
        <v>2150</v>
      </c>
      <c r="AF88">
        <v>12.7</v>
      </c>
      <c r="AG88">
        <v>0.56599999999999995</v>
      </c>
      <c r="AH88">
        <v>0.61899999999999999</v>
      </c>
      <c r="AI88">
        <v>0.13400000000000001</v>
      </c>
      <c r="AJ88">
        <v>3.9</v>
      </c>
      <c r="AK88">
        <v>13.1</v>
      </c>
      <c r="AL88">
        <v>8.6</v>
      </c>
      <c r="AM88">
        <v>12.9</v>
      </c>
      <c r="AN88">
        <v>2.9</v>
      </c>
      <c r="AO88">
        <v>1.8</v>
      </c>
      <c r="AP88">
        <v>12.9</v>
      </c>
      <c r="AQ88">
        <v>16.399999999999999</v>
      </c>
      <c r="AR88">
        <v>1.1000000000000001</v>
      </c>
      <c r="AS88">
        <v>3.1</v>
      </c>
      <c r="AT88">
        <v>4.2</v>
      </c>
      <c r="AU88">
        <v>9.5000000000000001E-2</v>
      </c>
      <c r="AV88">
        <v>-0.7</v>
      </c>
      <c r="AW88">
        <v>1.6</v>
      </c>
      <c r="AX88">
        <v>0.9</v>
      </c>
      <c r="AY88">
        <v>1.6</v>
      </c>
      <c r="AZ88" s="8">
        <v>2.5500000000000003</v>
      </c>
      <c r="BA88" s="8">
        <v>0.30909090909090914</v>
      </c>
      <c r="BB88" s="3">
        <v>0</v>
      </c>
    </row>
    <row r="89" spans="1:54" x14ac:dyDescent="0.25">
      <c r="A89" t="s">
        <v>99</v>
      </c>
      <c r="B89" s="2">
        <v>33333333</v>
      </c>
      <c r="C89" t="s">
        <v>62</v>
      </c>
      <c r="D89">
        <v>31</v>
      </c>
      <c r="E89" t="s">
        <v>100</v>
      </c>
      <c r="F89">
        <v>75</v>
      </c>
      <c r="G89">
        <v>75</v>
      </c>
      <c r="H89">
        <v>35.299999999999997</v>
      </c>
      <c r="I89">
        <v>7.8</v>
      </c>
      <c r="J89">
        <v>17.899999999999999</v>
      </c>
      <c r="K89">
        <v>0.437</v>
      </c>
      <c r="L89">
        <v>2.8</v>
      </c>
      <c r="M89">
        <v>7.2</v>
      </c>
      <c r="N89">
        <v>0.38900000000000001</v>
      </c>
      <c r="O89">
        <v>5</v>
      </c>
      <c r="P89">
        <v>10.7</v>
      </c>
      <c r="Q89">
        <v>0.46899999999999997</v>
      </c>
      <c r="R89">
        <v>0.51500000000000001</v>
      </c>
      <c r="S89">
        <v>2.4</v>
      </c>
      <c r="T89">
        <v>3.2</v>
      </c>
      <c r="U89">
        <v>0.76900000000000002</v>
      </c>
      <c r="V89">
        <v>0.7</v>
      </c>
      <c r="W89">
        <v>3.6</v>
      </c>
      <c r="X89">
        <v>4.4000000000000004</v>
      </c>
      <c r="Y89">
        <v>5.7</v>
      </c>
      <c r="Z89">
        <v>0.9</v>
      </c>
      <c r="AA89">
        <v>0.5</v>
      </c>
      <c r="AB89">
        <v>2.4</v>
      </c>
      <c r="AC89">
        <v>2</v>
      </c>
      <c r="AD89">
        <v>20.9</v>
      </c>
      <c r="AE89">
        <v>2649</v>
      </c>
      <c r="AF89">
        <v>15.6</v>
      </c>
      <c r="AG89">
        <v>0.54100000000000004</v>
      </c>
      <c r="AH89">
        <v>0.40400000000000003</v>
      </c>
      <c r="AI89">
        <v>0.17699999999999999</v>
      </c>
      <c r="AJ89">
        <v>2.4</v>
      </c>
      <c r="AK89">
        <v>11.7</v>
      </c>
      <c r="AL89">
        <v>7</v>
      </c>
      <c r="AM89">
        <v>25.1</v>
      </c>
      <c r="AN89">
        <v>1.3</v>
      </c>
      <c r="AO89">
        <v>1.4</v>
      </c>
      <c r="AP89">
        <v>11.2</v>
      </c>
      <c r="AQ89">
        <v>26.4</v>
      </c>
      <c r="AR89">
        <v>1.5</v>
      </c>
      <c r="AS89">
        <v>2.8</v>
      </c>
      <c r="AT89">
        <v>4.3</v>
      </c>
      <c r="AU89">
        <v>7.8E-2</v>
      </c>
      <c r="AV89">
        <v>1.5</v>
      </c>
      <c r="AW89">
        <v>-0.7</v>
      </c>
      <c r="AX89">
        <v>0.8</v>
      </c>
      <c r="AY89">
        <v>1.9</v>
      </c>
      <c r="AZ89" s="8">
        <v>2.5499999999999998</v>
      </c>
      <c r="BA89" s="8">
        <v>7.6500000765000006E-2</v>
      </c>
      <c r="BB89" s="3">
        <v>0</v>
      </c>
    </row>
    <row r="90" spans="1:54" x14ac:dyDescent="0.25">
      <c r="A90" t="s">
        <v>319</v>
      </c>
      <c r="B90" s="2">
        <v>3613680</v>
      </c>
      <c r="C90" t="s">
        <v>52</v>
      </c>
      <c r="D90">
        <v>22</v>
      </c>
      <c r="E90" t="s">
        <v>152</v>
      </c>
      <c r="F90">
        <v>60</v>
      </c>
      <c r="G90">
        <v>4</v>
      </c>
      <c r="H90">
        <v>25.9</v>
      </c>
      <c r="I90">
        <v>4.5999999999999996</v>
      </c>
      <c r="J90">
        <v>10.199999999999999</v>
      </c>
      <c r="K90">
        <v>0.45400000000000001</v>
      </c>
      <c r="L90">
        <v>1.3</v>
      </c>
      <c r="M90">
        <v>3.4</v>
      </c>
      <c r="N90">
        <v>0.36399999999999999</v>
      </c>
      <c r="O90">
        <v>3.4</v>
      </c>
      <c r="P90">
        <v>6.7</v>
      </c>
      <c r="Q90">
        <v>0.5</v>
      </c>
      <c r="R90">
        <v>0.51600000000000001</v>
      </c>
      <c r="S90">
        <v>2.5</v>
      </c>
      <c r="T90">
        <v>2.8</v>
      </c>
      <c r="U90">
        <v>0.89400000000000002</v>
      </c>
      <c r="V90">
        <v>0.8</v>
      </c>
      <c r="W90">
        <v>4</v>
      </c>
      <c r="X90">
        <v>4.8</v>
      </c>
      <c r="Y90">
        <v>3.9</v>
      </c>
      <c r="Z90">
        <v>0.6</v>
      </c>
      <c r="AA90">
        <v>0.5</v>
      </c>
      <c r="AB90">
        <v>1.5</v>
      </c>
      <c r="AC90">
        <v>2.6</v>
      </c>
      <c r="AD90">
        <v>13</v>
      </c>
      <c r="AE90">
        <v>1552</v>
      </c>
      <c r="AF90">
        <v>16</v>
      </c>
      <c r="AG90">
        <v>0.56999999999999995</v>
      </c>
      <c r="AH90">
        <v>0.33800000000000002</v>
      </c>
      <c r="AI90">
        <v>0.27900000000000003</v>
      </c>
      <c r="AJ90">
        <v>3.4</v>
      </c>
      <c r="AK90">
        <v>17.600000000000001</v>
      </c>
      <c r="AL90">
        <v>10.5</v>
      </c>
      <c r="AM90">
        <v>22.9</v>
      </c>
      <c r="AN90">
        <v>1.2</v>
      </c>
      <c r="AO90">
        <v>1.9</v>
      </c>
      <c r="AP90">
        <v>11.7</v>
      </c>
      <c r="AQ90">
        <v>21.5</v>
      </c>
      <c r="AR90">
        <v>2.1</v>
      </c>
      <c r="AS90">
        <v>1.7</v>
      </c>
      <c r="AT90">
        <v>3.7</v>
      </c>
      <c r="AU90">
        <v>0.11600000000000001</v>
      </c>
      <c r="AV90">
        <v>0.7</v>
      </c>
      <c r="AW90">
        <v>0.5</v>
      </c>
      <c r="AX90">
        <v>1.3</v>
      </c>
      <c r="AY90">
        <v>1.3</v>
      </c>
      <c r="AZ90" s="8">
        <v>2.5</v>
      </c>
      <c r="BA90" s="8">
        <v>0.69181554537203072</v>
      </c>
      <c r="BB90" s="3">
        <v>0</v>
      </c>
    </row>
    <row r="91" spans="1:54" x14ac:dyDescent="0.25">
      <c r="A91" t="s">
        <v>184</v>
      </c>
      <c r="B91" s="2">
        <v>12690000</v>
      </c>
      <c r="C91" t="s">
        <v>28</v>
      </c>
      <c r="D91">
        <v>30</v>
      </c>
      <c r="E91" t="s">
        <v>91</v>
      </c>
      <c r="F91">
        <v>76</v>
      </c>
      <c r="G91">
        <v>0</v>
      </c>
      <c r="H91">
        <v>20</v>
      </c>
      <c r="I91">
        <v>3.4</v>
      </c>
      <c r="J91">
        <v>7</v>
      </c>
      <c r="K91">
        <v>0.49299999999999999</v>
      </c>
      <c r="L91">
        <v>0.8</v>
      </c>
      <c r="M91">
        <v>2.5</v>
      </c>
      <c r="N91">
        <v>0.32800000000000001</v>
      </c>
      <c r="O91">
        <v>2.6</v>
      </c>
      <c r="P91">
        <v>4.5</v>
      </c>
      <c r="Q91">
        <v>0.58499999999999996</v>
      </c>
      <c r="R91">
        <v>0.55200000000000005</v>
      </c>
      <c r="S91">
        <v>1.7</v>
      </c>
      <c r="T91">
        <v>2.2000000000000002</v>
      </c>
      <c r="U91">
        <v>0.76200000000000001</v>
      </c>
      <c r="V91">
        <v>2.1</v>
      </c>
      <c r="W91">
        <v>3.5</v>
      </c>
      <c r="X91">
        <v>5.5</v>
      </c>
      <c r="Y91">
        <v>0.4</v>
      </c>
      <c r="Z91">
        <v>0.6</v>
      </c>
      <c r="AA91">
        <v>0.8</v>
      </c>
      <c r="AB91">
        <v>0.5</v>
      </c>
      <c r="AC91">
        <v>1.9</v>
      </c>
      <c r="AD91">
        <v>9.4</v>
      </c>
      <c r="AE91">
        <v>1523</v>
      </c>
      <c r="AF91">
        <v>18</v>
      </c>
      <c r="AG91">
        <v>0.59</v>
      </c>
      <c r="AH91">
        <v>0.35699999999999998</v>
      </c>
      <c r="AI91">
        <v>0.318</v>
      </c>
      <c r="AJ91">
        <v>10.9</v>
      </c>
      <c r="AK91">
        <v>21.2</v>
      </c>
      <c r="AL91">
        <v>15.7</v>
      </c>
      <c r="AM91">
        <v>2.7</v>
      </c>
      <c r="AN91">
        <v>1.5</v>
      </c>
      <c r="AO91">
        <v>4.0999999999999996</v>
      </c>
      <c r="AP91">
        <v>6.4</v>
      </c>
      <c r="AQ91">
        <v>18</v>
      </c>
      <c r="AR91">
        <v>3</v>
      </c>
      <c r="AS91">
        <v>2</v>
      </c>
      <c r="AT91">
        <v>5</v>
      </c>
      <c r="AU91">
        <v>0.156</v>
      </c>
      <c r="AV91">
        <v>0.7</v>
      </c>
      <c r="AW91">
        <v>-0.8</v>
      </c>
      <c r="AX91">
        <v>-0.1</v>
      </c>
      <c r="AY91">
        <v>0.7</v>
      </c>
      <c r="AZ91" s="8">
        <v>2.4500000000000002</v>
      </c>
      <c r="BA91" s="8">
        <v>0.19306540583136328</v>
      </c>
      <c r="BB91" s="3">
        <v>0</v>
      </c>
    </row>
    <row r="92" spans="1:54" x14ac:dyDescent="0.25">
      <c r="A92" t="s">
        <v>292</v>
      </c>
      <c r="B92" s="2">
        <v>4500000</v>
      </c>
      <c r="C92" t="s">
        <v>62</v>
      </c>
      <c r="D92">
        <v>26</v>
      </c>
      <c r="E92" t="s">
        <v>53</v>
      </c>
      <c r="F92">
        <v>72</v>
      </c>
      <c r="G92">
        <v>36</v>
      </c>
      <c r="H92">
        <v>26.3</v>
      </c>
      <c r="I92">
        <v>3.3</v>
      </c>
      <c r="J92">
        <v>7.5</v>
      </c>
      <c r="K92">
        <v>0.435</v>
      </c>
      <c r="L92">
        <v>2.1</v>
      </c>
      <c r="M92">
        <v>5.3</v>
      </c>
      <c r="N92">
        <v>0.39700000000000002</v>
      </c>
      <c r="O92">
        <v>1.2</v>
      </c>
      <c r="P92">
        <v>2.2999999999999998</v>
      </c>
      <c r="Q92">
        <v>0.52500000000000002</v>
      </c>
      <c r="R92">
        <v>0.57399999999999995</v>
      </c>
      <c r="S92">
        <v>0.8</v>
      </c>
      <c r="T92">
        <v>1</v>
      </c>
      <c r="U92">
        <v>0.81699999999999995</v>
      </c>
      <c r="V92">
        <v>1.1000000000000001</v>
      </c>
      <c r="W92">
        <v>3.4</v>
      </c>
      <c r="X92">
        <v>4.5</v>
      </c>
      <c r="Y92">
        <v>3.5</v>
      </c>
      <c r="Z92">
        <v>1.3</v>
      </c>
      <c r="AA92">
        <v>0.1</v>
      </c>
      <c r="AB92">
        <v>1.6</v>
      </c>
      <c r="AC92">
        <v>1.8</v>
      </c>
      <c r="AD92">
        <v>9.4</v>
      </c>
      <c r="AE92">
        <v>1894</v>
      </c>
      <c r="AF92">
        <v>12.8</v>
      </c>
      <c r="AG92">
        <v>0.59299999999999997</v>
      </c>
      <c r="AH92">
        <v>0.7</v>
      </c>
      <c r="AI92">
        <v>0.13100000000000001</v>
      </c>
      <c r="AJ92">
        <v>4.7</v>
      </c>
      <c r="AK92">
        <v>14</v>
      </c>
      <c r="AL92">
        <v>9.4</v>
      </c>
      <c r="AM92">
        <v>17.3</v>
      </c>
      <c r="AN92">
        <v>2.4</v>
      </c>
      <c r="AO92">
        <v>0.5</v>
      </c>
      <c r="AP92">
        <v>16.399999999999999</v>
      </c>
      <c r="AQ92">
        <v>15.1</v>
      </c>
      <c r="AR92">
        <v>1.9</v>
      </c>
      <c r="AS92">
        <v>2.2999999999999998</v>
      </c>
      <c r="AT92">
        <v>4.2</v>
      </c>
      <c r="AU92">
        <v>0.106</v>
      </c>
      <c r="AV92">
        <v>-0.6</v>
      </c>
      <c r="AW92">
        <v>1.3</v>
      </c>
      <c r="AX92">
        <v>0.7</v>
      </c>
      <c r="AY92">
        <v>1.3</v>
      </c>
      <c r="AZ92" s="8">
        <v>2.4500000000000002</v>
      </c>
      <c r="BA92" s="8">
        <v>0.5444444444444444</v>
      </c>
      <c r="BB92" s="3">
        <v>0</v>
      </c>
    </row>
    <row r="93" spans="1:54" x14ac:dyDescent="0.25">
      <c r="A93" t="s">
        <v>198</v>
      </c>
      <c r="B93" s="2">
        <v>10733400</v>
      </c>
      <c r="C93" t="s">
        <v>62</v>
      </c>
      <c r="D93">
        <v>21</v>
      </c>
      <c r="E93" t="s">
        <v>76</v>
      </c>
      <c r="F93">
        <v>79</v>
      </c>
      <c r="G93">
        <v>79</v>
      </c>
      <c r="H93">
        <v>36</v>
      </c>
      <c r="I93">
        <v>8.9</v>
      </c>
      <c r="J93">
        <v>19.5</v>
      </c>
      <c r="K93">
        <v>0.45900000000000002</v>
      </c>
      <c r="L93">
        <v>2.7</v>
      </c>
      <c r="M93">
        <v>7.3</v>
      </c>
      <c r="N93">
        <v>0.36899999999999999</v>
      </c>
      <c r="O93">
        <v>6.3</v>
      </c>
      <c r="P93">
        <v>12.2</v>
      </c>
      <c r="Q93">
        <v>0.51300000000000001</v>
      </c>
      <c r="R93">
        <v>0.52800000000000002</v>
      </c>
      <c r="S93">
        <v>4</v>
      </c>
      <c r="T93">
        <v>5.3</v>
      </c>
      <c r="U93">
        <v>0.75600000000000001</v>
      </c>
      <c r="V93">
        <v>0.6</v>
      </c>
      <c r="W93">
        <v>5.2</v>
      </c>
      <c r="X93">
        <v>5.8</v>
      </c>
      <c r="Y93">
        <v>4.4000000000000004</v>
      </c>
      <c r="Z93">
        <v>1.6</v>
      </c>
      <c r="AA93">
        <v>0.7</v>
      </c>
      <c r="AB93">
        <v>3.3</v>
      </c>
      <c r="AC93">
        <v>2.4</v>
      </c>
      <c r="AD93">
        <v>24.6</v>
      </c>
      <c r="AE93">
        <v>2842</v>
      </c>
      <c r="AF93">
        <v>17.399999999999999</v>
      </c>
      <c r="AG93">
        <v>0.56399999999999995</v>
      </c>
      <c r="AH93">
        <v>0.375</v>
      </c>
      <c r="AI93">
        <v>0.27400000000000002</v>
      </c>
      <c r="AJ93">
        <v>1.9</v>
      </c>
      <c r="AK93">
        <v>15.9</v>
      </c>
      <c r="AL93">
        <v>9</v>
      </c>
      <c r="AM93">
        <v>19.3</v>
      </c>
      <c r="AN93">
        <v>2.1</v>
      </c>
      <c r="AO93">
        <v>1.8</v>
      </c>
      <c r="AP93">
        <v>13</v>
      </c>
      <c r="AQ93">
        <v>29.9</v>
      </c>
      <c r="AR93">
        <v>0.2</v>
      </c>
      <c r="AS93">
        <v>3.6</v>
      </c>
      <c r="AT93">
        <v>3.8</v>
      </c>
      <c r="AU93">
        <v>6.4000000000000001E-2</v>
      </c>
      <c r="AV93">
        <v>1</v>
      </c>
      <c r="AW93">
        <v>0</v>
      </c>
      <c r="AX93">
        <v>1</v>
      </c>
      <c r="AY93">
        <v>2.1</v>
      </c>
      <c r="AZ93" s="8">
        <v>2.4</v>
      </c>
      <c r="BA93" s="8">
        <v>0.22360109564536867</v>
      </c>
      <c r="BB93" s="3">
        <v>0</v>
      </c>
    </row>
    <row r="94" spans="1:54" x14ac:dyDescent="0.25">
      <c r="A94" t="s">
        <v>183</v>
      </c>
      <c r="B94" s="2">
        <v>12804878</v>
      </c>
      <c r="C94" t="s">
        <v>75</v>
      </c>
      <c r="D94">
        <v>31</v>
      </c>
      <c r="E94" t="s">
        <v>130</v>
      </c>
      <c r="F94">
        <v>68</v>
      </c>
      <c r="G94">
        <v>68</v>
      </c>
      <c r="H94">
        <v>28.6</v>
      </c>
      <c r="I94">
        <v>4.0999999999999996</v>
      </c>
      <c r="J94">
        <v>8.1999999999999993</v>
      </c>
      <c r="K94">
        <v>0.499</v>
      </c>
      <c r="L94">
        <v>1.4</v>
      </c>
      <c r="M94">
        <v>3.5</v>
      </c>
      <c r="N94">
        <v>0.39400000000000002</v>
      </c>
      <c r="O94">
        <v>2.7</v>
      </c>
      <c r="P94">
        <v>4.7</v>
      </c>
      <c r="Q94">
        <v>0.57599999999999996</v>
      </c>
      <c r="R94">
        <v>0.58299999999999996</v>
      </c>
      <c r="S94">
        <v>2.9</v>
      </c>
      <c r="T94">
        <v>3.4</v>
      </c>
      <c r="U94">
        <v>0.85299999999999998</v>
      </c>
      <c r="V94">
        <v>1.2</v>
      </c>
      <c r="W94">
        <v>5</v>
      </c>
      <c r="X94">
        <v>6.2</v>
      </c>
      <c r="Y94">
        <v>3.7</v>
      </c>
      <c r="Z94">
        <v>0.9</v>
      </c>
      <c r="AA94">
        <v>0.5</v>
      </c>
      <c r="AB94">
        <v>2.5</v>
      </c>
      <c r="AC94">
        <v>3.4</v>
      </c>
      <c r="AD94">
        <v>12.5</v>
      </c>
      <c r="AE94">
        <v>1942</v>
      </c>
      <c r="AF94">
        <v>14.4</v>
      </c>
      <c r="AG94">
        <v>0.64300000000000002</v>
      </c>
      <c r="AH94">
        <v>0.42399999999999999</v>
      </c>
      <c r="AI94">
        <v>0.41699999999999998</v>
      </c>
      <c r="AJ94">
        <v>4.5999999999999996</v>
      </c>
      <c r="AK94">
        <v>18.600000000000001</v>
      </c>
      <c r="AL94">
        <v>11.7</v>
      </c>
      <c r="AM94">
        <v>17.600000000000001</v>
      </c>
      <c r="AN94">
        <v>1.5</v>
      </c>
      <c r="AO94">
        <v>1.6</v>
      </c>
      <c r="AP94">
        <v>20.3</v>
      </c>
      <c r="AQ94">
        <v>17.8</v>
      </c>
      <c r="AR94">
        <v>2.4</v>
      </c>
      <c r="AS94">
        <v>1.9</v>
      </c>
      <c r="AT94">
        <v>4.3</v>
      </c>
      <c r="AU94">
        <v>0.106</v>
      </c>
      <c r="AV94">
        <v>-0.4</v>
      </c>
      <c r="AW94">
        <v>0.9</v>
      </c>
      <c r="AX94">
        <v>0.4</v>
      </c>
      <c r="AY94">
        <v>1.2</v>
      </c>
      <c r="AZ94" s="8">
        <v>2.35</v>
      </c>
      <c r="BA94" s="8">
        <v>0.18352381022294784</v>
      </c>
      <c r="BB94" s="3">
        <v>0</v>
      </c>
    </row>
    <row r="95" spans="1:54" x14ac:dyDescent="0.25">
      <c r="A95" t="s">
        <v>217</v>
      </c>
      <c r="B95" s="2">
        <v>9125000</v>
      </c>
      <c r="C95" t="s">
        <v>52</v>
      </c>
      <c r="D95">
        <v>27</v>
      </c>
      <c r="E95" t="s">
        <v>63</v>
      </c>
      <c r="F95">
        <v>62</v>
      </c>
      <c r="G95">
        <v>61</v>
      </c>
      <c r="H95">
        <v>27.3</v>
      </c>
      <c r="I95">
        <v>4</v>
      </c>
      <c r="J95">
        <v>8.3000000000000007</v>
      </c>
      <c r="K95">
        <v>0.48</v>
      </c>
      <c r="L95">
        <v>1.3</v>
      </c>
      <c r="M95">
        <v>3.3</v>
      </c>
      <c r="N95">
        <v>0.38200000000000001</v>
      </c>
      <c r="O95">
        <v>2.7</v>
      </c>
      <c r="P95">
        <v>5</v>
      </c>
      <c r="Q95">
        <v>0.54300000000000004</v>
      </c>
      <c r="R95">
        <v>0.55500000000000005</v>
      </c>
      <c r="S95">
        <v>1</v>
      </c>
      <c r="T95">
        <v>1.2</v>
      </c>
      <c r="U95">
        <v>0.83099999999999996</v>
      </c>
      <c r="V95">
        <v>0.4</v>
      </c>
      <c r="W95">
        <v>3</v>
      </c>
      <c r="X95">
        <v>3.4</v>
      </c>
      <c r="Y95">
        <v>5.3</v>
      </c>
      <c r="Z95">
        <v>0.7</v>
      </c>
      <c r="AA95">
        <v>0.2</v>
      </c>
      <c r="AB95">
        <v>1</v>
      </c>
      <c r="AC95">
        <v>1.2</v>
      </c>
      <c r="AD95">
        <v>10.3</v>
      </c>
      <c r="AE95">
        <v>1695</v>
      </c>
      <c r="AF95">
        <v>15</v>
      </c>
      <c r="AG95">
        <v>0.57899999999999996</v>
      </c>
      <c r="AH95">
        <v>0.39600000000000002</v>
      </c>
      <c r="AI95">
        <v>0.15</v>
      </c>
      <c r="AJ95">
        <v>1.8</v>
      </c>
      <c r="AK95">
        <v>11.6</v>
      </c>
      <c r="AL95">
        <v>6.9</v>
      </c>
      <c r="AM95">
        <v>26.4</v>
      </c>
      <c r="AN95">
        <v>1.2</v>
      </c>
      <c r="AO95">
        <v>0.6</v>
      </c>
      <c r="AP95">
        <v>9.9</v>
      </c>
      <c r="AQ95">
        <v>15.6</v>
      </c>
      <c r="AR95">
        <v>3.1</v>
      </c>
      <c r="AS95">
        <v>1.1000000000000001</v>
      </c>
      <c r="AT95">
        <v>4.2</v>
      </c>
      <c r="AU95">
        <v>0.12</v>
      </c>
      <c r="AV95">
        <v>0.8</v>
      </c>
      <c r="AW95">
        <v>-0.4</v>
      </c>
      <c r="AX95">
        <v>0.5</v>
      </c>
      <c r="AY95">
        <v>1.1000000000000001</v>
      </c>
      <c r="AZ95" s="8">
        <v>2.35</v>
      </c>
      <c r="BA95" s="8">
        <v>0.25753424657534246</v>
      </c>
      <c r="BB95" s="3">
        <v>0</v>
      </c>
    </row>
    <row r="96" spans="1:54" x14ac:dyDescent="0.25">
      <c r="A96" t="s">
        <v>219</v>
      </c>
      <c r="B96" s="2">
        <v>9030000</v>
      </c>
      <c r="C96" t="s">
        <v>52</v>
      </c>
      <c r="D96">
        <v>28</v>
      </c>
      <c r="E96" t="s">
        <v>87</v>
      </c>
      <c r="F96">
        <v>67</v>
      </c>
      <c r="G96">
        <v>36</v>
      </c>
      <c r="H96">
        <v>23.5</v>
      </c>
      <c r="I96">
        <v>1.9</v>
      </c>
      <c r="J96">
        <v>4.3</v>
      </c>
      <c r="K96">
        <v>0.45500000000000002</v>
      </c>
      <c r="L96">
        <v>0.8</v>
      </c>
      <c r="M96">
        <v>2.2999999999999998</v>
      </c>
      <c r="N96">
        <v>0.36399999999999999</v>
      </c>
      <c r="O96">
        <v>1.1000000000000001</v>
      </c>
      <c r="P96">
        <v>2</v>
      </c>
      <c r="Q96">
        <v>0.55600000000000005</v>
      </c>
      <c r="R96">
        <v>0.55100000000000005</v>
      </c>
      <c r="S96">
        <v>0.9</v>
      </c>
      <c r="T96">
        <v>1.1000000000000001</v>
      </c>
      <c r="U96">
        <v>0.80800000000000005</v>
      </c>
      <c r="V96">
        <v>0.6</v>
      </c>
      <c r="W96">
        <v>2.2999999999999998</v>
      </c>
      <c r="X96">
        <v>2.9</v>
      </c>
      <c r="Y96">
        <v>2.9</v>
      </c>
      <c r="Z96">
        <v>1.5</v>
      </c>
      <c r="AA96">
        <v>0.7</v>
      </c>
      <c r="AB96">
        <v>1.1000000000000001</v>
      </c>
      <c r="AC96">
        <v>2.4</v>
      </c>
      <c r="AD96">
        <v>5.6</v>
      </c>
      <c r="AE96">
        <v>1575</v>
      </c>
      <c r="AF96">
        <v>11.5</v>
      </c>
      <c r="AG96">
        <v>0.58799999999999997</v>
      </c>
      <c r="AH96">
        <v>0.52800000000000002</v>
      </c>
      <c r="AI96">
        <v>0.255</v>
      </c>
      <c r="AJ96">
        <v>3.1</v>
      </c>
      <c r="AK96">
        <v>10.9</v>
      </c>
      <c r="AL96">
        <v>7.1</v>
      </c>
      <c r="AM96">
        <v>15.4</v>
      </c>
      <c r="AN96">
        <v>3</v>
      </c>
      <c r="AO96">
        <v>2.8</v>
      </c>
      <c r="AP96">
        <v>19.5</v>
      </c>
      <c r="AQ96">
        <v>11.1</v>
      </c>
      <c r="AR96">
        <v>1</v>
      </c>
      <c r="AS96">
        <v>2.6</v>
      </c>
      <c r="AT96">
        <v>3.6</v>
      </c>
      <c r="AU96">
        <v>0.109</v>
      </c>
      <c r="AV96">
        <v>-2.2000000000000002</v>
      </c>
      <c r="AW96">
        <v>3.3</v>
      </c>
      <c r="AX96">
        <v>1.1000000000000001</v>
      </c>
      <c r="AY96">
        <v>1.2</v>
      </c>
      <c r="AZ96" s="8">
        <v>2.35</v>
      </c>
      <c r="BA96" s="8">
        <v>0.26024363233665559</v>
      </c>
      <c r="BB96" s="3">
        <v>0</v>
      </c>
    </row>
    <row r="97" spans="1:54" x14ac:dyDescent="0.25">
      <c r="A97" t="s">
        <v>379</v>
      </c>
      <c r="B97" s="2">
        <v>2277000</v>
      </c>
      <c r="C97" t="s">
        <v>62</v>
      </c>
      <c r="D97">
        <v>22</v>
      </c>
      <c r="E97" t="s">
        <v>123</v>
      </c>
      <c r="F97">
        <v>71</v>
      </c>
      <c r="G97">
        <v>66</v>
      </c>
      <c r="H97">
        <v>29.9</v>
      </c>
      <c r="I97">
        <v>4</v>
      </c>
      <c r="J97">
        <v>8.5</v>
      </c>
      <c r="K97">
        <v>0.46800000000000003</v>
      </c>
      <c r="L97">
        <v>2.2000000000000002</v>
      </c>
      <c r="M97">
        <v>5.7</v>
      </c>
      <c r="N97">
        <v>0.38600000000000001</v>
      </c>
      <c r="O97">
        <v>1.8</v>
      </c>
      <c r="P97">
        <v>2.7</v>
      </c>
      <c r="Q97">
        <v>0.64100000000000001</v>
      </c>
      <c r="R97">
        <v>0.59899999999999998</v>
      </c>
      <c r="S97">
        <v>1.1000000000000001</v>
      </c>
      <c r="T97">
        <v>1.4</v>
      </c>
      <c r="U97">
        <v>0.79600000000000004</v>
      </c>
      <c r="V97">
        <v>0.7</v>
      </c>
      <c r="W97">
        <v>2.5</v>
      </c>
      <c r="X97">
        <v>3.2</v>
      </c>
      <c r="Y97">
        <v>2.1</v>
      </c>
      <c r="Z97">
        <v>0.7</v>
      </c>
      <c r="AA97">
        <v>0.4</v>
      </c>
      <c r="AB97">
        <v>1</v>
      </c>
      <c r="AC97">
        <v>2.5</v>
      </c>
      <c r="AD97">
        <v>11.3</v>
      </c>
      <c r="AE97">
        <v>2121</v>
      </c>
      <c r="AF97">
        <v>11.7</v>
      </c>
      <c r="AG97">
        <v>0.61899999999999999</v>
      </c>
      <c r="AH97">
        <v>0.67600000000000005</v>
      </c>
      <c r="AI97">
        <v>0.16300000000000001</v>
      </c>
      <c r="AJ97">
        <v>2.5</v>
      </c>
      <c r="AK97">
        <v>9.4</v>
      </c>
      <c r="AL97">
        <v>5.9</v>
      </c>
      <c r="AM97">
        <v>9.6999999999999993</v>
      </c>
      <c r="AN97">
        <v>1.1000000000000001</v>
      </c>
      <c r="AO97">
        <v>1.2</v>
      </c>
      <c r="AP97">
        <v>9.6999999999999993</v>
      </c>
      <c r="AQ97">
        <v>14.4</v>
      </c>
      <c r="AR97">
        <v>3.2</v>
      </c>
      <c r="AS97">
        <v>1.6</v>
      </c>
      <c r="AT97">
        <v>4.8</v>
      </c>
      <c r="AU97">
        <v>0.108</v>
      </c>
      <c r="AV97">
        <v>-0.3</v>
      </c>
      <c r="AW97">
        <v>0.1</v>
      </c>
      <c r="AX97">
        <v>-0.1</v>
      </c>
      <c r="AY97">
        <v>1</v>
      </c>
      <c r="AZ97" s="8">
        <v>2.35</v>
      </c>
      <c r="BA97" s="8">
        <v>1.0320597277119017</v>
      </c>
      <c r="BB97" s="3">
        <v>0</v>
      </c>
    </row>
    <row r="98" spans="1:54" x14ac:dyDescent="0.25">
      <c r="A98" t="s">
        <v>428</v>
      </c>
      <c r="B98" s="2">
        <v>1836090</v>
      </c>
      <c r="C98" t="s">
        <v>62</v>
      </c>
      <c r="D98">
        <v>23</v>
      </c>
      <c r="E98" t="s">
        <v>109</v>
      </c>
      <c r="F98">
        <v>73</v>
      </c>
      <c r="G98">
        <v>10</v>
      </c>
      <c r="H98">
        <v>19.100000000000001</v>
      </c>
      <c r="I98">
        <v>3.1</v>
      </c>
      <c r="J98">
        <v>7</v>
      </c>
      <c r="K98">
        <v>0.441</v>
      </c>
      <c r="L98">
        <v>2.2000000000000002</v>
      </c>
      <c r="M98">
        <v>5.4</v>
      </c>
      <c r="N98">
        <v>0.40899999999999997</v>
      </c>
      <c r="O98">
        <v>0.9</v>
      </c>
      <c r="P98">
        <v>1.6</v>
      </c>
      <c r="Q98">
        <v>0.55300000000000005</v>
      </c>
      <c r="R98">
        <v>0.59899999999999998</v>
      </c>
      <c r="S98">
        <v>1.1000000000000001</v>
      </c>
      <c r="T98">
        <v>1.4</v>
      </c>
      <c r="U98">
        <v>0.82</v>
      </c>
      <c r="V98">
        <v>0.4</v>
      </c>
      <c r="W98">
        <v>2</v>
      </c>
      <c r="X98">
        <v>2.4</v>
      </c>
      <c r="Y98">
        <v>1.2</v>
      </c>
      <c r="Z98">
        <v>0.7</v>
      </c>
      <c r="AA98">
        <v>0.1</v>
      </c>
      <c r="AB98">
        <v>0.5</v>
      </c>
      <c r="AC98">
        <v>1.4</v>
      </c>
      <c r="AD98">
        <v>9.5</v>
      </c>
      <c r="AE98">
        <v>1395</v>
      </c>
      <c r="AF98">
        <v>14.5</v>
      </c>
      <c r="AG98">
        <v>0.626</v>
      </c>
      <c r="AH98">
        <v>0.77600000000000002</v>
      </c>
      <c r="AI98">
        <v>0.19700000000000001</v>
      </c>
      <c r="AJ98">
        <v>2</v>
      </c>
      <c r="AK98">
        <v>11.6</v>
      </c>
      <c r="AL98">
        <v>6.7</v>
      </c>
      <c r="AM98">
        <v>8.6999999999999993</v>
      </c>
      <c r="AN98">
        <v>1.6</v>
      </c>
      <c r="AO98">
        <v>0.5</v>
      </c>
      <c r="AP98">
        <v>6.6</v>
      </c>
      <c r="AQ98">
        <v>17.7</v>
      </c>
      <c r="AR98">
        <v>2.5</v>
      </c>
      <c r="AS98">
        <v>1.3</v>
      </c>
      <c r="AT98">
        <v>3.8</v>
      </c>
      <c r="AU98">
        <v>0.13100000000000001</v>
      </c>
      <c r="AV98">
        <v>1.3</v>
      </c>
      <c r="AW98">
        <v>-0.4</v>
      </c>
      <c r="AX98">
        <v>0.9</v>
      </c>
      <c r="AY98">
        <v>1</v>
      </c>
      <c r="AZ98" s="8">
        <v>2.35</v>
      </c>
      <c r="BA98" s="8">
        <v>1.2798936871286266</v>
      </c>
      <c r="BB98" s="3">
        <v>0</v>
      </c>
    </row>
    <row r="99" spans="1:54" x14ac:dyDescent="0.25">
      <c r="A99" t="s">
        <v>409</v>
      </c>
      <c r="B99" s="2">
        <v>1968175</v>
      </c>
      <c r="C99" t="s">
        <v>75</v>
      </c>
      <c r="D99">
        <v>25</v>
      </c>
      <c r="E99" t="s">
        <v>58</v>
      </c>
      <c r="F99">
        <v>59</v>
      </c>
      <c r="G99">
        <v>26</v>
      </c>
      <c r="H99">
        <v>18.3</v>
      </c>
      <c r="I99">
        <v>3.9</v>
      </c>
      <c r="J99">
        <v>6.3</v>
      </c>
      <c r="K99">
        <v>0.623</v>
      </c>
      <c r="L99">
        <v>0.4</v>
      </c>
      <c r="M99">
        <v>1</v>
      </c>
      <c r="N99">
        <v>0.441</v>
      </c>
      <c r="O99">
        <v>3.5</v>
      </c>
      <c r="P99">
        <v>5.3</v>
      </c>
      <c r="Q99">
        <v>0.65800000000000003</v>
      </c>
      <c r="R99">
        <v>0.65900000000000003</v>
      </c>
      <c r="S99">
        <v>1.6</v>
      </c>
      <c r="T99">
        <v>2.1</v>
      </c>
      <c r="U99">
        <v>0.73799999999999999</v>
      </c>
      <c r="V99">
        <v>1.5</v>
      </c>
      <c r="W99">
        <v>4.3</v>
      </c>
      <c r="X99">
        <v>5.7</v>
      </c>
      <c r="Y99">
        <v>0.5</v>
      </c>
      <c r="Z99">
        <v>0.3</v>
      </c>
      <c r="AA99">
        <v>0.5</v>
      </c>
      <c r="AB99">
        <v>0.6</v>
      </c>
      <c r="AC99">
        <v>1.7</v>
      </c>
      <c r="AD99">
        <v>9.8000000000000007</v>
      </c>
      <c r="AE99">
        <v>1081</v>
      </c>
      <c r="AF99">
        <v>19.7</v>
      </c>
      <c r="AG99">
        <v>0.68200000000000005</v>
      </c>
      <c r="AH99">
        <v>0.16</v>
      </c>
      <c r="AI99">
        <v>0.34100000000000003</v>
      </c>
      <c r="AJ99">
        <v>8.9</v>
      </c>
      <c r="AK99">
        <v>24.6</v>
      </c>
      <c r="AL99">
        <v>17</v>
      </c>
      <c r="AM99">
        <v>4.3</v>
      </c>
      <c r="AN99">
        <v>0.7</v>
      </c>
      <c r="AO99">
        <v>2.4</v>
      </c>
      <c r="AP99">
        <v>8.1999999999999993</v>
      </c>
      <c r="AQ99">
        <v>18.2</v>
      </c>
      <c r="AR99">
        <v>2.7</v>
      </c>
      <c r="AS99">
        <v>1.4</v>
      </c>
      <c r="AT99">
        <v>4.0999999999999996</v>
      </c>
      <c r="AU99">
        <v>0.183</v>
      </c>
      <c r="AV99">
        <v>1.1000000000000001</v>
      </c>
      <c r="AW99">
        <v>-0.5</v>
      </c>
      <c r="AX99">
        <v>0.6</v>
      </c>
      <c r="AY99">
        <v>0.7</v>
      </c>
      <c r="AZ99" s="8">
        <v>2.3499999999999996</v>
      </c>
      <c r="BA99" s="8">
        <v>1.1939995173193438</v>
      </c>
      <c r="BB99" s="3">
        <v>0</v>
      </c>
    </row>
    <row r="100" spans="1:54" x14ac:dyDescent="0.25">
      <c r="A100" t="s">
        <v>411</v>
      </c>
      <c r="B100" s="2">
        <v>1968175</v>
      </c>
      <c r="C100" t="s">
        <v>75</v>
      </c>
      <c r="D100">
        <v>25</v>
      </c>
      <c r="E100" t="s">
        <v>70</v>
      </c>
      <c r="F100">
        <v>78</v>
      </c>
      <c r="G100">
        <v>28</v>
      </c>
      <c r="H100">
        <v>20.3</v>
      </c>
      <c r="I100">
        <v>2.7</v>
      </c>
      <c r="J100">
        <v>4.3</v>
      </c>
      <c r="K100">
        <v>0.64100000000000001</v>
      </c>
      <c r="L100">
        <v>0.1</v>
      </c>
      <c r="M100">
        <v>0.2</v>
      </c>
      <c r="N100">
        <v>0.38900000000000001</v>
      </c>
      <c r="O100">
        <v>2.7</v>
      </c>
      <c r="P100">
        <v>4.0999999999999996</v>
      </c>
      <c r="Q100">
        <v>0.65500000000000003</v>
      </c>
      <c r="R100">
        <v>0.65100000000000002</v>
      </c>
      <c r="S100">
        <v>1.1000000000000001</v>
      </c>
      <c r="T100">
        <v>1.6</v>
      </c>
      <c r="U100">
        <v>0.66400000000000003</v>
      </c>
      <c r="V100">
        <v>1.7</v>
      </c>
      <c r="W100">
        <v>3.7</v>
      </c>
      <c r="X100">
        <v>5.4</v>
      </c>
      <c r="Y100">
        <v>1.3</v>
      </c>
      <c r="Z100">
        <v>0.5</v>
      </c>
      <c r="AA100">
        <v>1.3</v>
      </c>
      <c r="AB100">
        <v>0.9</v>
      </c>
      <c r="AC100">
        <v>2.2000000000000002</v>
      </c>
      <c r="AD100">
        <v>6.6</v>
      </c>
      <c r="AE100">
        <v>1584</v>
      </c>
      <c r="AF100">
        <v>16.2</v>
      </c>
      <c r="AG100">
        <v>0.66600000000000004</v>
      </c>
      <c r="AH100">
        <v>5.3999999999999999E-2</v>
      </c>
      <c r="AI100">
        <v>0.374</v>
      </c>
      <c r="AJ100">
        <v>9.5</v>
      </c>
      <c r="AK100">
        <v>20.9</v>
      </c>
      <c r="AL100">
        <v>15.2</v>
      </c>
      <c r="AM100">
        <v>9.1999999999999993</v>
      </c>
      <c r="AN100">
        <v>1.2</v>
      </c>
      <c r="AO100">
        <v>5.7</v>
      </c>
      <c r="AP100">
        <v>14.7</v>
      </c>
      <c r="AQ100">
        <v>12.5</v>
      </c>
      <c r="AR100">
        <v>2.9</v>
      </c>
      <c r="AS100">
        <v>1.6</v>
      </c>
      <c r="AT100">
        <v>4.4000000000000004</v>
      </c>
      <c r="AU100">
        <v>0.13400000000000001</v>
      </c>
      <c r="AV100">
        <v>-0.9</v>
      </c>
      <c r="AW100">
        <v>0.9</v>
      </c>
      <c r="AX100">
        <v>0.1</v>
      </c>
      <c r="AY100">
        <v>0.8</v>
      </c>
      <c r="AZ100" s="8">
        <v>2.25</v>
      </c>
      <c r="BA100" s="8">
        <v>1.1431910272206485</v>
      </c>
      <c r="BB100" s="3">
        <v>0</v>
      </c>
    </row>
    <row r="101" spans="1:54" x14ac:dyDescent="0.25">
      <c r="A101" t="s">
        <v>223</v>
      </c>
      <c r="B101" s="2">
        <v>8854879</v>
      </c>
      <c r="C101" t="s">
        <v>75</v>
      </c>
      <c r="D101">
        <v>24</v>
      </c>
      <c r="E101" t="s">
        <v>123</v>
      </c>
      <c r="F101">
        <v>82</v>
      </c>
      <c r="G101">
        <v>8</v>
      </c>
      <c r="H101">
        <v>19.8</v>
      </c>
      <c r="I101">
        <v>2.1</v>
      </c>
      <c r="J101">
        <v>4</v>
      </c>
      <c r="K101">
        <v>0.53500000000000003</v>
      </c>
      <c r="L101">
        <v>0.1</v>
      </c>
      <c r="M101">
        <v>0.5</v>
      </c>
      <c r="N101">
        <v>0.216</v>
      </c>
      <c r="O101">
        <v>2</v>
      </c>
      <c r="P101">
        <v>3.5</v>
      </c>
      <c r="Q101">
        <v>0.57599999999999996</v>
      </c>
      <c r="R101">
        <v>0.54700000000000004</v>
      </c>
      <c r="S101">
        <v>0.6</v>
      </c>
      <c r="T101">
        <v>0.9</v>
      </c>
      <c r="U101">
        <v>0.67600000000000005</v>
      </c>
      <c r="V101">
        <v>2.5</v>
      </c>
      <c r="W101">
        <v>4</v>
      </c>
      <c r="X101">
        <v>6.5</v>
      </c>
      <c r="Y101">
        <v>1.2</v>
      </c>
      <c r="Z101">
        <v>0.6</v>
      </c>
      <c r="AA101">
        <v>0.8</v>
      </c>
      <c r="AB101">
        <v>0.8</v>
      </c>
      <c r="AC101">
        <v>2.6</v>
      </c>
      <c r="AD101">
        <v>5</v>
      </c>
      <c r="AE101">
        <v>1626</v>
      </c>
      <c r="AF101">
        <v>14.2</v>
      </c>
      <c r="AG101">
        <v>0.56699999999999995</v>
      </c>
      <c r="AH101">
        <v>0.113</v>
      </c>
      <c r="AI101">
        <v>0.217</v>
      </c>
      <c r="AJ101">
        <v>14.1</v>
      </c>
      <c r="AK101">
        <v>22.2</v>
      </c>
      <c r="AL101">
        <v>18.100000000000001</v>
      </c>
      <c r="AM101">
        <v>8.3000000000000007</v>
      </c>
      <c r="AN101">
        <v>1.6</v>
      </c>
      <c r="AO101">
        <v>3.7</v>
      </c>
      <c r="AP101">
        <v>15.6</v>
      </c>
      <c r="AQ101">
        <v>11.2</v>
      </c>
      <c r="AR101">
        <v>2.2000000000000002</v>
      </c>
      <c r="AS101">
        <v>2.4</v>
      </c>
      <c r="AT101">
        <v>4.5999999999999996</v>
      </c>
      <c r="AU101">
        <v>0.13600000000000001</v>
      </c>
      <c r="AV101">
        <v>-1.5</v>
      </c>
      <c r="AW101">
        <v>1.2</v>
      </c>
      <c r="AX101">
        <v>-0.3</v>
      </c>
      <c r="AY101">
        <v>0.7</v>
      </c>
      <c r="AZ101" s="8">
        <v>2.15</v>
      </c>
      <c r="BA101" s="8">
        <v>0.24280399540185699</v>
      </c>
      <c r="BB101" s="3">
        <v>0</v>
      </c>
    </row>
    <row r="102" spans="1:54" x14ac:dyDescent="0.25">
      <c r="A102" t="s">
        <v>144</v>
      </c>
      <c r="B102" s="2">
        <v>18796296</v>
      </c>
      <c r="C102" t="s">
        <v>62</v>
      </c>
      <c r="D102">
        <v>28</v>
      </c>
      <c r="E102" t="s">
        <v>107</v>
      </c>
      <c r="F102">
        <v>74</v>
      </c>
      <c r="G102">
        <v>30</v>
      </c>
      <c r="H102">
        <v>30.2</v>
      </c>
      <c r="I102">
        <v>4.3</v>
      </c>
      <c r="J102">
        <v>10</v>
      </c>
      <c r="K102">
        <v>0.43099999999999999</v>
      </c>
      <c r="L102">
        <v>1.7</v>
      </c>
      <c r="M102">
        <v>4.4000000000000004</v>
      </c>
      <c r="N102">
        <v>0.39200000000000002</v>
      </c>
      <c r="O102">
        <v>2.6</v>
      </c>
      <c r="P102">
        <v>5.6</v>
      </c>
      <c r="Q102">
        <v>0.46200000000000002</v>
      </c>
      <c r="R102">
        <v>0.51700000000000002</v>
      </c>
      <c r="S102">
        <v>1.8</v>
      </c>
      <c r="T102">
        <v>2.4</v>
      </c>
      <c r="U102">
        <v>0.72199999999999998</v>
      </c>
      <c r="V102">
        <v>0.7</v>
      </c>
      <c r="W102">
        <v>3.1</v>
      </c>
      <c r="X102">
        <v>3.8</v>
      </c>
      <c r="Y102">
        <v>3.9</v>
      </c>
      <c r="Z102">
        <v>1</v>
      </c>
      <c r="AA102">
        <v>0.3</v>
      </c>
      <c r="AB102">
        <v>1.6</v>
      </c>
      <c r="AC102">
        <v>2.2999999999999998</v>
      </c>
      <c r="AD102">
        <v>12.1</v>
      </c>
      <c r="AE102">
        <v>2237</v>
      </c>
      <c r="AF102">
        <v>12.4</v>
      </c>
      <c r="AG102">
        <v>0.54600000000000004</v>
      </c>
      <c r="AH102">
        <v>0.437</v>
      </c>
      <c r="AI102">
        <v>0.24299999999999999</v>
      </c>
      <c r="AJ102">
        <v>2.8</v>
      </c>
      <c r="AK102">
        <v>12.1</v>
      </c>
      <c r="AL102">
        <v>7.4</v>
      </c>
      <c r="AM102">
        <v>18</v>
      </c>
      <c r="AN102">
        <v>1.6</v>
      </c>
      <c r="AO102">
        <v>1</v>
      </c>
      <c r="AP102">
        <v>12.4</v>
      </c>
      <c r="AQ102">
        <v>18.7</v>
      </c>
      <c r="AR102">
        <v>1.4</v>
      </c>
      <c r="AS102">
        <v>3.1</v>
      </c>
      <c r="AT102">
        <v>4.4000000000000004</v>
      </c>
      <c r="AU102">
        <v>9.5000000000000001E-2</v>
      </c>
      <c r="AV102">
        <v>-1</v>
      </c>
      <c r="AW102">
        <v>0.8</v>
      </c>
      <c r="AX102">
        <v>-0.2</v>
      </c>
      <c r="AY102">
        <v>1</v>
      </c>
      <c r="AZ102" s="8">
        <v>2.1</v>
      </c>
      <c r="BA102" s="8">
        <v>0.11172413969220318</v>
      </c>
      <c r="BB102" s="3">
        <v>0</v>
      </c>
    </row>
    <row r="103" spans="1:54" x14ac:dyDescent="0.25">
      <c r="A103" t="s">
        <v>161</v>
      </c>
      <c r="B103" s="2">
        <v>16500000</v>
      </c>
      <c r="C103" t="s">
        <v>52</v>
      </c>
      <c r="D103">
        <v>24</v>
      </c>
      <c r="E103" t="s">
        <v>152</v>
      </c>
      <c r="F103">
        <v>60</v>
      </c>
      <c r="G103">
        <v>60</v>
      </c>
      <c r="H103">
        <v>29.6</v>
      </c>
      <c r="I103">
        <v>5.8</v>
      </c>
      <c r="J103">
        <v>11.3</v>
      </c>
      <c r="K103">
        <v>0.51400000000000001</v>
      </c>
      <c r="L103">
        <v>0.5</v>
      </c>
      <c r="M103">
        <v>1.5</v>
      </c>
      <c r="N103">
        <v>0.31</v>
      </c>
      <c r="O103">
        <v>5.4</v>
      </c>
      <c r="P103">
        <v>9.9</v>
      </c>
      <c r="Q103">
        <v>0.54400000000000004</v>
      </c>
      <c r="R103">
        <v>0.53400000000000003</v>
      </c>
      <c r="S103">
        <v>1.9</v>
      </c>
      <c r="T103">
        <v>2.4</v>
      </c>
      <c r="U103">
        <v>0.78300000000000003</v>
      </c>
      <c r="V103">
        <v>1.2</v>
      </c>
      <c r="W103">
        <v>2.8</v>
      </c>
      <c r="X103">
        <v>3.9</v>
      </c>
      <c r="Y103">
        <v>5.7</v>
      </c>
      <c r="Z103">
        <v>1.5</v>
      </c>
      <c r="AA103">
        <v>0.4</v>
      </c>
      <c r="AB103">
        <v>2.2999999999999998</v>
      </c>
      <c r="AC103">
        <v>2.2000000000000002</v>
      </c>
      <c r="AD103">
        <v>14</v>
      </c>
      <c r="AE103">
        <v>1778</v>
      </c>
      <c r="AF103">
        <v>16.600000000000001</v>
      </c>
      <c r="AG103">
        <v>0.56399999999999995</v>
      </c>
      <c r="AH103">
        <v>0.128</v>
      </c>
      <c r="AI103">
        <v>0.21099999999999999</v>
      </c>
      <c r="AJ103">
        <v>4.4000000000000004</v>
      </c>
      <c r="AK103">
        <v>10.5</v>
      </c>
      <c r="AL103">
        <v>7.4</v>
      </c>
      <c r="AM103">
        <v>29.8</v>
      </c>
      <c r="AN103">
        <v>2.4</v>
      </c>
      <c r="AO103">
        <v>1.4</v>
      </c>
      <c r="AP103">
        <v>15.8</v>
      </c>
      <c r="AQ103">
        <v>21.3</v>
      </c>
      <c r="AR103">
        <v>1.7</v>
      </c>
      <c r="AS103">
        <v>2</v>
      </c>
      <c r="AT103">
        <v>3.7</v>
      </c>
      <c r="AU103">
        <v>0.1</v>
      </c>
      <c r="AV103">
        <v>-0.1</v>
      </c>
      <c r="AW103">
        <v>0.7</v>
      </c>
      <c r="AX103">
        <v>0.5</v>
      </c>
      <c r="AY103">
        <v>1.2</v>
      </c>
      <c r="AZ103" s="8">
        <v>2.1</v>
      </c>
      <c r="BA103" s="8">
        <v>0.12727272727272726</v>
      </c>
      <c r="BB103" s="3">
        <v>0</v>
      </c>
    </row>
    <row r="104" spans="1:54" x14ac:dyDescent="0.25">
      <c r="A104" t="s">
        <v>227</v>
      </c>
      <c r="B104" s="2">
        <v>8623920</v>
      </c>
      <c r="C104" t="s">
        <v>52</v>
      </c>
      <c r="D104">
        <v>21</v>
      </c>
      <c r="E104" t="s">
        <v>118</v>
      </c>
      <c r="F104">
        <v>36</v>
      </c>
      <c r="G104">
        <v>36</v>
      </c>
      <c r="H104">
        <v>35.200000000000003</v>
      </c>
      <c r="I104">
        <v>8.1999999999999993</v>
      </c>
      <c r="J104">
        <v>20</v>
      </c>
      <c r="K104">
        <v>0.41099999999999998</v>
      </c>
      <c r="L104">
        <v>4</v>
      </c>
      <c r="M104">
        <v>10.6</v>
      </c>
      <c r="N104">
        <v>0.376</v>
      </c>
      <c r="O104">
        <v>4.2</v>
      </c>
      <c r="P104">
        <v>9.4</v>
      </c>
      <c r="Q104">
        <v>0.45</v>
      </c>
      <c r="R104">
        <v>0.51</v>
      </c>
      <c r="S104">
        <v>2.8</v>
      </c>
      <c r="T104">
        <v>3.4</v>
      </c>
      <c r="U104">
        <v>0.83599999999999997</v>
      </c>
      <c r="V104">
        <v>1.2</v>
      </c>
      <c r="W104">
        <v>5.3</v>
      </c>
      <c r="X104">
        <v>6.4</v>
      </c>
      <c r="Y104">
        <v>8.4</v>
      </c>
      <c r="Z104">
        <v>1.3</v>
      </c>
      <c r="AA104">
        <v>0.3</v>
      </c>
      <c r="AB104">
        <v>3.6</v>
      </c>
      <c r="AC104">
        <v>3.3</v>
      </c>
      <c r="AD104">
        <v>23.3</v>
      </c>
      <c r="AE104">
        <v>1268</v>
      </c>
      <c r="AF104">
        <v>17.899999999999999</v>
      </c>
      <c r="AG104">
        <v>0.54100000000000004</v>
      </c>
      <c r="AH104">
        <v>0.53100000000000003</v>
      </c>
      <c r="AI104">
        <v>0.16900000000000001</v>
      </c>
      <c r="AJ104">
        <v>3.5</v>
      </c>
      <c r="AK104">
        <v>16.2</v>
      </c>
      <c r="AL104">
        <v>9.6999999999999993</v>
      </c>
      <c r="AM104">
        <v>38.700000000000003</v>
      </c>
      <c r="AN104">
        <v>1.7</v>
      </c>
      <c r="AO104">
        <v>0.8</v>
      </c>
      <c r="AP104">
        <v>14.3</v>
      </c>
      <c r="AQ104">
        <v>30</v>
      </c>
      <c r="AR104">
        <v>0.6</v>
      </c>
      <c r="AS104">
        <v>1.2</v>
      </c>
      <c r="AT104">
        <v>1.8</v>
      </c>
      <c r="AU104">
        <v>6.8000000000000005E-2</v>
      </c>
      <c r="AV104">
        <v>3.2</v>
      </c>
      <c r="AW104">
        <v>-0.8</v>
      </c>
      <c r="AX104">
        <v>2.4</v>
      </c>
      <c r="AY104">
        <v>1.4</v>
      </c>
      <c r="AZ104" s="8">
        <v>2.1</v>
      </c>
      <c r="BA104" s="8">
        <v>0.24350875240030057</v>
      </c>
      <c r="BB104" s="3">
        <v>0</v>
      </c>
    </row>
    <row r="105" spans="1:54" x14ac:dyDescent="0.25">
      <c r="A105" t="s">
        <v>141</v>
      </c>
      <c r="B105" s="2">
        <v>19700319</v>
      </c>
      <c r="C105" t="s">
        <v>28</v>
      </c>
      <c r="D105">
        <v>34</v>
      </c>
      <c r="E105" t="s">
        <v>55</v>
      </c>
      <c r="F105">
        <v>78</v>
      </c>
      <c r="G105">
        <v>19</v>
      </c>
      <c r="H105">
        <v>21.9</v>
      </c>
      <c r="I105">
        <v>2.1</v>
      </c>
      <c r="J105">
        <v>4.9000000000000004</v>
      </c>
      <c r="K105">
        <v>0.42</v>
      </c>
      <c r="L105">
        <v>1.6</v>
      </c>
      <c r="M105">
        <v>4.0999999999999996</v>
      </c>
      <c r="N105">
        <v>0.39100000000000001</v>
      </c>
      <c r="O105">
        <v>0.5</v>
      </c>
      <c r="P105">
        <v>0.8</v>
      </c>
      <c r="Q105">
        <v>0.56299999999999994</v>
      </c>
      <c r="R105">
        <v>0.58299999999999996</v>
      </c>
      <c r="S105">
        <v>0.4</v>
      </c>
      <c r="T105">
        <v>0.6</v>
      </c>
      <c r="U105">
        <v>0.70799999999999996</v>
      </c>
      <c r="V105">
        <v>0.8</v>
      </c>
      <c r="W105">
        <v>3</v>
      </c>
      <c r="X105">
        <v>3.8</v>
      </c>
      <c r="Y105">
        <v>1.6</v>
      </c>
      <c r="Z105">
        <v>0.7</v>
      </c>
      <c r="AA105">
        <v>0.6</v>
      </c>
      <c r="AB105">
        <v>0.6</v>
      </c>
      <c r="AC105">
        <v>1.9</v>
      </c>
      <c r="AD105">
        <v>6.1</v>
      </c>
      <c r="AE105">
        <v>1709</v>
      </c>
      <c r="AF105">
        <v>11</v>
      </c>
      <c r="AG105">
        <v>0.59399999999999997</v>
      </c>
      <c r="AH105">
        <v>0.83199999999999996</v>
      </c>
      <c r="AI105">
        <v>0.126</v>
      </c>
      <c r="AJ105">
        <v>4.0999999999999996</v>
      </c>
      <c r="AK105">
        <v>15.4</v>
      </c>
      <c r="AL105">
        <v>9.8000000000000007</v>
      </c>
      <c r="AM105">
        <v>9.4</v>
      </c>
      <c r="AN105">
        <v>1.5</v>
      </c>
      <c r="AO105">
        <v>2.2999999999999998</v>
      </c>
      <c r="AP105">
        <v>11.1</v>
      </c>
      <c r="AQ105">
        <v>11.5</v>
      </c>
      <c r="AR105">
        <v>1.7</v>
      </c>
      <c r="AS105">
        <v>1.9</v>
      </c>
      <c r="AT105">
        <v>3.6</v>
      </c>
      <c r="AU105">
        <v>0.10100000000000001</v>
      </c>
      <c r="AV105">
        <v>-0.8</v>
      </c>
      <c r="AW105">
        <v>1.2</v>
      </c>
      <c r="AX105">
        <v>0.5</v>
      </c>
      <c r="AY105">
        <v>1</v>
      </c>
      <c r="AZ105" s="8">
        <v>2.0499999999999998</v>
      </c>
      <c r="BA105" s="8">
        <v>0.10405922868558624</v>
      </c>
      <c r="BB105" s="3">
        <v>0</v>
      </c>
    </row>
    <row r="106" spans="1:54" x14ac:dyDescent="0.25">
      <c r="A106" t="s">
        <v>269</v>
      </c>
      <c r="B106" s="2">
        <v>5722116</v>
      </c>
      <c r="C106" t="s">
        <v>62</v>
      </c>
      <c r="D106">
        <v>23</v>
      </c>
      <c r="E106" t="s">
        <v>80</v>
      </c>
      <c r="F106">
        <v>67</v>
      </c>
      <c r="G106">
        <v>67</v>
      </c>
      <c r="H106">
        <v>34.9</v>
      </c>
      <c r="I106">
        <v>7.3</v>
      </c>
      <c r="J106">
        <v>16.600000000000001</v>
      </c>
      <c r="K106">
        <v>0.439</v>
      </c>
      <c r="L106">
        <v>3</v>
      </c>
      <c r="M106">
        <v>8</v>
      </c>
      <c r="N106">
        <v>0.378</v>
      </c>
      <c r="O106">
        <v>4.2</v>
      </c>
      <c r="P106">
        <v>8.5</v>
      </c>
      <c r="Q106">
        <v>0.497</v>
      </c>
      <c r="R106">
        <v>0.53100000000000003</v>
      </c>
      <c r="S106">
        <v>2.5</v>
      </c>
      <c r="T106">
        <v>2.7</v>
      </c>
      <c r="U106">
        <v>0.93400000000000005</v>
      </c>
      <c r="V106">
        <v>0.4</v>
      </c>
      <c r="W106">
        <v>5</v>
      </c>
      <c r="X106">
        <v>5.4</v>
      </c>
      <c r="Y106">
        <v>4.2</v>
      </c>
      <c r="Z106">
        <v>0.8</v>
      </c>
      <c r="AA106">
        <v>0.2</v>
      </c>
      <c r="AB106">
        <v>2.4</v>
      </c>
      <c r="AC106">
        <v>1.5</v>
      </c>
      <c r="AD106">
        <v>20.100000000000001</v>
      </c>
      <c r="AE106">
        <v>2337</v>
      </c>
      <c r="AF106">
        <v>15.3</v>
      </c>
      <c r="AG106">
        <v>0.56599999999999995</v>
      </c>
      <c r="AH106">
        <v>0.48399999999999999</v>
      </c>
      <c r="AI106">
        <v>0.16400000000000001</v>
      </c>
      <c r="AJ106">
        <v>1.3</v>
      </c>
      <c r="AK106">
        <v>17.3</v>
      </c>
      <c r="AL106">
        <v>9</v>
      </c>
      <c r="AM106">
        <v>19.899999999999999</v>
      </c>
      <c r="AN106">
        <v>1.1000000000000001</v>
      </c>
      <c r="AO106">
        <v>0.7</v>
      </c>
      <c r="AP106">
        <v>11.7</v>
      </c>
      <c r="AQ106">
        <v>25.6</v>
      </c>
      <c r="AR106">
        <v>1.1000000000000001</v>
      </c>
      <c r="AS106">
        <v>2.4</v>
      </c>
      <c r="AT106">
        <v>3.5</v>
      </c>
      <c r="AU106">
        <v>7.1999999999999995E-2</v>
      </c>
      <c r="AV106">
        <v>1.5</v>
      </c>
      <c r="AW106">
        <v>-0.8</v>
      </c>
      <c r="AX106">
        <v>0.6</v>
      </c>
      <c r="AY106">
        <v>1.6</v>
      </c>
      <c r="AZ106" s="8">
        <v>2.0499999999999998</v>
      </c>
      <c r="BA106" s="8">
        <v>0.35825907758598391</v>
      </c>
      <c r="BB106" s="3">
        <v>0</v>
      </c>
    </row>
    <row r="107" spans="1:54" x14ac:dyDescent="0.25">
      <c r="A107" t="s">
        <v>413</v>
      </c>
      <c r="B107" s="2">
        <v>1930681</v>
      </c>
      <c r="C107" t="s">
        <v>62</v>
      </c>
      <c r="D107">
        <v>26</v>
      </c>
      <c r="E107" t="s">
        <v>55</v>
      </c>
      <c r="F107">
        <v>81</v>
      </c>
      <c r="G107">
        <v>36</v>
      </c>
      <c r="H107">
        <v>23.1</v>
      </c>
      <c r="I107">
        <v>3.4</v>
      </c>
      <c r="J107">
        <v>6.5</v>
      </c>
      <c r="K107">
        <v>0.51900000000000002</v>
      </c>
      <c r="L107">
        <v>1</v>
      </c>
      <c r="M107">
        <v>2.4</v>
      </c>
      <c r="N107">
        <v>0.38900000000000001</v>
      </c>
      <c r="O107">
        <v>2.4</v>
      </c>
      <c r="P107">
        <v>4</v>
      </c>
      <c r="Q107">
        <v>0.59799999999999998</v>
      </c>
      <c r="R107">
        <v>0.59299999999999997</v>
      </c>
      <c r="S107">
        <v>1.1000000000000001</v>
      </c>
      <c r="T107">
        <v>1.5</v>
      </c>
      <c r="U107">
        <v>0.78</v>
      </c>
      <c r="V107">
        <v>1</v>
      </c>
      <c r="W107">
        <v>2.5</v>
      </c>
      <c r="X107">
        <v>3.4</v>
      </c>
      <c r="Y107">
        <v>2.2999999999999998</v>
      </c>
      <c r="Z107">
        <v>0.5</v>
      </c>
      <c r="AA107">
        <v>0.3</v>
      </c>
      <c r="AB107">
        <v>1</v>
      </c>
      <c r="AC107">
        <v>1.8</v>
      </c>
      <c r="AD107">
        <v>8.8000000000000007</v>
      </c>
      <c r="AE107">
        <v>1872</v>
      </c>
      <c r="AF107">
        <v>13.4</v>
      </c>
      <c r="AG107">
        <v>0.61899999999999999</v>
      </c>
      <c r="AH107">
        <v>0.378</v>
      </c>
      <c r="AI107">
        <v>0.22500000000000001</v>
      </c>
      <c r="AJ107">
        <v>4.7</v>
      </c>
      <c r="AK107">
        <v>11.8</v>
      </c>
      <c r="AL107">
        <v>8.3000000000000007</v>
      </c>
      <c r="AM107">
        <v>14</v>
      </c>
      <c r="AN107">
        <v>1.1000000000000001</v>
      </c>
      <c r="AO107">
        <v>1</v>
      </c>
      <c r="AP107">
        <v>12.2</v>
      </c>
      <c r="AQ107">
        <v>15.3</v>
      </c>
      <c r="AR107">
        <v>2.8</v>
      </c>
      <c r="AS107">
        <v>1.5</v>
      </c>
      <c r="AT107">
        <v>4.3</v>
      </c>
      <c r="AU107">
        <v>0.111</v>
      </c>
      <c r="AV107">
        <v>-0.3</v>
      </c>
      <c r="AW107">
        <v>0.1</v>
      </c>
      <c r="AX107">
        <v>-0.2</v>
      </c>
      <c r="AY107">
        <v>0.8</v>
      </c>
      <c r="AZ107" s="8">
        <v>2.0499999999999998</v>
      </c>
      <c r="BA107" s="8">
        <v>1.0618015094155895</v>
      </c>
      <c r="BB107" s="3">
        <v>0</v>
      </c>
    </row>
    <row r="108" spans="1:54" x14ac:dyDescent="0.25">
      <c r="A108" t="s">
        <v>149</v>
      </c>
      <c r="B108" s="2">
        <v>17926829</v>
      </c>
      <c r="C108" t="s">
        <v>75</v>
      </c>
      <c r="D108">
        <v>29</v>
      </c>
      <c r="E108" t="s">
        <v>150</v>
      </c>
      <c r="F108">
        <v>42</v>
      </c>
      <c r="G108">
        <v>42</v>
      </c>
      <c r="H108">
        <v>27</v>
      </c>
      <c r="I108">
        <v>3.7</v>
      </c>
      <c r="J108">
        <v>6.3</v>
      </c>
      <c r="K108">
        <v>0.59699999999999998</v>
      </c>
      <c r="L108">
        <v>0</v>
      </c>
      <c r="M108">
        <v>0</v>
      </c>
      <c r="N108">
        <v>0</v>
      </c>
      <c r="O108">
        <v>3.7</v>
      </c>
      <c r="P108">
        <v>6.2</v>
      </c>
      <c r="Q108">
        <v>0.59899999999999998</v>
      </c>
      <c r="R108">
        <v>0.59699999999999998</v>
      </c>
      <c r="S108">
        <v>1.1000000000000001</v>
      </c>
      <c r="T108">
        <v>3.1</v>
      </c>
      <c r="U108">
        <v>0.36399999999999999</v>
      </c>
      <c r="V108">
        <v>5.0999999999999996</v>
      </c>
      <c r="W108">
        <v>6.5</v>
      </c>
      <c r="X108">
        <v>11.5</v>
      </c>
      <c r="Y108">
        <v>2.2999999999999998</v>
      </c>
      <c r="Z108">
        <v>0.9</v>
      </c>
      <c r="AA108">
        <v>1.1000000000000001</v>
      </c>
      <c r="AB108">
        <v>1.9</v>
      </c>
      <c r="AC108">
        <v>2.2999999999999998</v>
      </c>
      <c r="AD108">
        <v>8.6</v>
      </c>
      <c r="AE108">
        <v>1133</v>
      </c>
      <c r="AF108">
        <v>17.5</v>
      </c>
      <c r="AG108">
        <v>0.56399999999999995</v>
      </c>
      <c r="AH108">
        <v>4.0000000000000001E-3</v>
      </c>
      <c r="AI108">
        <v>0.49</v>
      </c>
      <c r="AJ108">
        <v>20.100000000000001</v>
      </c>
      <c r="AK108">
        <v>25.3</v>
      </c>
      <c r="AL108">
        <v>22.7</v>
      </c>
      <c r="AM108">
        <v>11.2</v>
      </c>
      <c r="AN108">
        <v>1.5</v>
      </c>
      <c r="AO108">
        <v>3.7</v>
      </c>
      <c r="AP108">
        <v>19.8</v>
      </c>
      <c r="AQ108">
        <v>14.6</v>
      </c>
      <c r="AR108">
        <v>1.3</v>
      </c>
      <c r="AS108">
        <v>2.1</v>
      </c>
      <c r="AT108">
        <v>3.4</v>
      </c>
      <c r="AU108">
        <v>0.14399999999999999</v>
      </c>
      <c r="AV108">
        <v>-0.3</v>
      </c>
      <c r="AW108">
        <v>0.9</v>
      </c>
      <c r="AX108">
        <v>0.6</v>
      </c>
      <c r="AY108">
        <v>0.7</v>
      </c>
      <c r="AZ108" s="8">
        <v>2</v>
      </c>
      <c r="BA108" s="8">
        <v>0.11156462752001484</v>
      </c>
      <c r="BB108" s="3">
        <v>0</v>
      </c>
    </row>
    <row r="109" spans="1:54" x14ac:dyDescent="0.25">
      <c r="A109" t="s">
        <v>375</v>
      </c>
      <c r="B109" s="2">
        <v>2300000</v>
      </c>
      <c r="C109" t="s">
        <v>65</v>
      </c>
      <c r="D109">
        <v>26</v>
      </c>
      <c r="E109" t="s">
        <v>150</v>
      </c>
      <c r="F109">
        <v>72</v>
      </c>
      <c r="G109">
        <v>23</v>
      </c>
      <c r="H109">
        <v>20.8</v>
      </c>
      <c r="I109">
        <v>1.9</v>
      </c>
      <c r="J109">
        <v>4.4000000000000004</v>
      </c>
      <c r="K109">
        <v>0.43099999999999999</v>
      </c>
      <c r="L109">
        <v>0.8</v>
      </c>
      <c r="M109">
        <v>2.5</v>
      </c>
      <c r="N109">
        <v>0.33900000000000002</v>
      </c>
      <c r="O109">
        <v>1.1000000000000001</v>
      </c>
      <c r="P109">
        <v>2</v>
      </c>
      <c r="Q109">
        <v>0.54500000000000004</v>
      </c>
      <c r="R109">
        <v>0.52500000000000002</v>
      </c>
      <c r="S109">
        <v>0.4</v>
      </c>
      <c r="T109">
        <v>0.5</v>
      </c>
      <c r="U109">
        <v>0.77800000000000002</v>
      </c>
      <c r="V109">
        <v>0.9</v>
      </c>
      <c r="W109">
        <v>3.4</v>
      </c>
      <c r="X109">
        <v>4.3</v>
      </c>
      <c r="Y109">
        <v>1.4</v>
      </c>
      <c r="Z109">
        <v>1.1000000000000001</v>
      </c>
      <c r="AA109">
        <v>0.3</v>
      </c>
      <c r="AB109">
        <v>0.5</v>
      </c>
      <c r="AC109">
        <v>1.6</v>
      </c>
      <c r="AD109">
        <v>5.0999999999999996</v>
      </c>
      <c r="AE109">
        <v>1494</v>
      </c>
      <c r="AF109">
        <v>10.8</v>
      </c>
      <c r="AG109">
        <v>0.54200000000000004</v>
      </c>
      <c r="AH109">
        <v>0.55300000000000005</v>
      </c>
      <c r="AI109">
        <v>0.113</v>
      </c>
      <c r="AJ109">
        <v>4.5</v>
      </c>
      <c r="AK109">
        <v>17.399999999999999</v>
      </c>
      <c r="AL109">
        <v>11</v>
      </c>
      <c r="AM109">
        <v>8.1999999999999993</v>
      </c>
      <c r="AN109">
        <v>2.4</v>
      </c>
      <c r="AO109">
        <v>1.5</v>
      </c>
      <c r="AP109">
        <v>9.9</v>
      </c>
      <c r="AQ109">
        <v>10.4</v>
      </c>
      <c r="AR109">
        <v>1</v>
      </c>
      <c r="AS109">
        <v>2.5</v>
      </c>
      <c r="AT109">
        <v>3.5</v>
      </c>
      <c r="AU109">
        <v>0.111</v>
      </c>
      <c r="AV109">
        <v>-1.9</v>
      </c>
      <c r="AW109">
        <v>2.4</v>
      </c>
      <c r="AX109">
        <v>0.5</v>
      </c>
      <c r="AY109">
        <v>0.9</v>
      </c>
      <c r="AZ109" s="8">
        <v>2</v>
      </c>
      <c r="BA109" s="8">
        <v>0.86956521739130432</v>
      </c>
      <c r="BB109" s="3">
        <v>0</v>
      </c>
    </row>
    <row r="110" spans="1:54" x14ac:dyDescent="0.25">
      <c r="A110" t="s">
        <v>415</v>
      </c>
      <c r="B110" s="2">
        <v>1930681</v>
      </c>
      <c r="C110" t="s">
        <v>75</v>
      </c>
      <c r="D110">
        <v>23</v>
      </c>
      <c r="E110" t="s">
        <v>76</v>
      </c>
      <c r="F110">
        <v>68</v>
      </c>
      <c r="G110">
        <v>11</v>
      </c>
      <c r="H110">
        <v>18.399999999999999</v>
      </c>
      <c r="I110">
        <v>4.5999999999999996</v>
      </c>
      <c r="J110">
        <v>8.5</v>
      </c>
      <c r="K110">
        <v>0.53700000000000003</v>
      </c>
      <c r="L110">
        <v>1.1000000000000001</v>
      </c>
      <c r="M110">
        <v>3.2</v>
      </c>
      <c r="N110">
        <v>0.34599999999999997</v>
      </c>
      <c r="O110">
        <v>3.5</v>
      </c>
      <c r="P110">
        <v>5.3</v>
      </c>
      <c r="Q110">
        <v>0.65300000000000002</v>
      </c>
      <c r="R110">
        <v>0.60199999999999998</v>
      </c>
      <c r="S110">
        <v>1.3</v>
      </c>
      <c r="T110">
        <v>1.9</v>
      </c>
      <c r="U110">
        <v>0.67700000000000005</v>
      </c>
      <c r="V110">
        <v>1.1000000000000001</v>
      </c>
      <c r="W110">
        <v>3.8</v>
      </c>
      <c r="X110">
        <v>4.9000000000000004</v>
      </c>
      <c r="Y110">
        <v>1.1000000000000001</v>
      </c>
      <c r="Z110">
        <v>0.6</v>
      </c>
      <c r="AA110">
        <v>0.8</v>
      </c>
      <c r="AB110">
        <v>1.4</v>
      </c>
      <c r="AC110">
        <v>2.6</v>
      </c>
      <c r="AD110">
        <v>11.5</v>
      </c>
      <c r="AE110">
        <v>1251</v>
      </c>
      <c r="AF110">
        <v>18.5</v>
      </c>
      <c r="AG110">
        <v>0.61699999999999999</v>
      </c>
      <c r="AH110">
        <v>0.376</v>
      </c>
      <c r="AI110">
        <v>0.22</v>
      </c>
      <c r="AJ110">
        <v>6.6</v>
      </c>
      <c r="AK110">
        <v>22.8</v>
      </c>
      <c r="AL110">
        <v>14.9</v>
      </c>
      <c r="AM110">
        <v>9.6</v>
      </c>
      <c r="AN110">
        <v>1.6</v>
      </c>
      <c r="AO110">
        <v>3.7</v>
      </c>
      <c r="AP110">
        <v>12.7</v>
      </c>
      <c r="AQ110">
        <v>24.8</v>
      </c>
      <c r="AR110">
        <v>1.1000000000000001</v>
      </c>
      <c r="AS110">
        <v>1.9</v>
      </c>
      <c r="AT110">
        <v>3</v>
      </c>
      <c r="AU110">
        <v>0.114</v>
      </c>
      <c r="AV110">
        <v>0.3</v>
      </c>
      <c r="AW110">
        <v>0.8</v>
      </c>
      <c r="AX110">
        <v>1</v>
      </c>
      <c r="AY110">
        <v>1</v>
      </c>
      <c r="AZ110" s="8">
        <v>2</v>
      </c>
      <c r="BA110" s="8">
        <v>1.0359039116249655</v>
      </c>
      <c r="BB110" s="3">
        <v>0</v>
      </c>
    </row>
    <row r="111" spans="1:54" x14ac:dyDescent="0.25">
      <c r="A111" t="s">
        <v>423</v>
      </c>
      <c r="B111" s="2">
        <v>1878720</v>
      </c>
      <c r="C111" t="s">
        <v>75</v>
      </c>
      <c r="D111">
        <v>25</v>
      </c>
      <c r="E111" t="s">
        <v>152</v>
      </c>
      <c r="F111">
        <v>57</v>
      </c>
      <c r="G111">
        <v>18</v>
      </c>
      <c r="H111">
        <v>19.5</v>
      </c>
      <c r="I111">
        <v>3.5</v>
      </c>
      <c r="J111">
        <v>6.9</v>
      </c>
      <c r="K111">
        <v>0.5</v>
      </c>
      <c r="L111">
        <v>0.9</v>
      </c>
      <c r="M111">
        <v>2.9</v>
      </c>
      <c r="N111">
        <v>0.313</v>
      </c>
      <c r="O111">
        <v>2.6</v>
      </c>
      <c r="P111">
        <v>4.0999999999999996</v>
      </c>
      <c r="Q111">
        <v>0.63100000000000001</v>
      </c>
      <c r="R111">
        <v>0.56399999999999995</v>
      </c>
      <c r="S111">
        <v>2.7</v>
      </c>
      <c r="T111">
        <v>3.2</v>
      </c>
      <c r="U111">
        <v>0.84099999999999997</v>
      </c>
      <c r="V111">
        <v>1.2</v>
      </c>
      <c r="W111">
        <v>3.3</v>
      </c>
      <c r="X111">
        <v>4.5</v>
      </c>
      <c r="Y111">
        <v>1.5</v>
      </c>
      <c r="Z111">
        <v>0.6</v>
      </c>
      <c r="AA111">
        <v>0.2</v>
      </c>
      <c r="AB111">
        <v>1.2</v>
      </c>
      <c r="AC111">
        <v>2.4</v>
      </c>
      <c r="AD111">
        <v>10.5</v>
      </c>
      <c r="AE111">
        <v>1109</v>
      </c>
      <c r="AF111">
        <v>17.399999999999999</v>
      </c>
      <c r="AG111">
        <v>0.63</v>
      </c>
      <c r="AH111">
        <v>0.41199999999999998</v>
      </c>
      <c r="AI111">
        <v>0.46</v>
      </c>
      <c r="AJ111">
        <v>7</v>
      </c>
      <c r="AK111">
        <v>19.399999999999999</v>
      </c>
      <c r="AL111">
        <v>13.2</v>
      </c>
      <c r="AM111">
        <v>11.5</v>
      </c>
      <c r="AN111">
        <v>1.6</v>
      </c>
      <c r="AO111">
        <v>1.1000000000000001</v>
      </c>
      <c r="AP111">
        <v>12.5</v>
      </c>
      <c r="AQ111">
        <v>21.1</v>
      </c>
      <c r="AR111">
        <v>2.1</v>
      </c>
      <c r="AS111">
        <v>1.3</v>
      </c>
      <c r="AT111">
        <v>3.4</v>
      </c>
      <c r="AU111">
        <v>0.14899999999999999</v>
      </c>
      <c r="AV111">
        <v>0.4</v>
      </c>
      <c r="AW111">
        <v>0.2</v>
      </c>
      <c r="AX111">
        <v>0.6</v>
      </c>
      <c r="AY111">
        <v>0.7</v>
      </c>
      <c r="AZ111" s="8">
        <v>2</v>
      </c>
      <c r="BA111" s="8">
        <v>1.0645545903593936</v>
      </c>
      <c r="BB111" s="3">
        <v>0</v>
      </c>
    </row>
    <row r="112" spans="1:54" x14ac:dyDescent="0.25">
      <c r="A112" t="s">
        <v>246</v>
      </c>
      <c r="B112" s="2">
        <v>7040880</v>
      </c>
      <c r="C112" t="s">
        <v>65</v>
      </c>
      <c r="D112">
        <v>22</v>
      </c>
      <c r="E112" t="s">
        <v>107</v>
      </c>
      <c r="F112">
        <v>76</v>
      </c>
      <c r="G112">
        <v>46</v>
      </c>
      <c r="H112">
        <v>21.7</v>
      </c>
      <c r="I112">
        <v>2.2999999999999998</v>
      </c>
      <c r="J112">
        <v>4.7</v>
      </c>
      <c r="K112">
        <v>0.49399999999999999</v>
      </c>
      <c r="L112">
        <v>0.8</v>
      </c>
      <c r="M112">
        <v>2.2999999999999998</v>
      </c>
      <c r="N112">
        <v>0.36299999999999999</v>
      </c>
      <c r="O112">
        <v>1.5</v>
      </c>
      <c r="P112">
        <v>2.4</v>
      </c>
      <c r="Q112">
        <v>0.61699999999999999</v>
      </c>
      <c r="R112">
        <v>0.58199999999999996</v>
      </c>
      <c r="S112">
        <v>1</v>
      </c>
      <c r="T112">
        <v>1.4</v>
      </c>
      <c r="U112">
        <v>0.75700000000000001</v>
      </c>
      <c r="V112">
        <v>0.7</v>
      </c>
      <c r="W112">
        <v>1.8</v>
      </c>
      <c r="X112">
        <v>2.5</v>
      </c>
      <c r="Y112">
        <v>1.1000000000000001</v>
      </c>
      <c r="Z112">
        <v>0.7</v>
      </c>
      <c r="AA112">
        <v>0.4</v>
      </c>
      <c r="AB112">
        <v>0.6</v>
      </c>
      <c r="AC112">
        <v>2.1</v>
      </c>
      <c r="AD112">
        <v>6.4</v>
      </c>
      <c r="AE112">
        <v>1652</v>
      </c>
      <c r="AF112">
        <v>10.7</v>
      </c>
      <c r="AG112">
        <v>0.61399999999999999</v>
      </c>
      <c r="AH112">
        <v>0.48299999999999998</v>
      </c>
      <c r="AI112">
        <v>0.29099999999999998</v>
      </c>
      <c r="AJ112">
        <v>3.7</v>
      </c>
      <c r="AK112">
        <v>9.6</v>
      </c>
      <c r="AL112">
        <v>6.7</v>
      </c>
      <c r="AM112">
        <v>7</v>
      </c>
      <c r="AN112">
        <v>1.7</v>
      </c>
      <c r="AO112">
        <v>1.7</v>
      </c>
      <c r="AP112">
        <v>9.5</v>
      </c>
      <c r="AQ112">
        <v>11.9</v>
      </c>
      <c r="AR112">
        <v>1.9</v>
      </c>
      <c r="AS112">
        <v>2.2999999999999998</v>
      </c>
      <c r="AT112">
        <v>4.2</v>
      </c>
      <c r="AU112">
        <v>0.122</v>
      </c>
      <c r="AV112">
        <v>-1.9</v>
      </c>
      <c r="AW112">
        <v>1.6</v>
      </c>
      <c r="AX112">
        <v>-0.3</v>
      </c>
      <c r="AY112">
        <v>0.7</v>
      </c>
      <c r="AZ112" s="8">
        <v>1.9500000000000002</v>
      </c>
      <c r="BA112" s="8">
        <v>0.27695401711149747</v>
      </c>
      <c r="BB112" s="3">
        <v>0</v>
      </c>
    </row>
    <row r="113" spans="1:54" x14ac:dyDescent="0.25">
      <c r="A113" t="s">
        <v>176</v>
      </c>
      <c r="B113" s="2">
        <v>13745455</v>
      </c>
      <c r="C113" t="s">
        <v>62</v>
      </c>
      <c r="D113">
        <v>26</v>
      </c>
      <c r="E113" t="s">
        <v>150</v>
      </c>
      <c r="F113">
        <v>59</v>
      </c>
      <c r="G113">
        <v>14</v>
      </c>
      <c r="H113">
        <v>22.3</v>
      </c>
      <c r="I113">
        <v>3.2</v>
      </c>
      <c r="J113">
        <v>6.5</v>
      </c>
      <c r="K113">
        <v>0.49199999999999999</v>
      </c>
      <c r="L113">
        <v>2.2999999999999998</v>
      </c>
      <c r="M113">
        <v>4.5999999999999996</v>
      </c>
      <c r="N113">
        <v>0.49399999999999999</v>
      </c>
      <c r="O113">
        <v>0.9</v>
      </c>
      <c r="P113">
        <v>1.9</v>
      </c>
      <c r="Q113">
        <v>0.48699999999999999</v>
      </c>
      <c r="R113">
        <v>0.66600000000000004</v>
      </c>
      <c r="S113">
        <v>0.6</v>
      </c>
      <c r="T113">
        <v>0.7</v>
      </c>
      <c r="U113">
        <v>0.94899999999999995</v>
      </c>
      <c r="V113">
        <v>0.3</v>
      </c>
      <c r="W113">
        <v>2.4</v>
      </c>
      <c r="X113">
        <v>2.7</v>
      </c>
      <c r="Y113">
        <v>1.5</v>
      </c>
      <c r="Z113">
        <v>0.5</v>
      </c>
      <c r="AA113">
        <v>0.1</v>
      </c>
      <c r="AB113">
        <v>0.8</v>
      </c>
      <c r="AC113">
        <v>1.4</v>
      </c>
      <c r="AD113">
        <v>9.3000000000000007</v>
      </c>
      <c r="AE113">
        <v>1315</v>
      </c>
      <c r="AF113">
        <v>13</v>
      </c>
      <c r="AG113">
        <v>0.68400000000000005</v>
      </c>
      <c r="AH113">
        <v>0.70399999999999996</v>
      </c>
      <c r="AI113">
        <v>0.10199999999999999</v>
      </c>
      <c r="AJ113">
        <v>1.2</v>
      </c>
      <c r="AK113">
        <v>11.8</v>
      </c>
      <c r="AL113">
        <v>6.6</v>
      </c>
      <c r="AM113">
        <v>9.4</v>
      </c>
      <c r="AN113">
        <v>1.2</v>
      </c>
      <c r="AO113">
        <v>0.3</v>
      </c>
      <c r="AP113">
        <v>10.3</v>
      </c>
      <c r="AQ113">
        <v>14.5</v>
      </c>
      <c r="AR113">
        <v>2.2000000000000002</v>
      </c>
      <c r="AS113">
        <v>1.2</v>
      </c>
      <c r="AT113">
        <v>3.4</v>
      </c>
      <c r="AU113">
        <v>0.124</v>
      </c>
      <c r="AV113">
        <v>0.6</v>
      </c>
      <c r="AW113">
        <v>-0.1</v>
      </c>
      <c r="AX113">
        <v>0.5</v>
      </c>
      <c r="AY113">
        <v>0.8</v>
      </c>
      <c r="AZ113" s="8">
        <v>1.95</v>
      </c>
      <c r="BA113" s="8">
        <v>0.14186507467377399</v>
      </c>
      <c r="BB113" s="3">
        <v>0</v>
      </c>
    </row>
    <row r="114" spans="1:54" x14ac:dyDescent="0.25">
      <c r="A114" t="s">
        <v>137</v>
      </c>
      <c r="B114" s="2">
        <v>20955000</v>
      </c>
      <c r="C114" t="s">
        <v>28</v>
      </c>
      <c r="D114">
        <v>28</v>
      </c>
      <c r="E114" t="s">
        <v>70</v>
      </c>
      <c r="F114">
        <v>63</v>
      </c>
      <c r="G114">
        <v>63</v>
      </c>
      <c r="H114">
        <v>35.700000000000003</v>
      </c>
      <c r="I114">
        <v>6.9</v>
      </c>
      <c r="J114">
        <v>14.5</v>
      </c>
      <c r="K114">
        <v>0.47499999999999998</v>
      </c>
      <c r="L114">
        <v>2.2999999999999998</v>
      </c>
      <c r="M114">
        <v>5.7</v>
      </c>
      <c r="N114">
        <v>0.40100000000000002</v>
      </c>
      <c r="O114">
        <v>4.5999999999999996</v>
      </c>
      <c r="P114">
        <v>8.8000000000000007</v>
      </c>
      <c r="Q114">
        <v>0.52300000000000002</v>
      </c>
      <c r="R114">
        <v>0.55400000000000005</v>
      </c>
      <c r="S114">
        <v>4.4000000000000004</v>
      </c>
      <c r="T114">
        <v>5.4</v>
      </c>
      <c r="U114">
        <v>0.81299999999999994</v>
      </c>
      <c r="V114">
        <v>0.8</v>
      </c>
      <c r="W114">
        <v>3.7</v>
      </c>
      <c r="X114">
        <v>4.5</v>
      </c>
      <c r="Y114">
        <v>2.4</v>
      </c>
      <c r="Z114">
        <v>0.8</v>
      </c>
      <c r="AA114">
        <v>0.8</v>
      </c>
      <c r="AB114">
        <v>1.8</v>
      </c>
      <c r="AC114">
        <v>2.4</v>
      </c>
      <c r="AD114">
        <v>20.5</v>
      </c>
      <c r="AE114">
        <v>2246</v>
      </c>
      <c r="AF114">
        <v>16</v>
      </c>
      <c r="AG114">
        <v>0.60599999999999998</v>
      </c>
      <c r="AH114">
        <v>0.39300000000000002</v>
      </c>
      <c r="AI114">
        <v>0.375</v>
      </c>
      <c r="AJ114">
        <v>2.7</v>
      </c>
      <c r="AK114">
        <v>11.9</v>
      </c>
      <c r="AL114">
        <v>7.2</v>
      </c>
      <c r="AM114">
        <v>10.3</v>
      </c>
      <c r="AN114">
        <v>1.1000000000000001</v>
      </c>
      <c r="AO114">
        <v>2.1</v>
      </c>
      <c r="AP114">
        <v>9.8000000000000007</v>
      </c>
      <c r="AQ114">
        <v>22.8</v>
      </c>
      <c r="AR114">
        <v>3.1</v>
      </c>
      <c r="AS114">
        <v>1</v>
      </c>
      <c r="AT114">
        <v>4.0999999999999996</v>
      </c>
      <c r="AU114">
        <v>8.6999999999999994E-2</v>
      </c>
      <c r="AV114">
        <v>1.2</v>
      </c>
      <c r="AW114">
        <v>-1.4</v>
      </c>
      <c r="AX114">
        <v>-0.2</v>
      </c>
      <c r="AY114">
        <v>1</v>
      </c>
      <c r="AZ114" s="8">
        <v>1.9499999999999997</v>
      </c>
      <c r="BA114" s="8">
        <v>9.3056549749463119E-2</v>
      </c>
      <c r="BB114" s="3">
        <v>0</v>
      </c>
    </row>
    <row r="115" spans="1:54" x14ac:dyDescent="0.25">
      <c r="A115" t="s">
        <v>193</v>
      </c>
      <c r="B115" s="2">
        <v>11080125</v>
      </c>
      <c r="C115" t="s">
        <v>75</v>
      </c>
      <c r="D115">
        <v>31</v>
      </c>
      <c r="E115" t="s">
        <v>73</v>
      </c>
      <c r="F115">
        <v>76</v>
      </c>
      <c r="G115">
        <v>64</v>
      </c>
      <c r="H115">
        <v>19.2</v>
      </c>
      <c r="I115">
        <v>2.6</v>
      </c>
      <c r="J115">
        <v>3.5</v>
      </c>
      <c r="K115">
        <v>0.73199999999999998</v>
      </c>
      <c r="L115">
        <v>0</v>
      </c>
      <c r="M115">
        <v>0.1</v>
      </c>
      <c r="N115">
        <v>0</v>
      </c>
      <c r="O115">
        <v>2.6</v>
      </c>
      <c r="P115">
        <v>3.5</v>
      </c>
      <c r="Q115">
        <v>0.746</v>
      </c>
      <c r="R115">
        <v>0.73199999999999998</v>
      </c>
      <c r="S115">
        <v>1.5</v>
      </c>
      <c r="T115">
        <v>2.2000000000000002</v>
      </c>
      <c r="U115">
        <v>0.66700000000000004</v>
      </c>
      <c r="V115">
        <v>2</v>
      </c>
      <c r="W115">
        <v>2.2000000000000002</v>
      </c>
      <c r="X115">
        <v>4.0999999999999996</v>
      </c>
      <c r="Y115">
        <v>0.9</v>
      </c>
      <c r="Z115">
        <v>0.6</v>
      </c>
      <c r="AA115">
        <v>0.3</v>
      </c>
      <c r="AB115">
        <v>0.9</v>
      </c>
      <c r="AC115">
        <v>2.8</v>
      </c>
      <c r="AD115">
        <v>6.7</v>
      </c>
      <c r="AE115">
        <v>1458</v>
      </c>
      <c r="AF115">
        <v>15.5</v>
      </c>
      <c r="AG115">
        <v>0.73799999999999999</v>
      </c>
      <c r="AH115">
        <v>1.9E-2</v>
      </c>
      <c r="AI115">
        <v>0.625</v>
      </c>
      <c r="AJ115">
        <v>11.8</v>
      </c>
      <c r="AK115">
        <v>13.3</v>
      </c>
      <c r="AL115">
        <v>12.5</v>
      </c>
      <c r="AM115">
        <v>6.9</v>
      </c>
      <c r="AN115">
        <v>1.6</v>
      </c>
      <c r="AO115">
        <v>1.6</v>
      </c>
      <c r="AP115">
        <v>15.9</v>
      </c>
      <c r="AQ115">
        <v>12.6</v>
      </c>
      <c r="AR115">
        <v>3.8</v>
      </c>
      <c r="AS115">
        <v>1.3</v>
      </c>
      <c r="AT115">
        <v>5.0999999999999996</v>
      </c>
      <c r="AU115">
        <v>0.16800000000000001</v>
      </c>
      <c r="AV115">
        <v>-1.2</v>
      </c>
      <c r="AW115">
        <v>0</v>
      </c>
      <c r="AX115">
        <v>-1.2</v>
      </c>
      <c r="AY115">
        <v>0.3</v>
      </c>
      <c r="AZ115" s="8">
        <v>1.9499999999999997</v>
      </c>
      <c r="BA115" s="8">
        <v>0.1759907943276813</v>
      </c>
      <c r="BB115" s="3">
        <v>0</v>
      </c>
    </row>
    <row r="116" spans="1:54" x14ac:dyDescent="0.25">
      <c r="A116" t="s">
        <v>159</v>
      </c>
      <c r="B116" s="2">
        <v>16758621</v>
      </c>
      <c r="C116" t="s">
        <v>62</v>
      </c>
      <c r="D116">
        <v>29</v>
      </c>
      <c r="E116" t="s">
        <v>55</v>
      </c>
      <c r="F116">
        <v>60</v>
      </c>
      <c r="G116">
        <v>8</v>
      </c>
      <c r="H116">
        <v>26.1</v>
      </c>
      <c r="I116">
        <v>5.7</v>
      </c>
      <c r="J116">
        <v>11.8</v>
      </c>
      <c r="K116">
        <v>0.47899999999999998</v>
      </c>
      <c r="L116">
        <v>1.9</v>
      </c>
      <c r="M116">
        <v>4.8</v>
      </c>
      <c r="N116">
        <v>0.39700000000000002</v>
      </c>
      <c r="O116">
        <v>3.8</v>
      </c>
      <c r="P116">
        <v>7.1</v>
      </c>
      <c r="Q116">
        <v>0.53400000000000003</v>
      </c>
      <c r="R116">
        <v>0.55900000000000005</v>
      </c>
      <c r="S116">
        <v>3.8</v>
      </c>
      <c r="T116">
        <v>4.5999999999999996</v>
      </c>
      <c r="U116">
        <v>0.81200000000000006</v>
      </c>
      <c r="V116">
        <v>0.4</v>
      </c>
      <c r="W116">
        <v>2.5</v>
      </c>
      <c r="X116">
        <v>2.9</v>
      </c>
      <c r="Y116">
        <v>1.8</v>
      </c>
      <c r="Z116">
        <v>0.8</v>
      </c>
      <c r="AA116">
        <v>0.3</v>
      </c>
      <c r="AB116">
        <v>1.7</v>
      </c>
      <c r="AC116">
        <v>2.1</v>
      </c>
      <c r="AD116">
        <v>17</v>
      </c>
      <c r="AE116">
        <v>1567</v>
      </c>
      <c r="AF116">
        <v>17.100000000000001</v>
      </c>
      <c r="AG116">
        <v>0.61199999999999999</v>
      </c>
      <c r="AH116">
        <v>0.40400000000000003</v>
      </c>
      <c r="AI116">
        <v>0.39</v>
      </c>
      <c r="AJ116">
        <v>1.7</v>
      </c>
      <c r="AK116">
        <v>10.7</v>
      </c>
      <c r="AL116">
        <v>6.3</v>
      </c>
      <c r="AM116">
        <v>11</v>
      </c>
      <c r="AN116">
        <v>1.6</v>
      </c>
      <c r="AO116">
        <v>1</v>
      </c>
      <c r="AP116">
        <v>10.8</v>
      </c>
      <c r="AQ116">
        <v>26</v>
      </c>
      <c r="AR116">
        <v>2.1</v>
      </c>
      <c r="AS116">
        <v>1.4</v>
      </c>
      <c r="AT116">
        <v>3.5</v>
      </c>
      <c r="AU116">
        <v>0.107</v>
      </c>
      <c r="AV116">
        <v>0.9</v>
      </c>
      <c r="AW116">
        <v>-0.7</v>
      </c>
      <c r="AX116">
        <v>0.3</v>
      </c>
      <c r="AY116">
        <v>0.9</v>
      </c>
      <c r="AZ116" s="8">
        <v>1.9</v>
      </c>
      <c r="BA116" s="8">
        <v>0.11337448349718035</v>
      </c>
      <c r="BB116" s="3">
        <v>0</v>
      </c>
    </row>
    <row r="117" spans="1:54" x14ac:dyDescent="0.25">
      <c r="A117" t="s">
        <v>252</v>
      </c>
      <c r="B117" s="2">
        <v>6479000</v>
      </c>
      <c r="C117" t="s">
        <v>65</v>
      </c>
      <c r="D117">
        <v>26</v>
      </c>
      <c r="E117" t="s">
        <v>103</v>
      </c>
      <c r="F117">
        <v>80</v>
      </c>
      <c r="G117">
        <v>31</v>
      </c>
      <c r="H117">
        <v>28.5</v>
      </c>
      <c r="I117">
        <v>4.5</v>
      </c>
      <c r="J117">
        <v>9.3000000000000007</v>
      </c>
      <c r="K117">
        <v>0.48299999999999998</v>
      </c>
      <c r="L117">
        <v>1.1000000000000001</v>
      </c>
      <c r="M117">
        <v>3.2</v>
      </c>
      <c r="N117">
        <v>0.35799999999999998</v>
      </c>
      <c r="O117">
        <v>3.3</v>
      </c>
      <c r="P117">
        <v>6.1</v>
      </c>
      <c r="Q117">
        <v>0.54800000000000004</v>
      </c>
      <c r="R117">
        <v>0.54500000000000004</v>
      </c>
      <c r="S117">
        <v>1.5</v>
      </c>
      <c r="T117">
        <v>1.9</v>
      </c>
      <c r="U117">
        <v>0.75800000000000001</v>
      </c>
      <c r="V117">
        <v>0.8</v>
      </c>
      <c r="W117">
        <v>3.3</v>
      </c>
      <c r="X117">
        <v>4.0999999999999996</v>
      </c>
      <c r="Y117">
        <v>3.4</v>
      </c>
      <c r="Z117">
        <v>1.1000000000000001</v>
      </c>
      <c r="AA117">
        <v>0.6</v>
      </c>
      <c r="AB117">
        <v>1.5</v>
      </c>
      <c r="AC117">
        <v>2.4</v>
      </c>
      <c r="AD117">
        <v>11.5</v>
      </c>
      <c r="AE117">
        <v>2280</v>
      </c>
      <c r="AF117">
        <v>13.3</v>
      </c>
      <c r="AG117">
        <v>0.57099999999999995</v>
      </c>
      <c r="AH117">
        <v>0.34300000000000003</v>
      </c>
      <c r="AI117">
        <v>0.20599999999999999</v>
      </c>
      <c r="AJ117">
        <v>3.3</v>
      </c>
      <c r="AK117">
        <v>13</v>
      </c>
      <c r="AL117">
        <v>8.3000000000000007</v>
      </c>
      <c r="AM117">
        <v>15.7</v>
      </c>
      <c r="AN117">
        <v>1.9</v>
      </c>
      <c r="AO117">
        <v>2</v>
      </c>
      <c r="AP117">
        <v>13.2</v>
      </c>
      <c r="AQ117">
        <v>17.8</v>
      </c>
      <c r="AR117">
        <v>1.7</v>
      </c>
      <c r="AS117">
        <v>2.6</v>
      </c>
      <c r="AT117">
        <v>4.3</v>
      </c>
      <c r="AU117">
        <v>0.09</v>
      </c>
      <c r="AV117">
        <v>-1.1000000000000001</v>
      </c>
      <c r="AW117">
        <v>0.6</v>
      </c>
      <c r="AX117">
        <v>-0.5</v>
      </c>
      <c r="AY117">
        <v>0.9</v>
      </c>
      <c r="AZ117" s="8">
        <v>1.9</v>
      </c>
      <c r="BA117" s="8">
        <v>0.2932551319648094</v>
      </c>
      <c r="BB117" s="3">
        <v>0</v>
      </c>
    </row>
    <row r="118" spans="1:54" x14ac:dyDescent="0.25">
      <c r="A118" t="s">
        <v>402</v>
      </c>
      <c r="B118" s="2">
        <v>2000000</v>
      </c>
      <c r="C118" t="s">
        <v>28</v>
      </c>
      <c r="D118">
        <v>28</v>
      </c>
      <c r="E118" t="s">
        <v>109</v>
      </c>
      <c r="F118">
        <v>53</v>
      </c>
      <c r="G118">
        <v>10</v>
      </c>
      <c r="H118">
        <v>22.8</v>
      </c>
      <c r="I118">
        <v>3.4</v>
      </c>
      <c r="J118">
        <v>6.5</v>
      </c>
      <c r="K118">
        <v>0.51700000000000002</v>
      </c>
      <c r="L118">
        <v>0.9</v>
      </c>
      <c r="M118">
        <v>2.5</v>
      </c>
      <c r="N118">
        <v>0.373</v>
      </c>
      <c r="O118">
        <v>2.4</v>
      </c>
      <c r="P118">
        <v>4</v>
      </c>
      <c r="Q118">
        <v>0.60799999999999998</v>
      </c>
      <c r="R118">
        <v>0.59</v>
      </c>
      <c r="S118">
        <v>0.3</v>
      </c>
      <c r="T118">
        <v>0.7</v>
      </c>
      <c r="U118">
        <v>0.436</v>
      </c>
      <c r="V118">
        <v>1.8</v>
      </c>
      <c r="W118">
        <v>3.1</v>
      </c>
      <c r="X118">
        <v>4.9000000000000004</v>
      </c>
      <c r="Y118">
        <v>2</v>
      </c>
      <c r="Z118">
        <v>0.8</v>
      </c>
      <c r="AA118">
        <v>0.3</v>
      </c>
      <c r="AB118">
        <v>0.6</v>
      </c>
      <c r="AC118">
        <v>2.1</v>
      </c>
      <c r="AD118">
        <v>8</v>
      </c>
      <c r="AE118">
        <v>1206</v>
      </c>
      <c r="AF118">
        <v>14.4</v>
      </c>
      <c r="AG118">
        <v>0.58499999999999996</v>
      </c>
      <c r="AH118">
        <v>0.38700000000000001</v>
      </c>
      <c r="AI118">
        <v>0.113</v>
      </c>
      <c r="AJ118">
        <v>8.5</v>
      </c>
      <c r="AK118">
        <v>14.9</v>
      </c>
      <c r="AL118">
        <v>11.6</v>
      </c>
      <c r="AM118">
        <v>11.7</v>
      </c>
      <c r="AN118">
        <v>1.8</v>
      </c>
      <c r="AO118">
        <v>1.1000000000000001</v>
      </c>
      <c r="AP118">
        <v>8.1</v>
      </c>
      <c r="AQ118">
        <v>13.7</v>
      </c>
      <c r="AR118">
        <v>2</v>
      </c>
      <c r="AS118">
        <v>1.3</v>
      </c>
      <c r="AT118">
        <v>3.3</v>
      </c>
      <c r="AU118">
        <v>0.13300000000000001</v>
      </c>
      <c r="AV118">
        <v>0.1</v>
      </c>
      <c r="AW118">
        <v>0.4</v>
      </c>
      <c r="AX118">
        <v>0.5</v>
      </c>
      <c r="AY118">
        <v>0.8</v>
      </c>
      <c r="AZ118" s="8">
        <v>1.9</v>
      </c>
      <c r="BA118" s="8">
        <v>0.95</v>
      </c>
      <c r="BB118" s="3">
        <v>0</v>
      </c>
    </row>
    <row r="119" spans="1:54" x14ac:dyDescent="0.25">
      <c r="A119" t="s">
        <v>207</v>
      </c>
      <c r="B119" s="2">
        <v>10012800</v>
      </c>
      <c r="C119" t="s">
        <v>62</v>
      </c>
      <c r="D119">
        <v>31</v>
      </c>
      <c r="E119" t="s">
        <v>201</v>
      </c>
      <c r="F119">
        <v>51</v>
      </c>
      <c r="G119">
        <v>8</v>
      </c>
      <c r="H119">
        <v>22</v>
      </c>
      <c r="I119">
        <v>3.9</v>
      </c>
      <c r="J119">
        <v>9</v>
      </c>
      <c r="K119">
        <v>0.436</v>
      </c>
      <c r="L119">
        <v>1.9</v>
      </c>
      <c r="M119">
        <v>4.7</v>
      </c>
      <c r="N119">
        <v>0.41399999999999998</v>
      </c>
      <c r="O119">
        <v>2</v>
      </c>
      <c r="P119">
        <v>4.3</v>
      </c>
      <c r="Q119">
        <v>0.45900000000000002</v>
      </c>
      <c r="R119">
        <v>0.54400000000000004</v>
      </c>
      <c r="S119">
        <v>3</v>
      </c>
      <c r="T119">
        <v>3.7</v>
      </c>
      <c r="U119">
        <v>0.81399999999999995</v>
      </c>
      <c r="V119">
        <v>0.4</v>
      </c>
      <c r="W119">
        <v>2.7</v>
      </c>
      <c r="X119">
        <v>3.1</v>
      </c>
      <c r="Y119">
        <v>2.2000000000000002</v>
      </c>
      <c r="Z119">
        <v>0.7</v>
      </c>
      <c r="AA119">
        <v>0.2</v>
      </c>
      <c r="AB119">
        <v>1.1000000000000001</v>
      </c>
      <c r="AC119">
        <v>1.9</v>
      </c>
      <c r="AD119">
        <v>12.8</v>
      </c>
      <c r="AE119">
        <v>1122</v>
      </c>
      <c r="AF119">
        <v>16.5</v>
      </c>
      <c r="AG119">
        <v>0.60199999999999998</v>
      </c>
      <c r="AH119">
        <v>0.52100000000000002</v>
      </c>
      <c r="AI119">
        <v>0.41</v>
      </c>
      <c r="AJ119">
        <v>1.8</v>
      </c>
      <c r="AK119">
        <v>14.2</v>
      </c>
      <c r="AL119">
        <v>7.8</v>
      </c>
      <c r="AM119">
        <v>15.9</v>
      </c>
      <c r="AN119">
        <v>1.6</v>
      </c>
      <c r="AO119">
        <v>0.6</v>
      </c>
      <c r="AP119">
        <v>9.6999999999999993</v>
      </c>
      <c r="AQ119">
        <v>22.8</v>
      </c>
      <c r="AR119">
        <v>1.9</v>
      </c>
      <c r="AS119">
        <v>0.6</v>
      </c>
      <c r="AT119">
        <v>2.5</v>
      </c>
      <c r="AU119">
        <v>0.109</v>
      </c>
      <c r="AV119">
        <v>1.8</v>
      </c>
      <c r="AW119">
        <v>-0.5</v>
      </c>
      <c r="AX119">
        <v>1.2</v>
      </c>
      <c r="AY119">
        <v>0.9</v>
      </c>
      <c r="AZ119" s="8">
        <v>1.85</v>
      </c>
      <c r="BA119" s="8">
        <v>0.18476350271652284</v>
      </c>
      <c r="BB119" s="3">
        <v>0</v>
      </c>
    </row>
    <row r="120" spans="1:54" x14ac:dyDescent="0.25">
      <c r="A120" t="s">
        <v>303</v>
      </c>
      <c r="B120" s="2">
        <v>4124280</v>
      </c>
      <c r="C120" t="s">
        <v>75</v>
      </c>
      <c r="D120">
        <v>19</v>
      </c>
      <c r="E120" t="s">
        <v>201</v>
      </c>
      <c r="F120">
        <v>67</v>
      </c>
      <c r="G120">
        <v>31</v>
      </c>
      <c r="H120">
        <v>24.9</v>
      </c>
      <c r="I120">
        <v>3.9</v>
      </c>
      <c r="J120">
        <v>5.9</v>
      </c>
      <c r="K120">
        <v>0.64800000000000002</v>
      </c>
      <c r="L120">
        <v>0</v>
      </c>
      <c r="M120">
        <v>0</v>
      </c>
      <c r="N120">
        <v>0</v>
      </c>
      <c r="O120">
        <v>3.9</v>
      </c>
      <c r="P120">
        <v>5.9</v>
      </c>
      <c r="Q120">
        <v>0.65200000000000002</v>
      </c>
      <c r="R120">
        <v>0.64800000000000002</v>
      </c>
      <c r="S120">
        <v>1.4</v>
      </c>
      <c r="T120">
        <v>2.2999999999999998</v>
      </c>
      <c r="U120">
        <v>0.61099999999999999</v>
      </c>
      <c r="V120">
        <v>3.4</v>
      </c>
      <c r="W120">
        <v>5.5</v>
      </c>
      <c r="X120">
        <v>8.9</v>
      </c>
      <c r="Y120">
        <v>1.1000000000000001</v>
      </c>
      <c r="Z120">
        <v>0.7</v>
      </c>
      <c r="AA120">
        <v>0.9</v>
      </c>
      <c r="AB120">
        <v>1.4</v>
      </c>
      <c r="AC120">
        <v>2.7</v>
      </c>
      <c r="AD120">
        <v>9.1</v>
      </c>
      <c r="AE120">
        <v>1670</v>
      </c>
      <c r="AF120">
        <v>17.3</v>
      </c>
      <c r="AG120">
        <v>0.65500000000000003</v>
      </c>
      <c r="AH120">
        <v>5.0000000000000001E-3</v>
      </c>
      <c r="AI120">
        <v>0.39400000000000002</v>
      </c>
      <c r="AJ120">
        <v>14.7</v>
      </c>
      <c r="AK120">
        <v>25.1</v>
      </c>
      <c r="AL120">
        <v>19.7</v>
      </c>
      <c r="AM120">
        <v>6.8</v>
      </c>
      <c r="AN120">
        <v>1.3</v>
      </c>
      <c r="AO120">
        <v>3.1</v>
      </c>
      <c r="AP120">
        <v>16.5</v>
      </c>
      <c r="AQ120">
        <v>14.3</v>
      </c>
      <c r="AR120">
        <v>2.9</v>
      </c>
      <c r="AS120">
        <v>1.6</v>
      </c>
      <c r="AT120">
        <v>4.5</v>
      </c>
      <c r="AU120">
        <v>0.129</v>
      </c>
      <c r="AV120">
        <v>-0.4</v>
      </c>
      <c r="AW120">
        <v>-0.4</v>
      </c>
      <c r="AX120">
        <v>-0.8</v>
      </c>
      <c r="AY120">
        <v>0.5</v>
      </c>
      <c r="AZ120" s="8">
        <v>1.85</v>
      </c>
      <c r="BA120" s="8">
        <v>0.44856314314256063</v>
      </c>
      <c r="BB120" s="3">
        <v>0</v>
      </c>
    </row>
    <row r="121" spans="1:54" x14ac:dyDescent="0.25">
      <c r="A121" t="s">
        <v>234</v>
      </c>
      <c r="B121" s="2">
        <v>8008440</v>
      </c>
      <c r="C121" t="s">
        <v>65</v>
      </c>
      <c r="D121">
        <v>22</v>
      </c>
      <c r="E121" t="s">
        <v>116</v>
      </c>
      <c r="F121">
        <v>80</v>
      </c>
      <c r="G121">
        <v>78</v>
      </c>
      <c r="H121">
        <v>29.8</v>
      </c>
      <c r="I121">
        <v>4.4000000000000004</v>
      </c>
      <c r="J121">
        <v>9.8000000000000007</v>
      </c>
      <c r="K121">
        <v>0.45300000000000001</v>
      </c>
      <c r="L121">
        <v>2.6</v>
      </c>
      <c r="M121">
        <v>6.3</v>
      </c>
      <c r="N121">
        <v>0.41099999999999998</v>
      </c>
      <c r="O121">
        <v>1.9</v>
      </c>
      <c r="P121">
        <v>3.5</v>
      </c>
      <c r="Q121">
        <v>0.52700000000000002</v>
      </c>
      <c r="R121">
        <v>0.58399999999999996</v>
      </c>
      <c r="S121">
        <v>0.8</v>
      </c>
      <c r="T121">
        <v>1</v>
      </c>
      <c r="U121">
        <v>0.76500000000000001</v>
      </c>
      <c r="V121">
        <v>1.1000000000000001</v>
      </c>
      <c r="W121">
        <v>3.5</v>
      </c>
      <c r="X121">
        <v>4.5999999999999996</v>
      </c>
      <c r="Y121">
        <v>1.2</v>
      </c>
      <c r="Z121">
        <v>0.8</v>
      </c>
      <c r="AA121">
        <v>0.5</v>
      </c>
      <c r="AB121">
        <v>0.8</v>
      </c>
      <c r="AC121">
        <v>2</v>
      </c>
      <c r="AD121">
        <v>12.2</v>
      </c>
      <c r="AE121">
        <v>2382</v>
      </c>
      <c r="AF121">
        <v>12.3</v>
      </c>
      <c r="AG121">
        <v>0.59699999999999998</v>
      </c>
      <c r="AH121">
        <v>0.64100000000000001</v>
      </c>
      <c r="AI121">
        <v>0.104</v>
      </c>
      <c r="AJ121">
        <v>4.3</v>
      </c>
      <c r="AK121">
        <v>13.4</v>
      </c>
      <c r="AL121">
        <v>8.9</v>
      </c>
      <c r="AM121">
        <v>5.5</v>
      </c>
      <c r="AN121">
        <v>1.2</v>
      </c>
      <c r="AO121">
        <v>1.5</v>
      </c>
      <c r="AP121">
        <v>6.8</v>
      </c>
      <c r="AQ121">
        <v>15.8</v>
      </c>
      <c r="AR121">
        <v>2.6</v>
      </c>
      <c r="AS121">
        <v>1.7</v>
      </c>
      <c r="AT121">
        <v>4.3</v>
      </c>
      <c r="AU121">
        <v>8.6999999999999994E-2</v>
      </c>
      <c r="AV121">
        <v>0.4</v>
      </c>
      <c r="AW121">
        <v>-1</v>
      </c>
      <c r="AX121">
        <v>-0.6</v>
      </c>
      <c r="AY121">
        <v>0.8</v>
      </c>
      <c r="AZ121" s="8">
        <v>1.8499999999999999</v>
      </c>
      <c r="BA121" s="8">
        <v>0.23100628836577408</v>
      </c>
      <c r="BB121" s="3">
        <v>0</v>
      </c>
    </row>
    <row r="122" spans="1:54" x14ac:dyDescent="0.25">
      <c r="A122" t="s">
        <v>121</v>
      </c>
      <c r="B122" s="2">
        <v>28333334</v>
      </c>
      <c r="C122" t="s">
        <v>52</v>
      </c>
      <c r="D122">
        <v>36</v>
      </c>
      <c r="E122" t="s">
        <v>80</v>
      </c>
      <c r="F122">
        <v>55</v>
      </c>
      <c r="G122">
        <v>44</v>
      </c>
      <c r="H122">
        <v>31.2</v>
      </c>
      <c r="I122">
        <v>3.6</v>
      </c>
      <c r="J122">
        <v>8.8000000000000007</v>
      </c>
      <c r="K122">
        <v>0.40400000000000003</v>
      </c>
      <c r="L122">
        <v>1.9</v>
      </c>
      <c r="M122">
        <v>5.6</v>
      </c>
      <c r="N122">
        <v>0.34499999999999997</v>
      </c>
      <c r="O122">
        <v>1.6</v>
      </c>
      <c r="P122">
        <v>3.2</v>
      </c>
      <c r="Q122">
        <v>0.50900000000000001</v>
      </c>
      <c r="R122">
        <v>0.51400000000000001</v>
      </c>
      <c r="S122">
        <v>2.1</v>
      </c>
      <c r="T122">
        <v>2.5</v>
      </c>
      <c r="U122">
        <v>0.85899999999999999</v>
      </c>
      <c r="V122">
        <v>0.8</v>
      </c>
      <c r="W122">
        <v>3.3</v>
      </c>
      <c r="X122">
        <v>4.0999999999999996</v>
      </c>
      <c r="Y122">
        <v>5.0999999999999996</v>
      </c>
      <c r="Z122">
        <v>1</v>
      </c>
      <c r="AA122">
        <v>0.4</v>
      </c>
      <c r="AB122">
        <v>1.9</v>
      </c>
      <c r="AC122">
        <v>2.6</v>
      </c>
      <c r="AD122">
        <v>11.2</v>
      </c>
      <c r="AE122">
        <v>1718</v>
      </c>
      <c r="AF122">
        <v>12.6</v>
      </c>
      <c r="AG122">
        <v>0.56499999999999995</v>
      </c>
      <c r="AH122">
        <v>0.63900000000000001</v>
      </c>
      <c r="AI122">
        <v>0.27800000000000002</v>
      </c>
      <c r="AJ122">
        <v>2.8</v>
      </c>
      <c r="AK122">
        <v>12.9</v>
      </c>
      <c r="AL122">
        <v>7.7</v>
      </c>
      <c r="AM122">
        <v>23.4</v>
      </c>
      <c r="AN122">
        <v>1.7</v>
      </c>
      <c r="AO122">
        <v>1.2</v>
      </c>
      <c r="AP122">
        <v>15.9</v>
      </c>
      <c r="AQ122">
        <v>16.7</v>
      </c>
      <c r="AR122">
        <v>1.5</v>
      </c>
      <c r="AS122">
        <v>1.9</v>
      </c>
      <c r="AT122">
        <v>3.4</v>
      </c>
      <c r="AU122">
        <v>9.6000000000000002E-2</v>
      </c>
      <c r="AV122">
        <v>-0.7</v>
      </c>
      <c r="AW122">
        <v>0.8</v>
      </c>
      <c r="AX122">
        <v>0.2</v>
      </c>
      <c r="AY122">
        <v>0.9</v>
      </c>
      <c r="AZ122" s="8">
        <v>1.8</v>
      </c>
      <c r="BA122" s="8">
        <v>6.3529410269896225E-2</v>
      </c>
      <c r="BB122" s="3">
        <v>0</v>
      </c>
    </row>
    <row r="123" spans="1:54" x14ac:dyDescent="0.25">
      <c r="A123" t="s">
        <v>337</v>
      </c>
      <c r="B123" s="2">
        <v>2959080</v>
      </c>
      <c r="C123" t="s">
        <v>65</v>
      </c>
      <c r="D123">
        <v>23</v>
      </c>
      <c r="E123" t="s">
        <v>85</v>
      </c>
      <c r="F123">
        <v>77</v>
      </c>
      <c r="G123">
        <v>37</v>
      </c>
      <c r="H123">
        <v>27.6</v>
      </c>
      <c r="I123">
        <v>4.5999999999999996</v>
      </c>
      <c r="J123">
        <v>10.9</v>
      </c>
      <c r="K123">
        <v>0.42199999999999999</v>
      </c>
      <c r="L123">
        <v>2</v>
      </c>
      <c r="M123">
        <v>5.4</v>
      </c>
      <c r="N123">
        <v>0.36099999999999999</v>
      </c>
      <c r="O123">
        <v>2.6</v>
      </c>
      <c r="P123">
        <v>5.4</v>
      </c>
      <c r="Q123">
        <v>0.48299999999999998</v>
      </c>
      <c r="R123">
        <v>0.51300000000000001</v>
      </c>
      <c r="S123">
        <v>2.7</v>
      </c>
      <c r="T123">
        <v>3.1</v>
      </c>
      <c r="U123">
        <v>0.86099999999999999</v>
      </c>
      <c r="V123">
        <v>1.3</v>
      </c>
      <c r="W123">
        <v>3.4</v>
      </c>
      <c r="X123">
        <v>4.7</v>
      </c>
      <c r="Y123">
        <v>1.5</v>
      </c>
      <c r="Z123">
        <v>0.9</v>
      </c>
      <c r="AA123">
        <v>0.2</v>
      </c>
      <c r="AB123">
        <v>0.9</v>
      </c>
      <c r="AC123">
        <v>1.6</v>
      </c>
      <c r="AD123">
        <v>13.8</v>
      </c>
      <c r="AE123">
        <v>2129</v>
      </c>
      <c r="AF123">
        <v>14.6</v>
      </c>
      <c r="AG123">
        <v>0.56399999999999995</v>
      </c>
      <c r="AH123">
        <v>0.5</v>
      </c>
      <c r="AI123">
        <v>0.28499999999999998</v>
      </c>
      <c r="AJ123">
        <v>5</v>
      </c>
      <c r="AK123">
        <v>14</v>
      </c>
      <c r="AL123">
        <v>9.4</v>
      </c>
      <c r="AM123">
        <v>8.1</v>
      </c>
      <c r="AN123">
        <v>1.6</v>
      </c>
      <c r="AO123">
        <v>0.5</v>
      </c>
      <c r="AP123">
        <v>7</v>
      </c>
      <c r="AQ123">
        <v>20.2</v>
      </c>
      <c r="AR123">
        <v>2.6</v>
      </c>
      <c r="AS123">
        <v>1.2</v>
      </c>
      <c r="AT123">
        <v>3.9</v>
      </c>
      <c r="AU123">
        <v>8.6999999999999994E-2</v>
      </c>
      <c r="AV123">
        <v>0.9</v>
      </c>
      <c r="AW123">
        <v>-1.2</v>
      </c>
      <c r="AX123">
        <v>-0.3</v>
      </c>
      <c r="AY123">
        <v>0.9</v>
      </c>
      <c r="AZ123" s="8">
        <v>1.8</v>
      </c>
      <c r="BA123" s="8">
        <v>0.6082971734458007</v>
      </c>
      <c r="BB123" s="3">
        <v>0</v>
      </c>
    </row>
    <row r="124" spans="1:54" x14ac:dyDescent="0.25">
      <c r="A124" t="s">
        <v>171</v>
      </c>
      <c r="B124" s="2">
        <v>14004703</v>
      </c>
      <c r="C124" t="s">
        <v>62</v>
      </c>
      <c r="D124">
        <v>29</v>
      </c>
      <c r="E124" t="s">
        <v>103</v>
      </c>
      <c r="F124">
        <v>76</v>
      </c>
      <c r="G124">
        <v>76</v>
      </c>
      <c r="H124">
        <v>31.3</v>
      </c>
      <c r="I124">
        <v>3.8</v>
      </c>
      <c r="J124">
        <v>8.3000000000000007</v>
      </c>
      <c r="K124">
        <v>0.46200000000000002</v>
      </c>
      <c r="L124">
        <v>1.8</v>
      </c>
      <c r="M124">
        <v>4.2</v>
      </c>
      <c r="N124">
        <v>0.42299999999999999</v>
      </c>
      <c r="O124">
        <v>2.1</v>
      </c>
      <c r="P124">
        <v>4.0999999999999996</v>
      </c>
      <c r="Q124">
        <v>0.502</v>
      </c>
      <c r="R124">
        <v>0.56899999999999995</v>
      </c>
      <c r="S124">
        <v>1.4</v>
      </c>
      <c r="T124">
        <v>1.6</v>
      </c>
      <c r="U124">
        <v>0.82399999999999995</v>
      </c>
      <c r="V124">
        <v>0.5</v>
      </c>
      <c r="W124">
        <v>2.2999999999999998</v>
      </c>
      <c r="X124">
        <v>2.7</v>
      </c>
      <c r="Y124">
        <v>2.4</v>
      </c>
      <c r="Z124">
        <v>1.5</v>
      </c>
      <c r="AA124">
        <v>0.5</v>
      </c>
      <c r="AB124">
        <v>1.1000000000000001</v>
      </c>
      <c r="AC124">
        <v>1.9</v>
      </c>
      <c r="AD124">
        <v>10.8</v>
      </c>
      <c r="AE124">
        <v>2381</v>
      </c>
      <c r="AF124">
        <v>11.5</v>
      </c>
      <c r="AG124">
        <v>0.59799999999999998</v>
      </c>
      <c r="AH124">
        <v>0.505</v>
      </c>
      <c r="AI124">
        <v>0.19800000000000001</v>
      </c>
      <c r="AJ124">
        <v>1.7</v>
      </c>
      <c r="AK124">
        <v>8.1</v>
      </c>
      <c r="AL124">
        <v>5</v>
      </c>
      <c r="AM124">
        <v>9.8000000000000007</v>
      </c>
      <c r="AN124">
        <v>2.2999999999999998</v>
      </c>
      <c r="AO124">
        <v>1.3</v>
      </c>
      <c r="AP124">
        <v>11.1</v>
      </c>
      <c r="AQ124">
        <v>14.1</v>
      </c>
      <c r="AR124">
        <v>2</v>
      </c>
      <c r="AS124">
        <v>2.5</v>
      </c>
      <c r="AT124">
        <v>4.5</v>
      </c>
      <c r="AU124">
        <v>9.0999999999999998E-2</v>
      </c>
      <c r="AV124">
        <v>-1.6</v>
      </c>
      <c r="AW124">
        <v>0.6</v>
      </c>
      <c r="AX124">
        <v>-1</v>
      </c>
      <c r="AY124">
        <v>0.6</v>
      </c>
      <c r="AZ124" s="8">
        <v>1.75</v>
      </c>
      <c r="BA124" s="8">
        <v>0.12495802302983505</v>
      </c>
      <c r="BB124" s="3">
        <v>0</v>
      </c>
    </row>
    <row r="125" spans="1:54" x14ac:dyDescent="0.25">
      <c r="A125" t="s">
        <v>211</v>
      </c>
      <c r="B125" s="2">
        <v>9472219</v>
      </c>
      <c r="C125" t="s">
        <v>62</v>
      </c>
      <c r="D125">
        <v>24</v>
      </c>
      <c r="E125" t="s">
        <v>116</v>
      </c>
      <c r="F125">
        <v>77</v>
      </c>
      <c r="G125">
        <v>0</v>
      </c>
      <c r="H125">
        <v>22.3</v>
      </c>
      <c r="I125">
        <v>4.5999999999999996</v>
      </c>
      <c r="J125">
        <v>10.3</v>
      </c>
      <c r="K125">
        <v>0.44800000000000001</v>
      </c>
      <c r="L125">
        <v>1.9</v>
      </c>
      <c r="M125">
        <v>5.2</v>
      </c>
      <c r="N125">
        <v>0.35899999999999999</v>
      </c>
      <c r="O125">
        <v>2.8</v>
      </c>
      <c r="P125">
        <v>5.2</v>
      </c>
      <c r="Q125">
        <v>0.53800000000000003</v>
      </c>
      <c r="R125">
        <v>0.53800000000000003</v>
      </c>
      <c r="S125">
        <v>2.4</v>
      </c>
      <c r="T125">
        <v>2.7</v>
      </c>
      <c r="U125">
        <v>0.88900000000000001</v>
      </c>
      <c r="V125">
        <v>0.4</v>
      </c>
      <c r="W125">
        <v>2.2000000000000002</v>
      </c>
      <c r="X125">
        <v>2.6</v>
      </c>
      <c r="Y125">
        <v>3.9</v>
      </c>
      <c r="Z125">
        <v>0.6</v>
      </c>
      <c r="AA125">
        <v>0.3</v>
      </c>
      <c r="AB125">
        <v>1.9</v>
      </c>
      <c r="AC125">
        <v>1.6</v>
      </c>
      <c r="AD125">
        <v>13.5</v>
      </c>
      <c r="AE125">
        <v>1719</v>
      </c>
      <c r="AF125">
        <v>16.600000000000001</v>
      </c>
      <c r="AG125">
        <v>0.58699999999999997</v>
      </c>
      <c r="AH125">
        <v>0.5</v>
      </c>
      <c r="AI125">
        <v>0.26</v>
      </c>
      <c r="AJ125">
        <v>2.1</v>
      </c>
      <c r="AK125">
        <v>11.3</v>
      </c>
      <c r="AL125">
        <v>6.7</v>
      </c>
      <c r="AM125">
        <v>25</v>
      </c>
      <c r="AN125">
        <v>1.4</v>
      </c>
      <c r="AO125">
        <v>1</v>
      </c>
      <c r="AP125">
        <v>14.1</v>
      </c>
      <c r="AQ125">
        <v>25.8</v>
      </c>
      <c r="AR125">
        <v>2.1</v>
      </c>
      <c r="AS125">
        <v>1.2</v>
      </c>
      <c r="AT125">
        <v>3.2</v>
      </c>
      <c r="AU125">
        <v>9.0999999999999998E-2</v>
      </c>
      <c r="AV125">
        <v>1.6</v>
      </c>
      <c r="AW125">
        <v>-1.4</v>
      </c>
      <c r="AX125">
        <v>0.3</v>
      </c>
      <c r="AY125">
        <v>1</v>
      </c>
      <c r="AZ125" s="8">
        <v>1.75</v>
      </c>
      <c r="BA125" s="8">
        <v>0.18475079598560801</v>
      </c>
      <c r="BB125" s="3">
        <v>0</v>
      </c>
    </row>
    <row r="126" spans="1:54" x14ac:dyDescent="0.25">
      <c r="A126" t="s">
        <v>280</v>
      </c>
      <c r="B126" s="2">
        <v>5121951</v>
      </c>
      <c r="C126" t="s">
        <v>28</v>
      </c>
      <c r="D126">
        <v>32</v>
      </c>
      <c r="E126" t="s">
        <v>60</v>
      </c>
      <c r="F126">
        <v>79</v>
      </c>
      <c r="G126">
        <v>60</v>
      </c>
      <c r="H126">
        <v>24.7</v>
      </c>
      <c r="I126">
        <v>2.9</v>
      </c>
      <c r="J126">
        <v>6.3</v>
      </c>
      <c r="K126">
        <v>0.45600000000000002</v>
      </c>
      <c r="L126">
        <v>1.3</v>
      </c>
      <c r="M126">
        <v>3.2</v>
      </c>
      <c r="N126">
        <v>0.39500000000000002</v>
      </c>
      <c r="O126">
        <v>1.6</v>
      </c>
      <c r="P126">
        <v>3.1</v>
      </c>
      <c r="Q126">
        <v>0.51800000000000002</v>
      </c>
      <c r="R126">
        <v>0.55600000000000005</v>
      </c>
      <c r="S126">
        <v>0.4</v>
      </c>
      <c r="T126">
        <v>0.6</v>
      </c>
      <c r="U126">
        <v>0.71099999999999997</v>
      </c>
      <c r="V126">
        <v>1.8</v>
      </c>
      <c r="W126">
        <v>3.6</v>
      </c>
      <c r="X126">
        <v>5.4</v>
      </c>
      <c r="Y126">
        <v>1.5</v>
      </c>
      <c r="Z126">
        <v>0.6</v>
      </c>
      <c r="AA126">
        <v>0.8</v>
      </c>
      <c r="AB126">
        <v>0.9</v>
      </c>
      <c r="AC126">
        <v>2.2999999999999998</v>
      </c>
      <c r="AD126">
        <v>7.4</v>
      </c>
      <c r="AE126">
        <v>1948</v>
      </c>
      <c r="AF126">
        <v>11.6</v>
      </c>
      <c r="AG126">
        <v>0.56599999999999995</v>
      </c>
      <c r="AH126">
        <v>0.50600000000000001</v>
      </c>
      <c r="AI126">
        <v>0.09</v>
      </c>
      <c r="AJ126">
        <v>8.1</v>
      </c>
      <c r="AK126">
        <v>16.3</v>
      </c>
      <c r="AL126">
        <v>12.1</v>
      </c>
      <c r="AM126">
        <v>7.9</v>
      </c>
      <c r="AN126">
        <v>1.3</v>
      </c>
      <c r="AO126">
        <v>2.9</v>
      </c>
      <c r="AP126">
        <v>12.3</v>
      </c>
      <c r="AQ126">
        <v>13</v>
      </c>
      <c r="AR126">
        <v>1.5</v>
      </c>
      <c r="AS126">
        <v>2.5</v>
      </c>
      <c r="AT126">
        <v>4</v>
      </c>
      <c r="AU126">
        <v>9.8000000000000004E-2</v>
      </c>
      <c r="AV126">
        <v>-1.3</v>
      </c>
      <c r="AW126">
        <v>0.7</v>
      </c>
      <c r="AX126">
        <v>-0.6</v>
      </c>
      <c r="AY126">
        <v>0.7</v>
      </c>
      <c r="AZ126" s="8">
        <v>1.7</v>
      </c>
      <c r="BA126" s="8">
        <v>0.33190477612925229</v>
      </c>
      <c r="BB126" s="3">
        <v>0</v>
      </c>
    </row>
    <row r="127" spans="1:54" x14ac:dyDescent="0.25">
      <c r="A127" t="s">
        <v>299</v>
      </c>
      <c r="B127" s="2">
        <v>4306281</v>
      </c>
      <c r="C127" t="s">
        <v>28</v>
      </c>
      <c r="D127">
        <v>24</v>
      </c>
      <c r="E127" t="s">
        <v>113</v>
      </c>
      <c r="F127">
        <v>79</v>
      </c>
      <c r="G127">
        <v>23</v>
      </c>
      <c r="H127">
        <v>25.9</v>
      </c>
      <c r="I127">
        <v>2.7</v>
      </c>
      <c r="J127">
        <v>6</v>
      </c>
      <c r="K127">
        <v>0.45400000000000001</v>
      </c>
      <c r="L127">
        <v>1.5</v>
      </c>
      <c r="M127">
        <v>3.7</v>
      </c>
      <c r="N127">
        <v>0.39500000000000002</v>
      </c>
      <c r="O127">
        <v>1.3</v>
      </c>
      <c r="P127">
        <v>2.2999999999999998</v>
      </c>
      <c r="Q127">
        <v>0.54600000000000004</v>
      </c>
      <c r="R127">
        <v>0.57499999999999996</v>
      </c>
      <c r="S127">
        <v>1.2</v>
      </c>
      <c r="T127">
        <v>1.5</v>
      </c>
      <c r="U127">
        <v>0.77</v>
      </c>
      <c r="V127">
        <v>1.1000000000000001</v>
      </c>
      <c r="W127">
        <v>3.5</v>
      </c>
      <c r="X127">
        <v>4.5999999999999996</v>
      </c>
      <c r="Y127">
        <v>1.7</v>
      </c>
      <c r="Z127">
        <v>0.5</v>
      </c>
      <c r="AA127">
        <v>0.4</v>
      </c>
      <c r="AB127">
        <v>1</v>
      </c>
      <c r="AC127">
        <v>2.4</v>
      </c>
      <c r="AD127">
        <v>8.1</v>
      </c>
      <c r="AE127">
        <v>2045</v>
      </c>
      <c r="AF127">
        <v>10.3</v>
      </c>
      <c r="AG127">
        <v>0.60499999999999998</v>
      </c>
      <c r="AH127">
        <v>0.61099999999999999</v>
      </c>
      <c r="AI127">
        <v>0.25600000000000001</v>
      </c>
      <c r="AJ127">
        <v>4.7</v>
      </c>
      <c r="AK127">
        <v>14.5</v>
      </c>
      <c r="AL127">
        <v>9.6999999999999993</v>
      </c>
      <c r="AM127">
        <v>8.4</v>
      </c>
      <c r="AN127">
        <v>1</v>
      </c>
      <c r="AO127">
        <v>1.3</v>
      </c>
      <c r="AP127">
        <v>13.4</v>
      </c>
      <c r="AQ127">
        <v>13.1</v>
      </c>
      <c r="AR127">
        <v>1.9</v>
      </c>
      <c r="AS127">
        <v>2.6</v>
      </c>
      <c r="AT127">
        <v>4.4000000000000004</v>
      </c>
      <c r="AU127">
        <v>0.104</v>
      </c>
      <c r="AV127">
        <v>-1.8</v>
      </c>
      <c r="AW127">
        <v>0.7</v>
      </c>
      <c r="AX127">
        <v>-1.1000000000000001</v>
      </c>
      <c r="AY127">
        <v>0.5</v>
      </c>
      <c r="AZ127" s="8">
        <v>1.6500000000000001</v>
      </c>
      <c r="BA127" s="8">
        <v>0.38316124748942304</v>
      </c>
      <c r="BB127" s="3">
        <v>0</v>
      </c>
    </row>
    <row r="128" spans="1:54" x14ac:dyDescent="0.25">
      <c r="A128" t="s">
        <v>111</v>
      </c>
      <c r="B128" s="2">
        <v>30556968</v>
      </c>
      <c r="C128" t="s">
        <v>28</v>
      </c>
      <c r="D128">
        <v>34</v>
      </c>
      <c r="E128" t="s">
        <v>80</v>
      </c>
      <c r="F128">
        <v>62</v>
      </c>
      <c r="G128">
        <v>20</v>
      </c>
      <c r="H128">
        <v>20</v>
      </c>
      <c r="I128">
        <v>2.7</v>
      </c>
      <c r="J128">
        <v>6.8</v>
      </c>
      <c r="K128">
        <v>0.38900000000000001</v>
      </c>
      <c r="L128">
        <v>1.6</v>
      </c>
      <c r="M128">
        <v>4.8</v>
      </c>
      <c r="N128">
        <v>0.33400000000000002</v>
      </c>
      <c r="O128">
        <v>1.1000000000000001</v>
      </c>
      <c r="P128">
        <v>2.1</v>
      </c>
      <c r="Q128">
        <v>0.51600000000000001</v>
      </c>
      <c r="R128">
        <v>0.50600000000000001</v>
      </c>
      <c r="S128">
        <v>1.3</v>
      </c>
      <c r="T128">
        <v>1.5</v>
      </c>
      <c r="U128">
        <v>0.879</v>
      </c>
      <c r="V128">
        <v>1</v>
      </c>
      <c r="W128">
        <v>5.5</v>
      </c>
      <c r="X128">
        <v>6.4</v>
      </c>
      <c r="Y128">
        <v>1.9</v>
      </c>
      <c r="Z128">
        <v>0.3</v>
      </c>
      <c r="AA128">
        <v>0.2</v>
      </c>
      <c r="AB128">
        <v>1.1000000000000001</v>
      </c>
      <c r="AC128">
        <v>1.6</v>
      </c>
      <c r="AD128">
        <v>8.1999999999999993</v>
      </c>
      <c r="AE128">
        <v>1240</v>
      </c>
      <c r="AF128">
        <v>13.1</v>
      </c>
      <c r="AG128">
        <v>0.54800000000000004</v>
      </c>
      <c r="AH128">
        <v>0.69799999999999995</v>
      </c>
      <c r="AI128">
        <v>0.215</v>
      </c>
      <c r="AJ128">
        <v>5.5</v>
      </c>
      <c r="AK128">
        <v>32.6</v>
      </c>
      <c r="AL128">
        <v>18.899999999999999</v>
      </c>
      <c r="AM128">
        <v>13.2</v>
      </c>
      <c r="AN128">
        <v>0.6</v>
      </c>
      <c r="AO128">
        <v>0.9</v>
      </c>
      <c r="AP128">
        <v>13.1</v>
      </c>
      <c r="AQ128">
        <v>19.2</v>
      </c>
      <c r="AR128">
        <v>0.6</v>
      </c>
      <c r="AS128">
        <v>2</v>
      </c>
      <c r="AT128">
        <v>2.6</v>
      </c>
      <c r="AU128">
        <v>9.9000000000000005E-2</v>
      </c>
      <c r="AV128">
        <v>0.2</v>
      </c>
      <c r="AW128">
        <v>0.4</v>
      </c>
      <c r="AX128">
        <v>0.6</v>
      </c>
      <c r="AY128">
        <v>0.8</v>
      </c>
      <c r="AZ128" s="8">
        <v>1.6</v>
      </c>
      <c r="BA128" s="8">
        <v>5.236121594262886E-2</v>
      </c>
      <c r="BB128" s="3">
        <v>0</v>
      </c>
    </row>
    <row r="129" spans="1:54" x14ac:dyDescent="0.25">
      <c r="A129" t="s">
        <v>387</v>
      </c>
      <c r="B129" s="2">
        <v>2161440</v>
      </c>
      <c r="C129" t="s">
        <v>65</v>
      </c>
      <c r="D129">
        <v>22</v>
      </c>
      <c r="E129" t="s">
        <v>76</v>
      </c>
      <c r="F129">
        <v>79</v>
      </c>
      <c r="G129">
        <v>79</v>
      </c>
      <c r="H129">
        <v>30.6</v>
      </c>
      <c r="I129">
        <v>4.7</v>
      </c>
      <c r="J129">
        <v>9.1</v>
      </c>
      <c r="K129">
        <v>0.51700000000000002</v>
      </c>
      <c r="L129">
        <v>1.4</v>
      </c>
      <c r="M129">
        <v>3.4</v>
      </c>
      <c r="N129">
        <v>0.39800000000000002</v>
      </c>
      <c r="O129">
        <v>3.3</v>
      </c>
      <c r="P129">
        <v>5.7</v>
      </c>
      <c r="Q129">
        <v>0.58799999999999997</v>
      </c>
      <c r="R129">
        <v>0.59099999999999997</v>
      </c>
      <c r="S129">
        <v>1.3</v>
      </c>
      <c r="T129">
        <v>1.8</v>
      </c>
      <c r="U129">
        <v>0.73599999999999999</v>
      </c>
      <c r="V129">
        <v>1.2</v>
      </c>
      <c r="W129">
        <v>2.7</v>
      </c>
      <c r="X129">
        <v>3.9</v>
      </c>
      <c r="Y129">
        <v>1.9</v>
      </c>
      <c r="Z129">
        <v>0.9</v>
      </c>
      <c r="AA129">
        <v>1</v>
      </c>
      <c r="AB129">
        <v>1.4</v>
      </c>
      <c r="AC129">
        <v>3.4</v>
      </c>
      <c r="AD129">
        <v>12.1</v>
      </c>
      <c r="AE129">
        <v>2416</v>
      </c>
      <c r="AF129">
        <v>12</v>
      </c>
      <c r="AG129">
        <v>0.61099999999999999</v>
      </c>
      <c r="AH129">
        <v>0.376</v>
      </c>
      <c r="AI129">
        <v>0.20100000000000001</v>
      </c>
      <c r="AJ129">
        <v>4.3</v>
      </c>
      <c r="AK129">
        <v>9.8000000000000007</v>
      </c>
      <c r="AL129">
        <v>7.1</v>
      </c>
      <c r="AM129">
        <v>8.4</v>
      </c>
      <c r="AN129">
        <v>1.5</v>
      </c>
      <c r="AO129">
        <v>2.7</v>
      </c>
      <c r="AP129">
        <v>12.6</v>
      </c>
      <c r="AQ129">
        <v>15.8</v>
      </c>
      <c r="AR129">
        <v>2</v>
      </c>
      <c r="AS129">
        <v>2.4</v>
      </c>
      <c r="AT129">
        <v>4.4000000000000004</v>
      </c>
      <c r="AU129">
        <v>8.6999999999999994E-2</v>
      </c>
      <c r="AV129">
        <v>-1.7</v>
      </c>
      <c r="AW129">
        <v>0.5</v>
      </c>
      <c r="AX129">
        <v>-1.2</v>
      </c>
      <c r="AY129">
        <v>0.5</v>
      </c>
      <c r="AZ129" s="8">
        <v>1.6</v>
      </c>
      <c r="BA129" s="8">
        <v>0.74024724257902141</v>
      </c>
      <c r="BB129" s="3">
        <v>0</v>
      </c>
    </row>
    <row r="130" spans="1:54" x14ac:dyDescent="0.25">
      <c r="A130" t="s">
        <v>128</v>
      </c>
      <c r="B130" s="2">
        <v>23500000</v>
      </c>
      <c r="C130" t="s">
        <v>28</v>
      </c>
      <c r="D130">
        <v>25</v>
      </c>
      <c r="E130" t="s">
        <v>85</v>
      </c>
      <c r="F130">
        <v>71</v>
      </c>
      <c r="G130">
        <v>71</v>
      </c>
      <c r="H130">
        <v>30</v>
      </c>
      <c r="I130">
        <v>5.0999999999999996</v>
      </c>
      <c r="J130">
        <v>10</v>
      </c>
      <c r="K130">
        <v>0.50800000000000001</v>
      </c>
      <c r="L130">
        <v>1</v>
      </c>
      <c r="M130">
        <v>3.4</v>
      </c>
      <c r="N130">
        <v>0.29199999999999998</v>
      </c>
      <c r="O130">
        <v>4.0999999999999996</v>
      </c>
      <c r="P130">
        <v>6.6</v>
      </c>
      <c r="Q130">
        <v>0.61899999999999999</v>
      </c>
      <c r="R130">
        <v>0.55700000000000005</v>
      </c>
      <c r="S130">
        <v>2</v>
      </c>
      <c r="T130">
        <v>2.5</v>
      </c>
      <c r="U130">
        <v>0.80300000000000005</v>
      </c>
      <c r="V130">
        <v>1.1000000000000001</v>
      </c>
      <c r="W130">
        <v>5.4</v>
      </c>
      <c r="X130">
        <v>6.5</v>
      </c>
      <c r="Y130">
        <v>1.2</v>
      </c>
      <c r="Z130">
        <v>0.6</v>
      </c>
      <c r="AA130">
        <v>1</v>
      </c>
      <c r="AB130">
        <v>1.1000000000000001</v>
      </c>
      <c r="AC130">
        <v>3.1</v>
      </c>
      <c r="AD130">
        <v>13.1</v>
      </c>
      <c r="AE130">
        <v>2130</v>
      </c>
      <c r="AF130">
        <v>13.6</v>
      </c>
      <c r="AG130">
        <v>0.59299999999999997</v>
      </c>
      <c r="AH130">
        <v>0.33900000000000002</v>
      </c>
      <c r="AI130">
        <v>0.252</v>
      </c>
      <c r="AJ130">
        <v>3.9</v>
      </c>
      <c r="AK130">
        <v>20</v>
      </c>
      <c r="AL130">
        <v>11.9</v>
      </c>
      <c r="AM130">
        <v>5.3</v>
      </c>
      <c r="AN130">
        <v>0.9</v>
      </c>
      <c r="AO130">
        <v>2.9</v>
      </c>
      <c r="AP130">
        <v>9.1</v>
      </c>
      <c r="AQ130">
        <v>17.100000000000001</v>
      </c>
      <c r="AR130">
        <v>2.1</v>
      </c>
      <c r="AS130">
        <v>2.1</v>
      </c>
      <c r="AT130">
        <v>4.2</v>
      </c>
      <c r="AU130">
        <v>9.5000000000000001E-2</v>
      </c>
      <c r="AV130">
        <v>-1.4</v>
      </c>
      <c r="AW130">
        <v>0.2</v>
      </c>
      <c r="AX130">
        <v>-1.3</v>
      </c>
      <c r="AY130">
        <v>0.4</v>
      </c>
      <c r="AZ130" s="8">
        <v>1.4500000000000002</v>
      </c>
      <c r="BA130" s="8">
        <v>6.1702127659574481E-2</v>
      </c>
      <c r="BB130" s="3">
        <v>0</v>
      </c>
    </row>
    <row r="131" spans="1:54" x14ac:dyDescent="0.25">
      <c r="A131" t="s">
        <v>434</v>
      </c>
      <c r="B131" s="2">
        <v>1782621</v>
      </c>
      <c r="C131" t="s">
        <v>75</v>
      </c>
      <c r="D131">
        <v>25</v>
      </c>
      <c r="E131" t="s">
        <v>118</v>
      </c>
      <c r="F131">
        <v>65</v>
      </c>
      <c r="G131">
        <v>9</v>
      </c>
      <c r="H131">
        <v>18.7</v>
      </c>
      <c r="I131">
        <v>3</v>
      </c>
      <c r="J131">
        <v>4.8</v>
      </c>
      <c r="K131">
        <v>0.629</v>
      </c>
      <c r="L131">
        <v>0</v>
      </c>
      <c r="M131">
        <v>0</v>
      </c>
      <c r="N131">
        <v>1</v>
      </c>
      <c r="O131">
        <v>3</v>
      </c>
      <c r="P131">
        <v>4.8</v>
      </c>
      <c r="Q131">
        <v>0.628</v>
      </c>
      <c r="R131">
        <v>0.63100000000000001</v>
      </c>
      <c r="S131">
        <v>2.1</v>
      </c>
      <c r="T131">
        <v>2.8</v>
      </c>
      <c r="U131">
        <v>0.749</v>
      </c>
      <c r="V131">
        <v>2.2999999999999998</v>
      </c>
      <c r="W131">
        <v>4.0999999999999996</v>
      </c>
      <c r="X131">
        <v>6.4</v>
      </c>
      <c r="Y131">
        <v>0.6</v>
      </c>
      <c r="Z131">
        <v>0.2</v>
      </c>
      <c r="AA131">
        <v>1.1000000000000001</v>
      </c>
      <c r="AB131">
        <v>0.9</v>
      </c>
      <c r="AC131">
        <v>2.4</v>
      </c>
      <c r="AD131">
        <v>8.1999999999999993</v>
      </c>
      <c r="AE131">
        <v>1217</v>
      </c>
      <c r="AF131">
        <v>18.3</v>
      </c>
      <c r="AG131">
        <v>0.67600000000000005</v>
      </c>
      <c r="AH131">
        <v>3.0000000000000001E-3</v>
      </c>
      <c r="AI131">
        <v>0.58499999999999996</v>
      </c>
      <c r="AJ131">
        <v>12.6</v>
      </c>
      <c r="AK131">
        <v>24</v>
      </c>
      <c r="AL131">
        <v>18.2</v>
      </c>
      <c r="AM131">
        <v>4.5</v>
      </c>
      <c r="AN131">
        <v>0.4</v>
      </c>
      <c r="AO131">
        <v>5.0999999999999996</v>
      </c>
      <c r="AP131">
        <v>13</v>
      </c>
      <c r="AQ131">
        <v>15.6</v>
      </c>
      <c r="AR131">
        <v>2.7</v>
      </c>
      <c r="AS131">
        <v>1.5</v>
      </c>
      <c r="AT131">
        <v>4.2</v>
      </c>
      <c r="AU131">
        <v>0.16500000000000001</v>
      </c>
      <c r="AV131">
        <v>-1</v>
      </c>
      <c r="AW131">
        <v>-0.2</v>
      </c>
      <c r="AX131">
        <v>-1.3</v>
      </c>
      <c r="AY131">
        <v>0.2</v>
      </c>
      <c r="AZ131" s="8">
        <v>1.4500000000000002</v>
      </c>
      <c r="BA131" s="8">
        <v>0.81340901964018164</v>
      </c>
      <c r="BB131" s="3">
        <v>0</v>
      </c>
    </row>
    <row r="132" spans="1:54" x14ac:dyDescent="0.25">
      <c r="A132" t="s">
        <v>464</v>
      </c>
      <c r="B132" s="2">
        <v>1280206</v>
      </c>
      <c r="C132" t="s">
        <v>52</v>
      </c>
      <c r="D132">
        <v>24</v>
      </c>
      <c r="E132" t="s">
        <v>63</v>
      </c>
      <c r="F132">
        <v>62</v>
      </c>
      <c r="G132">
        <v>7</v>
      </c>
      <c r="H132">
        <v>17.8</v>
      </c>
      <c r="I132">
        <v>2.5</v>
      </c>
      <c r="J132">
        <v>5.7</v>
      </c>
      <c r="K132">
        <v>0.44800000000000001</v>
      </c>
      <c r="L132">
        <v>0.6</v>
      </c>
      <c r="M132">
        <v>1.9</v>
      </c>
      <c r="N132">
        <v>0.32200000000000001</v>
      </c>
      <c r="O132">
        <v>1.9</v>
      </c>
      <c r="P132">
        <v>3.8</v>
      </c>
      <c r="Q132">
        <v>0.51100000000000001</v>
      </c>
      <c r="R132">
        <v>0.501</v>
      </c>
      <c r="S132">
        <v>0.9</v>
      </c>
      <c r="T132">
        <v>1.1000000000000001</v>
      </c>
      <c r="U132">
        <v>0.76800000000000002</v>
      </c>
      <c r="V132">
        <v>0.9</v>
      </c>
      <c r="W132">
        <v>2.4</v>
      </c>
      <c r="X132">
        <v>3.3</v>
      </c>
      <c r="Y132">
        <v>2.7</v>
      </c>
      <c r="Z132">
        <v>0.9</v>
      </c>
      <c r="AA132">
        <v>0.4</v>
      </c>
      <c r="AB132">
        <v>0.9</v>
      </c>
      <c r="AC132">
        <v>1.5</v>
      </c>
      <c r="AD132">
        <v>6.6</v>
      </c>
      <c r="AE132">
        <v>1106</v>
      </c>
      <c r="AF132">
        <v>14.8</v>
      </c>
      <c r="AG132">
        <v>0.53100000000000003</v>
      </c>
      <c r="AH132">
        <v>0.33400000000000002</v>
      </c>
      <c r="AI132">
        <v>0.19500000000000001</v>
      </c>
      <c r="AJ132">
        <v>6</v>
      </c>
      <c r="AK132">
        <v>14.3</v>
      </c>
      <c r="AL132">
        <v>10.3</v>
      </c>
      <c r="AM132">
        <v>20.8</v>
      </c>
      <c r="AN132">
        <v>2.6</v>
      </c>
      <c r="AO132">
        <v>2</v>
      </c>
      <c r="AP132">
        <v>12.9</v>
      </c>
      <c r="AQ132">
        <v>17.3</v>
      </c>
      <c r="AR132">
        <v>0.9</v>
      </c>
      <c r="AS132">
        <v>1.3</v>
      </c>
      <c r="AT132">
        <v>2.2000000000000002</v>
      </c>
      <c r="AU132">
        <v>9.7000000000000003E-2</v>
      </c>
      <c r="AV132">
        <v>-0.7</v>
      </c>
      <c r="AW132">
        <v>1.4</v>
      </c>
      <c r="AX132">
        <v>0.7</v>
      </c>
      <c r="AY132">
        <v>0.8</v>
      </c>
      <c r="AZ132" s="8">
        <v>1.4500000000000002</v>
      </c>
      <c r="BA132" s="8">
        <v>1.1326302173243996</v>
      </c>
      <c r="BB132" s="3">
        <v>0</v>
      </c>
    </row>
    <row r="133" spans="1:54" x14ac:dyDescent="0.25">
      <c r="A133" t="s">
        <v>259</v>
      </c>
      <c r="B133" s="2">
        <v>6025000</v>
      </c>
      <c r="C133" t="s">
        <v>52</v>
      </c>
      <c r="D133">
        <v>27</v>
      </c>
      <c r="E133" t="s">
        <v>68</v>
      </c>
      <c r="F133">
        <v>81</v>
      </c>
      <c r="G133">
        <v>39</v>
      </c>
      <c r="H133">
        <v>22.3</v>
      </c>
      <c r="I133">
        <v>3</v>
      </c>
      <c r="J133">
        <v>7</v>
      </c>
      <c r="K133">
        <v>0.42299999999999999</v>
      </c>
      <c r="L133">
        <v>1.8</v>
      </c>
      <c r="M133">
        <v>4.2</v>
      </c>
      <c r="N133">
        <v>0.42099999999999999</v>
      </c>
      <c r="O133">
        <v>1.2</v>
      </c>
      <c r="P133">
        <v>2.8</v>
      </c>
      <c r="Q133">
        <v>0.42499999999999999</v>
      </c>
      <c r="R133">
        <v>0.54900000000000004</v>
      </c>
      <c r="S133">
        <v>0.4</v>
      </c>
      <c r="T133">
        <v>0.5</v>
      </c>
      <c r="U133">
        <v>0.81599999999999995</v>
      </c>
      <c r="V133">
        <v>0.4</v>
      </c>
      <c r="W133">
        <v>2.1</v>
      </c>
      <c r="X133">
        <v>2.5</v>
      </c>
      <c r="Y133">
        <v>2.4</v>
      </c>
      <c r="Z133">
        <v>0.8</v>
      </c>
      <c r="AA133">
        <v>0.4</v>
      </c>
      <c r="AB133">
        <v>1</v>
      </c>
      <c r="AC133">
        <v>2</v>
      </c>
      <c r="AD133">
        <v>8</v>
      </c>
      <c r="AE133">
        <v>1810</v>
      </c>
      <c r="AF133">
        <v>10.9</v>
      </c>
      <c r="AG133">
        <v>0.56000000000000005</v>
      </c>
      <c r="AH133">
        <v>0.59599999999999997</v>
      </c>
      <c r="AI133">
        <v>6.7000000000000004E-2</v>
      </c>
      <c r="AJ133">
        <v>2.1</v>
      </c>
      <c r="AK133">
        <v>9.3000000000000007</v>
      </c>
      <c r="AL133">
        <v>5.8</v>
      </c>
      <c r="AM133">
        <v>14.5</v>
      </c>
      <c r="AN133">
        <v>1.7</v>
      </c>
      <c r="AO133">
        <v>1.3</v>
      </c>
      <c r="AP133">
        <v>11.8</v>
      </c>
      <c r="AQ133">
        <v>15.3</v>
      </c>
      <c r="AR133">
        <v>1.2</v>
      </c>
      <c r="AS133">
        <v>2.2999999999999998</v>
      </c>
      <c r="AT133">
        <v>3.5</v>
      </c>
      <c r="AU133">
        <v>9.1999999999999998E-2</v>
      </c>
      <c r="AV133">
        <v>-1.9</v>
      </c>
      <c r="AW133">
        <v>1.2</v>
      </c>
      <c r="AX133">
        <v>-0.6</v>
      </c>
      <c r="AY133">
        <v>0.6</v>
      </c>
      <c r="AZ133" s="8">
        <v>1.45</v>
      </c>
      <c r="BA133" s="8">
        <v>0.24066390041493776</v>
      </c>
      <c r="BB133" s="3">
        <v>0</v>
      </c>
    </row>
    <row r="134" spans="1:54" x14ac:dyDescent="0.25">
      <c r="A134" t="s">
        <v>71</v>
      </c>
      <c r="B134" s="2">
        <v>40600080</v>
      </c>
      <c r="C134" t="s">
        <v>65</v>
      </c>
      <c r="D134">
        <v>32</v>
      </c>
      <c r="E134" t="s">
        <v>53</v>
      </c>
      <c r="F134">
        <v>69</v>
      </c>
      <c r="G134">
        <v>69</v>
      </c>
      <c r="H134">
        <v>33</v>
      </c>
      <c r="I134">
        <v>7.9</v>
      </c>
      <c r="J134">
        <v>18.100000000000001</v>
      </c>
      <c r="K134">
        <v>0.436</v>
      </c>
      <c r="L134">
        <v>4.4000000000000004</v>
      </c>
      <c r="M134">
        <v>10.6</v>
      </c>
      <c r="N134">
        <v>0.41199999999999998</v>
      </c>
      <c r="O134">
        <v>3.6</v>
      </c>
      <c r="P134">
        <v>7.6</v>
      </c>
      <c r="Q134">
        <v>0.47</v>
      </c>
      <c r="R134">
        <v>0.55600000000000005</v>
      </c>
      <c r="S134">
        <v>1.7</v>
      </c>
      <c r="T134">
        <v>1.9</v>
      </c>
      <c r="U134">
        <v>0.879</v>
      </c>
      <c r="V134">
        <v>0.6</v>
      </c>
      <c r="W134">
        <v>3.6</v>
      </c>
      <c r="X134">
        <v>4.0999999999999996</v>
      </c>
      <c r="Y134">
        <v>2.4</v>
      </c>
      <c r="Z134">
        <v>0.7</v>
      </c>
      <c r="AA134">
        <v>0.4</v>
      </c>
      <c r="AB134">
        <v>1.8</v>
      </c>
      <c r="AC134">
        <v>1.9</v>
      </c>
      <c r="AD134">
        <v>21.9</v>
      </c>
      <c r="AE134">
        <v>2279</v>
      </c>
      <c r="AF134">
        <v>14.7</v>
      </c>
      <c r="AG134">
        <v>0.57599999999999996</v>
      </c>
      <c r="AH134">
        <v>0.58399999999999996</v>
      </c>
      <c r="AI134">
        <v>0.105</v>
      </c>
      <c r="AJ134">
        <v>1.9</v>
      </c>
      <c r="AK134">
        <v>11.7</v>
      </c>
      <c r="AL134">
        <v>6.9</v>
      </c>
      <c r="AM134">
        <v>11</v>
      </c>
      <c r="AN134">
        <v>1</v>
      </c>
      <c r="AO134">
        <v>1.1000000000000001</v>
      </c>
      <c r="AP134">
        <v>8.6</v>
      </c>
      <c r="AQ134">
        <v>26.4</v>
      </c>
      <c r="AR134">
        <v>1.2</v>
      </c>
      <c r="AS134">
        <v>1.9</v>
      </c>
      <c r="AT134">
        <v>3.1</v>
      </c>
      <c r="AU134">
        <v>6.6000000000000003E-2</v>
      </c>
      <c r="AV134">
        <v>1.5</v>
      </c>
      <c r="AW134">
        <v>-1.7</v>
      </c>
      <c r="AX134">
        <v>-0.3</v>
      </c>
      <c r="AY134">
        <v>1</v>
      </c>
      <c r="AZ134" s="8">
        <v>1.4000000000000001</v>
      </c>
      <c r="BA134" s="8">
        <v>3.4482690674501139E-2</v>
      </c>
      <c r="BB134" s="3">
        <v>0</v>
      </c>
    </row>
    <row r="135" spans="1:54" x14ac:dyDescent="0.25">
      <c r="A135" t="s">
        <v>154</v>
      </c>
      <c r="B135" s="2">
        <v>17207142</v>
      </c>
      <c r="C135" t="s">
        <v>52</v>
      </c>
      <c r="D135">
        <v>28</v>
      </c>
      <c r="E135" t="s">
        <v>113</v>
      </c>
      <c r="F135">
        <v>61</v>
      </c>
      <c r="G135">
        <v>61</v>
      </c>
      <c r="H135">
        <v>32.1</v>
      </c>
      <c r="I135">
        <v>4.0999999999999996</v>
      </c>
      <c r="J135">
        <v>9.9</v>
      </c>
      <c r="K135">
        <v>0.41499999999999998</v>
      </c>
      <c r="L135">
        <v>1.9</v>
      </c>
      <c r="M135">
        <v>5.6</v>
      </c>
      <c r="N135">
        <v>0.33600000000000002</v>
      </c>
      <c r="O135">
        <v>2.2000000000000002</v>
      </c>
      <c r="P135">
        <v>4.3</v>
      </c>
      <c r="Q135">
        <v>0.51900000000000002</v>
      </c>
      <c r="R135">
        <v>0.51100000000000001</v>
      </c>
      <c r="S135">
        <v>1.4</v>
      </c>
      <c r="T135">
        <v>1.9</v>
      </c>
      <c r="U135">
        <v>0.746</v>
      </c>
      <c r="V135">
        <v>0.8</v>
      </c>
      <c r="W135">
        <v>2.4</v>
      </c>
      <c r="X135">
        <v>3.1</v>
      </c>
      <c r="Y135">
        <v>6.3</v>
      </c>
      <c r="Z135">
        <v>1.5</v>
      </c>
      <c r="AA135">
        <v>0.4</v>
      </c>
      <c r="AB135">
        <v>2.2999999999999998</v>
      </c>
      <c r="AC135">
        <v>2.8</v>
      </c>
      <c r="AD135">
        <v>11.5</v>
      </c>
      <c r="AE135">
        <v>1957</v>
      </c>
      <c r="AF135">
        <v>12.1</v>
      </c>
      <c r="AG135">
        <v>0.53800000000000003</v>
      </c>
      <c r="AH135">
        <v>0.56799999999999995</v>
      </c>
      <c r="AI135">
        <v>0.19600000000000001</v>
      </c>
      <c r="AJ135">
        <v>2.6</v>
      </c>
      <c r="AK135">
        <v>8</v>
      </c>
      <c r="AL135">
        <v>5.3</v>
      </c>
      <c r="AM135">
        <v>26.4</v>
      </c>
      <c r="AN135">
        <v>2.2999999999999998</v>
      </c>
      <c r="AO135">
        <v>1</v>
      </c>
      <c r="AP135">
        <v>17.899999999999999</v>
      </c>
      <c r="AQ135">
        <v>17.8</v>
      </c>
      <c r="AR135">
        <v>1</v>
      </c>
      <c r="AS135">
        <v>2.7</v>
      </c>
      <c r="AT135">
        <v>3.7</v>
      </c>
      <c r="AU135">
        <v>9.1999999999999998E-2</v>
      </c>
      <c r="AV135">
        <v>-1.8</v>
      </c>
      <c r="AW135">
        <v>0.8</v>
      </c>
      <c r="AX135">
        <v>-1</v>
      </c>
      <c r="AY135">
        <v>0.5</v>
      </c>
      <c r="AZ135" s="8">
        <v>1.35</v>
      </c>
      <c r="BA135" s="8">
        <v>7.8455794692692135E-2</v>
      </c>
      <c r="BB135" s="3">
        <v>0</v>
      </c>
    </row>
    <row r="136" spans="1:54" x14ac:dyDescent="0.25">
      <c r="A136" t="s">
        <v>88</v>
      </c>
      <c r="B136" s="2">
        <v>35448672</v>
      </c>
      <c r="C136" t="s">
        <v>52</v>
      </c>
      <c r="D136">
        <v>26</v>
      </c>
      <c r="E136" t="s">
        <v>89</v>
      </c>
      <c r="F136">
        <v>42</v>
      </c>
      <c r="G136">
        <v>33</v>
      </c>
      <c r="H136">
        <v>26.3</v>
      </c>
      <c r="I136">
        <v>3.2</v>
      </c>
      <c r="J136">
        <v>5.6</v>
      </c>
      <c r="K136">
        <v>0.56599999999999995</v>
      </c>
      <c r="L136">
        <v>0</v>
      </c>
      <c r="M136">
        <v>0</v>
      </c>
      <c r="N136">
        <v>0</v>
      </c>
      <c r="O136">
        <v>3.2</v>
      </c>
      <c r="P136">
        <v>5.5</v>
      </c>
      <c r="Q136">
        <v>0.57099999999999995</v>
      </c>
      <c r="R136">
        <v>0.56599999999999995</v>
      </c>
      <c r="S136">
        <v>0.6</v>
      </c>
      <c r="T136">
        <v>1.4</v>
      </c>
      <c r="U136">
        <v>0.439</v>
      </c>
      <c r="V136">
        <v>1</v>
      </c>
      <c r="W136">
        <v>5.3</v>
      </c>
      <c r="X136">
        <v>6.3</v>
      </c>
      <c r="Y136">
        <v>6.1</v>
      </c>
      <c r="Z136">
        <v>1.3</v>
      </c>
      <c r="AA136">
        <v>0.6</v>
      </c>
      <c r="AB136">
        <v>2.2999999999999998</v>
      </c>
      <c r="AC136">
        <v>3.3</v>
      </c>
      <c r="AD136">
        <v>6.9</v>
      </c>
      <c r="AE136">
        <v>1105</v>
      </c>
      <c r="AF136">
        <v>13.4</v>
      </c>
      <c r="AG136">
        <v>0.55900000000000005</v>
      </c>
      <c r="AH136">
        <v>8.9999999999999993E-3</v>
      </c>
      <c r="AI136">
        <v>0.24299999999999999</v>
      </c>
      <c r="AJ136">
        <v>4.2</v>
      </c>
      <c r="AK136">
        <v>22.2</v>
      </c>
      <c r="AL136">
        <v>13.4</v>
      </c>
      <c r="AM136">
        <v>31.3</v>
      </c>
      <c r="AN136">
        <v>2.4</v>
      </c>
      <c r="AO136">
        <v>1.9</v>
      </c>
      <c r="AP136">
        <v>27.2</v>
      </c>
      <c r="AQ136">
        <v>14.3</v>
      </c>
      <c r="AR136">
        <v>0.5</v>
      </c>
      <c r="AS136">
        <v>1.7</v>
      </c>
      <c r="AT136">
        <v>2.2000000000000002</v>
      </c>
      <c r="AU136">
        <v>9.7000000000000003E-2</v>
      </c>
      <c r="AV136">
        <v>-2.2000000000000002</v>
      </c>
      <c r="AW136">
        <v>2.6</v>
      </c>
      <c r="AX136">
        <v>0.4</v>
      </c>
      <c r="AY136">
        <v>0.7</v>
      </c>
      <c r="AZ136" s="8">
        <v>1.3</v>
      </c>
      <c r="BA136" s="8">
        <v>3.6672741929514314E-2</v>
      </c>
      <c r="BB136" s="3">
        <v>0</v>
      </c>
    </row>
    <row r="137" spans="1:54" x14ac:dyDescent="0.25">
      <c r="A137" t="s">
        <v>240</v>
      </c>
      <c r="B137" s="2">
        <v>7426088</v>
      </c>
      <c r="C137" t="s">
        <v>65</v>
      </c>
      <c r="D137">
        <v>27</v>
      </c>
      <c r="E137" t="s">
        <v>107</v>
      </c>
      <c r="F137">
        <v>77</v>
      </c>
      <c r="G137">
        <v>2</v>
      </c>
      <c r="H137">
        <v>20.100000000000001</v>
      </c>
      <c r="I137">
        <v>3.1</v>
      </c>
      <c r="J137">
        <v>6.9</v>
      </c>
      <c r="K137">
        <v>0.45100000000000001</v>
      </c>
      <c r="L137">
        <v>1.5</v>
      </c>
      <c r="M137">
        <v>4.0999999999999996</v>
      </c>
      <c r="N137">
        <v>0.372</v>
      </c>
      <c r="O137">
        <v>1.6</v>
      </c>
      <c r="P137">
        <v>2.8</v>
      </c>
      <c r="Q137">
        <v>0.56399999999999995</v>
      </c>
      <c r="R137">
        <v>0.56000000000000005</v>
      </c>
      <c r="S137">
        <v>1</v>
      </c>
      <c r="T137">
        <v>1.4</v>
      </c>
      <c r="U137">
        <v>0.69399999999999995</v>
      </c>
      <c r="V137">
        <v>0.3</v>
      </c>
      <c r="W137">
        <v>2</v>
      </c>
      <c r="X137">
        <v>2.2999999999999998</v>
      </c>
      <c r="Y137">
        <v>1.5</v>
      </c>
      <c r="Z137">
        <v>0.5</v>
      </c>
      <c r="AA137">
        <v>0.1</v>
      </c>
      <c r="AB137">
        <v>0.7</v>
      </c>
      <c r="AC137">
        <v>1.6</v>
      </c>
      <c r="AD137">
        <v>8.6999999999999993</v>
      </c>
      <c r="AE137">
        <v>1548</v>
      </c>
      <c r="AF137">
        <v>12</v>
      </c>
      <c r="AG137">
        <v>0.57899999999999996</v>
      </c>
      <c r="AH137">
        <v>0.58899999999999997</v>
      </c>
      <c r="AI137">
        <v>0.20399999999999999</v>
      </c>
      <c r="AJ137">
        <v>1.9</v>
      </c>
      <c r="AK137">
        <v>11.5</v>
      </c>
      <c r="AL137">
        <v>6.7</v>
      </c>
      <c r="AM137">
        <v>10.6</v>
      </c>
      <c r="AN137">
        <v>1.1000000000000001</v>
      </c>
      <c r="AO137">
        <v>0.7</v>
      </c>
      <c r="AP137">
        <v>8.3000000000000007</v>
      </c>
      <c r="AQ137">
        <v>18.2</v>
      </c>
      <c r="AR137">
        <v>1.4</v>
      </c>
      <c r="AS137">
        <v>1.9</v>
      </c>
      <c r="AT137">
        <v>3.3</v>
      </c>
      <c r="AU137">
        <v>0.10299999999999999</v>
      </c>
      <c r="AV137">
        <v>-0.8</v>
      </c>
      <c r="AW137">
        <v>0.2</v>
      </c>
      <c r="AX137">
        <v>-0.7</v>
      </c>
      <c r="AY137">
        <v>0.5</v>
      </c>
      <c r="AZ137" s="8">
        <v>1.2999999999999998</v>
      </c>
      <c r="BA137" s="8">
        <v>0.1750585234109803</v>
      </c>
      <c r="BB137" s="3">
        <v>0</v>
      </c>
    </row>
    <row r="138" spans="1:54" x14ac:dyDescent="0.25">
      <c r="A138" t="s">
        <v>410</v>
      </c>
      <c r="B138" s="2">
        <v>1968175</v>
      </c>
      <c r="C138" t="s">
        <v>62</v>
      </c>
      <c r="D138">
        <v>24</v>
      </c>
      <c r="E138" t="s">
        <v>60</v>
      </c>
      <c r="F138">
        <v>72</v>
      </c>
      <c r="G138">
        <v>26</v>
      </c>
      <c r="H138">
        <v>18.8</v>
      </c>
      <c r="I138">
        <v>2.2999999999999998</v>
      </c>
      <c r="J138">
        <v>5.8</v>
      </c>
      <c r="K138">
        <v>0.39100000000000001</v>
      </c>
      <c r="L138">
        <v>0.9</v>
      </c>
      <c r="M138">
        <v>2.7</v>
      </c>
      <c r="N138">
        <v>0.33500000000000002</v>
      </c>
      <c r="O138">
        <v>1.3</v>
      </c>
      <c r="P138">
        <v>3</v>
      </c>
      <c r="Q138">
        <v>0.442</v>
      </c>
      <c r="R138">
        <v>0.47099999999999997</v>
      </c>
      <c r="S138">
        <v>1.9</v>
      </c>
      <c r="T138">
        <v>2.7</v>
      </c>
      <c r="U138">
        <v>0.72399999999999998</v>
      </c>
      <c r="V138">
        <v>1.5</v>
      </c>
      <c r="W138">
        <v>2</v>
      </c>
      <c r="X138">
        <v>3.5</v>
      </c>
      <c r="Y138">
        <v>1.5</v>
      </c>
      <c r="Z138">
        <v>0.8</v>
      </c>
      <c r="AA138">
        <v>0.5</v>
      </c>
      <c r="AB138">
        <v>0.9</v>
      </c>
      <c r="AC138">
        <v>1.6</v>
      </c>
      <c r="AD138">
        <v>7.3</v>
      </c>
      <c r="AE138">
        <v>1350</v>
      </c>
      <c r="AF138">
        <v>13.3</v>
      </c>
      <c r="AG138">
        <v>0.53100000000000003</v>
      </c>
      <c r="AH138">
        <v>0.47599999999999998</v>
      </c>
      <c r="AI138">
        <v>0.46400000000000002</v>
      </c>
      <c r="AJ138">
        <v>8.8000000000000007</v>
      </c>
      <c r="AK138">
        <v>11.9</v>
      </c>
      <c r="AL138">
        <v>10.3</v>
      </c>
      <c r="AM138">
        <v>10.3</v>
      </c>
      <c r="AN138">
        <v>2</v>
      </c>
      <c r="AO138">
        <v>2.2999999999999998</v>
      </c>
      <c r="AP138">
        <v>11.2</v>
      </c>
      <c r="AQ138">
        <v>17.7</v>
      </c>
      <c r="AR138">
        <v>1.1000000000000001</v>
      </c>
      <c r="AS138">
        <v>1.7</v>
      </c>
      <c r="AT138">
        <v>2.8</v>
      </c>
      <c r="AU138">
        <v>0.10100000000000001</v>
      </c>
      <c r="AV138">
        <v>-0.8</v>
      </c>
      <c r="AW138">
        <v>0.5</v>
      </c>
      <c r="AX138">
        <v>-0.2</v>
      </c>
      <c r="AY138">
        <v>0.6</v>
      </c>
      <c r="AZ138" s="8">
        <v>1.2999999999999998</v>
      </c>
      <c r="BA138" s="8">
        <v>0.66051037128304124</v>
      </c>
      <c r="BB138" s="3">
        <v>0</v>
      </c>
    </row>
    <row r="139" spans="1:54" x14ac:dyDescent="0.25">
      <c r="A139" t="s">
        <v>253</v>
      </c>
      <c r="B139" s="2">
        <v>6479000</v>
      </c>
      <c r="C139" t="s">
        <v>65</v>
      </c>
      <c r="D139">
        <v>27</v>
      </c>
      <c r="E139" t="s">
        <v>80</v>
      </c>
      <c r="F139">
        <v>71</v>
      </c>
      <c r="G139">
        <v>49</v>
      </c>
      <c r="H139">
        <v>29.3</v>
      </c>
      <c r="I139">
        <v>3.6</v>
      </c>
      <c r="J139">
        <v>7.7</v>
      </c>
      <c r="K139">
        <v>0.46400000000000002</v>
      </c>
      <c r="L139">
        <v>1.2</v>
      </c>
      <c r="M139">
        <v>3.3</v>
      </c>
      <c r="N139">
        <v>0.35599999999999998</v>
      </c>
      <c r="O139">
        <v>2.4</v>
      </c>
      <c r="P139">
        <v>4.4000000000000004</v>
      </c>
      <c r="Q139">
        <v>0.54500000000000004</v>
      </c>
      <c r="R139">
        <v>0.54</v>
      </c>
      <c r="S139">
        <v>1.3</v>
      </c>
      <c r="T139">
        <v>1.6</v>
      </c>
      <c r="U139">
        <v>0.80500000000000005</v>
      </c>
      <c r="V139">
        <v>1.2</v>
      </c>
      <c r="W139">
        <v>3.6</v>
      </c>
      <c r="X139">
        <v>4.8</v>
      </c>
      <c r="Y139">
        <v>1.6</v>
      </c>
      <c r="Z139">
        <v>1</v>
      </c>
      <c r="AA139">
        <v>0.4</v>
      </c>
      <c r="AB139">
        <v>1.1000000000000001</v>
      </c>
      <c r="AC139">
        <v>2</v>
      </c>
      <c r="AD139">
        <v>9.6</v>
      </c>
      <c r="AE139">
        <v>2077</v>
      </c>
      <c r="AF139">
        <v>11.4</v>
      </c>
      <c r="AG139">
        <v>0.57099999999999995</v>
      </c>
      <c r="AH139">
        <v>0.43099999999999999</v>
      </c>
      <c r="AI139">
        <v>0.20599999999999999</v>
      </c>
      <c r="AJ139">
        <v>4.8</v>
      </c>
      <c r="AK139">
        <v>15</v>
      </c>
      <c r="AL139">
        <v>9.6999999999999993</v>
      </c>
      <c r="AM139">
        <v>8.1999999999999993</v>
      </c>
      <c r="AN139">
        <v>1.7</v>
      </c>
      <c r="AO139">
        <v>1.5</v>
      </c>
      <c r="AP139">
        <v>11.5</v>
      </c>
      <c r="AQ139">
        <v>14.4</v>
      </c>
      <c r="AR139">
        <v>1.2</v>
      </c>
      <c r="AS139">
        <v>2.5</v>
      </c>
      <c r="AT139">
        <v>3.7</v>
      </c>
      <c r="AU139">
        <v>8.5999999999999993E-2</v>
      </c>
      <c r="AV139">
        <v>-1.8</v>
      </c>
      <c r="AW139">
        <v>0.5</v>
      </c>
      <c r="AX139">
        <v>-1.2</v>
      </c>
      <c r="AY139">
        <v>0.4</v>
      </c>
      <c r="AZ139" s="8">
        <v>1.25</v>
      </c>
      <c r="BA139" s="8">
        <v>0.19293100787158513</v>
      </c>
      <c r="BB139" s="3">
        <v>0</v>
      </c>
    </row>
    <row r="140" spans="1:54" x14ac:dyDescent="0.25">
      <c r="A140" t="s">
        <v>354</v>
      </c>
      <c r="B140" s="2">
        <v>2792640</v>
      </c>
      <c r="C140" t="s">
        <v>65</v>
      </c>
      <c r="D140">
        <v>21</v>
      </c>
      <c r="E140" t="s">
        <v>85</v>
      </c>
      <c r="F140">
        <v>70</v>
      </c>
      <c r="G140">
        <v>6</v>
      </c>
      <c r="H140">
        <v>14.9</v>
      </c>
      <c r="I140">
        <v>2.2999999999999998</v>
      </c>
      <c r="J140">
        <v>4.5999999999999996</v>
      </c>
      <c r="K140">
        <v>0.49099999999999999</v>
      </c>
      <c r="L140">
        <v>0.4</v>
      </c>
      <c r="M140">
        <v>1.5</v>
      </c>
      <c r="N140">
        <v>0.28799999999999998</v>
      </c>
      <c r="O140">
        <v>1.8</v>
      </c>
      <c r="P140">
        <v>3.1</v>
      </c>
      <c r="Q140">
        <v>0.58699999999999997</v>
      </c>
      <c r="R140">
        <v>0.53700000000000003</v>
      </c>
      <c r="S140">
        <v>0.7</v>
      </c>
      <c r="T140">
        <v>1.1000000000000001</v>
      </c>
      <c r="U140">
        <v>0.628</v>
      </c>
      <c r="V140">
        <v>0.7</v>
      </c>
      <c r="W140">
        <v>3.3</v>
      </c>
      <c r="X140">
        <v>4</v>
      </c>
      <c r="Y140">
        <v>1.2</v>
      </c>
      <c r="Z140">
        <v>0.5</v>
      </c>
      <c r="AA140">
        <v>0.5</v>
      </c>
      <c r="AB140">
        <v>0.6</v>
      </c>
      <c r="AC140">
        <v>1.6</v>
      </c>
      <c r="AD140">
        <v>5.6</v>
      </c>
      <c r="AE140">
        <v>1042</v>
      </c>
      <c r="AF140">
        <v>14.1</v>
      </c>
      <c r="AG140">
        <v>0.55400000000000005</v>
      </c>
      <c r="AH140">
        <v>0.32300000000000001</v>
      </c>
      <c r="AI140">
        <v>0.24199999999999999</v>
      </c>
      <c r="AJ140">
        <v>5.3</v>
      </c>
      <c r="AK140">
        <v>24.6</v>
      </c>
      <c r="AL140">
        <v>14.8</v>
      </c>
      <c r="AM140">
        <v>10.4</v>
      </c>
      <c r="AN140">
        <v>1.7</v>
      </c>
      <c r="AO140">
        <v>2.8</v>
      </c>
      <c r="AP140">
        <v>10.3</v>
      </c>
      <c r="AQ140">
        <v>16</v>
      </c>
      <c r="AR140">
        <v>0.8</v>
      </c>
      <c r="AS140">
        <v>1.3</v>
      </c>
      <c r="AT140">
        <v>2.1</v>
      </c>
      <c r="AU140">
        <v>9.9000000000000005E-2</v>
      </c>
      <c r="AV140">
        <v>-1.2</v>
      </c>
      <c r="AW140">
        <v>1.5</v>
      </c>
      <c r="AX140">
        <v>0.3</v>
      </c>
      <c r="AY140">
        <v>0.6</v>
      </c>
      <c r="AZ140" s="8">
        <v>1.2</v>
      </c>
      <c r="BA140" s="8">
        <v>0.42970092815400479</v>
      </c>
      <c r="BB140" s="3">
        <v>0</v>
      </c>
    </row>
    <row r="141" spans="1:54" x14ac:dyDescent="0.25">
      <c r="A141" t="s">
        <v>438</v>
      </c>
      <c r="B141" s="2">
        <v>1782621</v>
      </c>
      <c r="C141" t="s">
        <v>52</v>
      </c>
      <c r="D141">
        <v>23</v>
      </c>
      <c r="E141" t="s">
        <v>175</v>
      </c>
      <c r="F141">
        <v>68</v>
      </c>
      <c r="G141">
        <v>65</v>
      </c>
      <c r="H141">
        <v>29.2</v>
      </c>
      <c r="I141">
        <v>5</v>
      </c>
      <c r="J141">
        <v>10.9</v>
      </c>
      <c r="K141">
        <v>0.45900000000000002</v>
      </c>
      <c r="L141">
        <v>0.7</v>
      </c>
      <c r="M141">
        <v>2.2999999999999998</v>
      </c>
      <c r="N141">
        <v>0.28499999999999998</v>
      </c>
      <c r="O141">
        <v>4.4000000000000004</v>
      </c>
      <c r="P141">
        <v>8.6</v>
      </c>
      <c r="Q141">
        <v>0.50600000000000001</v>
      </c>
      <c r="R141">
        <v>0.48899999999999999</v>
      </c>
      <c r="S141">
        <v>2.2000000000000002</v>
      </c>
      <c r="T141">
        <v>2.5</v>
      </c>
      <c r="U141">
        <v>0.86</v>
      </c>
      <c r="V141">
        <v>0.8</v>
      </c>
      <c r="W141">
        <v>2.8</v>
      </c>
      <c r="X141">
        <v>3.6</v>
      </c>
      <c r="Y141">
        <v>6.6</v>
      </c>
      <c r="Z141">
        <v>1.3</v>
      </c>
      <c r="AA141">
        <v>0.1</v>
      </c>
      <c r="AB141">
        <v>1.6</v>
      </c>
      <c r="AC141">
        <v>1.4</v>
      </c>
      <c r="AD141">
        <v>12.9</v>
      </c>
      <c r="AE141">
        <v>1984</v>
      </c>
      <c r="AF141">
        <v>16</v>
      </c>
      <c r="AG141">
        <v>0.53400000000000003</v>
      </c>
      <c r="AH141">
        <v>0.21299999999999999</v>
      </c>
      <c r="AI141">
        <v>0.23100000000000001</v>
      </c>
      <c r="AJ141">
        <v>3</v>
      </c>
      <c r="AK141">
        <v>10.8</v>
      </c>
      <c r="AL141">
        <v>6.7</v>
      </c>
      <c r="AM141">
        <v>31.5</v>
      </c>
      <c r="AN141">
        <v>2.1</v>
      </c>
      <c r="AO141">
        <v>0.4</v>
      </c>
      <c r="AP141">
        <v>11.8</v>
      </c>
      <c r="AQ141">
        <v>19.3</v>
      </c>
      <c r="AR141">
        <v>2.6</v>
      </c>
      <c r="AS141">
        <v>0.8</v>
      </c>
      <c r="AT141">
        <v>3.4</v>
      </c>
      <c r="AU141">
        <v>8.2000000000000003E-2</v>
      </c>
      <c r="AV141">
        <v>-0.2</v>
      </c>
      <c r="AW141">
        <v>-0.8</v>
      </c>
      <c r="AX141">
        <v>-1</v>
      </c>
      <c r="AY141">
        <v>0.5</v>
      </c>
      <c r="AZ141" s="8">
        <v>1.2</v>
      </c>
      <c r="BA141" s="8">
        <v>0.67316608521946053</v>
      </c>
      <c r="BB141" s="3">
        <v>0</v>
      </c>
    </row>
    <row r="142" spans="1:54" x14ac:dyDescent="0.25">
      <c r="A142" t="s">
        <v>241</v>
      </c>
      <c r="B142" s="2">
        <v>7413955</v>
      </c>
      <c r="C142" t="s">
        <v>62</v>
      </c>
      <c r="D142">
        <v>22</v>
      </c>
      <c r="E142" t="s">
        <v>87</v>
      </c>
      <c r="F142">
        <v>74</v>
      </c>
      <c r="G142">
        <v>2</v>
      </c>
      <c r="H142">
        <v>23.4</v>
      </c>
      <c r="I142">
        <v>3.6</v>
      </c>
      <c r="J142">
        <v>8</v>
      </c>
      <c r="K142">
        <v>0.443</v>
      </c>
      <c r="L142">
        <v>1.7</v>
      </c>
      <c r="M142">
        <v>4.5999999999999996</v>
      </c>
      <c r="N142">
        <v>0.372</v>
      </c>
      <c r="O142">
        <v>1.8</v>
      </c>
      <c r="P142">
        <v>3.4</v>
      </c>
      <c r="Q142">
        <v>0.54</v>
      </c>
      <c r="R142">
        <v>0.55100000000000005</v>
      </c>
      <c r="S142">
        <v>0.8</v>
      </c>
      <c r="T142">
        <v>0.9</v>
      </c>
      <c r="U142">
        <v>0.871</v>
      </c>
      <c r="V142">
        <v>0.2</v>
      </c>
      <c r="W142">
        <v>2.6</v>
      </c>
      <c r="X142">
        <v>2.9</v>
      </c>
      <c r="Y142">
        <v>2.8</v>
      </c>
      <c r="Z142">
        <v>0.7</v>
      </c>
      <c r="AA142">
        <v>0.1</v>
      </c>
      <c r="AB142">
        <v>1</v>
      </c>
      <c r="AC142">
        <v>1.6</v>
      </c>
      <c r="AD142">
        <v>9.6999999999999993</v>
      </c>
      <c r="AE142">
        <v>1730</v>
      </c>
      <c r="AF142">
        <v>12.5</v>
      </c>
      <c r="AG142">
        <v>0.57199999999999995</v>
      </c>
      <c r="AH142">
        <v>0.57899999999999996</v>
      </c>
      <c r="AI142">
        <v>0.11799999999999999</v>
      </c>
      <c r="AJ142">
        <v>1.1000000000000001</v>
      </c>
      <c r="AK142">
        <v>12.6</v>
      </c>
      <c r="AL142">
        <v>6.9</v>
      </c>
      <c r="AM142">
        <v>16.3</v>
      </c>
      <c r="AN142">
        <v>1.5</v>
      </c>
      <c r="AO142">
        <v>0.3</v>
      </c>
      <c r="AP142">
        <v>10.6</v>
      </c>
      <c r="AQ142">
        <v>17.899999999999999</v>
      </c>
      <c r="AR142">
        <v>1.2</v>
      </c>
      <c r="AS142">
        <v>1.9</v>
      </c>
      <c r="AT142">
        <v>3.1</v>
      </c>
      <c r="AU142">
        <v>8.6999999999999994E-2</v>
      </c>
      <c r="AV142">
        <v>-1</v>
      </c>
      <c r="AW142">
        <v>0.2</v>
      </c>
      <c r="AX142">
        <v>-0.8</v>
      </c>
      <c r="AY142">
        <v>0.5</v>
      </c>
      <c r="AZ142" s="8">
        <v>1.1499999999999999</v>
      </c>
      <c r="BA142" s="8">
        <v>0.15511289183708291</v>
      </c>
      <c r="BB142" s="3">
        <v>0</v>
      </c>
    </row>
    <row r="143" spans="1:54" x14ac:dyDescent="0.25">
      <c r="A143" t="s">
        <v>320</v>
      </c>
      <c r="B143" s="2">
        <v>3552840</v>
      </c>
      <c r="C143" t="s">
        <v>65</v>
      </c>
      <c r="D143">
        <v>23</v>
      </c>
      <c r="E143" t="s">
        <v>63</v>
      </c>
      <c r="F143">
        <v>74</v>
      </c>
      <c r="G143">
        <v>45</v>
      </c>
      <c r="H143">
        <v>28.3</v>
      </c>
      <c r="I143">
        <v>3.9</v>
      </c>
      <c r="J143">
        <v>7.9</v>
      </c>
      <c r="K143">
        <v>0.497</v>
      </c>
      <c r="L143">
        <v>2.2000000000000002</v>
      </c>
      <c r="M143">
        <v>5.2</v>
      </c>
      <c r="N143">
        <v>0.42399999999999999</v>
      </c>
      <c r="O143">
        <v>1.7</v>
      </c>
      <c r="P143">
        <v>2.7</v>
      </c>
      <c r="Q143">
        <v>0.63700000000000001</v>
      </c>
      <c r="R143">
        <v>0.63700000000000001</v>
      </c>
      <c r="S143">
        <v>1</v>
      </c>
      <c r="T143">
        <v>1.2</v>
      </c>
      <c r="U143">
        <v>0.85199999999999998</v>
      </c>
      <c r="V143">
        <v>0.4</v>
      </c>
      <c r="W143">
        <v>2.4</v>
      </c>
      <c r="X143">
        <v>2.8</v>
      </c>
      <c r="Y143">
        <v>1.2</v>
      </c>
      <c r="Z143">
        <v>0.4</v>
      </c>
      <c r="AA143">
        <v>0.1</v>
      </c>
      <c r="AB143">
        <v>0.7</v>
      </c>
      <c r="AC143">
        <v>1.3</v>
      </c>
      <c r="AD143">
        <v>11.1</v>
      </c>
      <c r="AE143">
        <v>2093</v>
      </c>
      <c r="AF143">
        <v>11.5</v>
      </c>
      <c r="AG143">
        <v>0.65700000000000003</v>
      </c>
      <c r="AH143">
        <v>0.65600000000000003</v>
      </c>
      <c r="AI143">
        <v>0.15</v>
      </c>
      <c r="AJ143">
        <v>1.8</v>
      </c>
      <c r="AK143">
        <v>8.9</v>
      </c>
      <c r="AL143">
        <v>5.5</v>
      </c>
      <c r="AM143">
        <v>5.7</v>
      </c>
      <c r="AN143">
        <v>0.7</v>
      </c>
      <c r="AO143">
        <v>0.4</v>
      </c>
      <c r="AP143">
        <v>8.1</v>
      </c>
      <c r="AQ143">
        <v>14.1</v>
      </c>
      <c r="AR143">
        <v>2.9</v>
      </c>
      <c r="AS143">
        <v>0.9</v>
      </c>
      <c r="AT143">
        <v>3.8</v>
      </c>
      <c r="AU143">
        <v>8.7999999999999995E-2</v>
      </c>
      <c r="AV143">
        <v>-0.1</v>
      </c>
      <c r="AW143">
        <v>-1.4</v>
      </c>
      <c r="AX143">
        <v>-1.5</v>
      </c>
      <c r="AY143">
        <v>0.2</v>
      </c>
      <c r="AZ143" s="8">
        <v>1.1499999999999999</v>
      </c>
      <c r="BA143" s="8">
        <v>0.32368471420047062</v>
      </c>
      <c r="BB143" s="3">
        <v>0</v>
      </c>
    </row>
    <row r="144" spans="1:54" x14ac:dyDescent="0.25">
      <c r="A144" t="s">
        <v>238</v>
      </c>
      <c r="B144" s="2">
        <v>7775400</v>
      </c>
      <c r="C144" t="s">
        <v>28</v>
      </c>
      <c r="D144">
        <v>21</v>
      </c>
      <c r="E144" t="s">
        <v>87</v>
      </c>
      <c r="F144">
        <v>82</v>
      </c>
      <c r="G144">
        <v>65</v>
      </c>
      <c r="H144">
        <v>28.3</v>
      </c>
      <c r="I144">
        <v>3.8</v>
      </c>
      <c r="J144">
        <v>8.3000000000000007</v>
      </c>
      <c r="K144">
        <v>0.46400000000000002</v>
      </c>
      <c r="L144">
        <v>1.4</v>
      </c>
      <c r="M144">
        <v>3.4</v>
      </c>
      <c r="N144">
        <v>0.41499999999999998</v>
      </c>
      <c r="O144">
        <v>2.4</v>
      </c>
      <c r="P144">
        <v>4.9000000000000004</v>
      </c>
      <c r="Q144">
        <v>0.498</v>
      </c>
      <c r="R144">
        <v>0.54900000000000004</v>
      </c>
      <c r="S144">
        <v>1.1000000000000001</v>
      </c>
      <c r="T144">
        <v>1.3</v>
      </c>
      <c r="U144">
        <v>0.85699999999999998</v>
      </c>
      <c r="V144">
        <v>1</v>
      </c>
      <c r="W144">
        <v>3</v>
      </c>
      <c r="X144">
        <v>4</v>
      </c>
      <c r="Y144">
        <v>1.2</v>
      </c>
      <c r="Z144">
        <v>0.9</v>
      </c>
      <c r="AA144">
        <v>0.9</v>
      </c>
      <c r="AB144">
        <v>1.2</v>
      </c>
      <c r="AC144">
        <v>1.8</v>
      </c>
      <c r="AD144">
        <v>10.199999999999999</v>
      </c>
      <c r="AE144">
        <v>2323</v>
      </c>
      <c r="AF144">
        <v>11.2</v>
      </c>
      <c r="AG144">
        <v>0.57599999999999996</v>
      </c>
      <c r="AH144">
        <v>0.40899999999999997</v>
      </c>
      <c r="AI144">
        <v>0.155</v>
      </c>
      <c r="AJ144">
        <v>3.9</v>
      </c>
      <c r="AK144">
        <v>12</v>
      </c>
      <c r="AL144">
        <v>8</v>
      </c>
      <c r="AM144">
        <v>5.8</v>
      </c>
      <c r="AN144">
        <v>1.5</v>
      </c>
      <c r="AO144">
        <v>2.9</v>
      </c>
      <c r="AP144">
        <v>12.3</v>
      </c>
      <c r="AQ144">
        <v>15.7</v>
      </c>
      <c r="AR144">
        <v>0.5</v>
      </c>
      <c r="AS144">
        <v>3</v>
      </c>
      <c r="AT144">
        <v>3.5</v>
      </c>
      <c r="AU144">
        <v>7.1999999999999995E-2</v>
      </c>
      <c r="AV144">
        <v>-1.7</v>
      </c>
      <c r="AW144">
        <v>0.4</v>
      </c>
      <c r="AX144">
        <v>-1.3</v>
      </c>
      <c r="AY144">
        <v>0.4</v>
      </c>
      <c r="AZ144" s="8">
        <v>1.1000000000000001</v>
      </c>
      <c r="BA144" s="8">
        <v>0.14147182138539496</v>
      </c>
      <c r="BB144" s="3">
        <v>0</v>
      </c>
    </row>
    <row r="145" spans="1:54" x14ac:dyDescent="0.25">
      <c r="A145" t="s">
        <v>56</v>
      </c>
      <c r="B145" s="2">
        <v>47080179</v>
      </c>
      <c r="C145" t="s">
        <v>52</v>
      </c>
      <c r="D145">
        <v>34</v>
      </c>
      <c r="E145" t="s">
        <v>55</v>
      </c>
      <c r="F145">
        <v>73</v>
      </c>
      <c r="G145">
        <v>24</v>
      </c>
      <c r="H145">
        <v>29.1</v>
      </c>
      <c r="I145">
        <v>5.9</v>
      </c>
      <c r="J145">
        <v>13.6</v>
      </c>
      <c r="K145">
        <v>0.436</v>
      </c>
      <c r="L145">
        <v>1.2</v>
      </c>
      <c r="M145">
        <v>3.9</v>
      </c>
      <c r="N145">
        <v>0.311</v>
      </c>
      <c r="O145">
        <v>4.7</v>
      </c>
      <c r="P145">
        <v>9.6999999999999993</v>
      </c>
      <c r="Q145">
        <v>0.48699999999999999</v>
      </c>
      <c r="R145">
        <v>0.48099999999999998</v>
      </c>
      <c r="S145">
        <v>2.8</v>
      </c>
      <c r="T145">
        <v>4.3</v>
      </c>
      <c r="U145">
        <v>0.65600000000000003</v>
      </c>
      <c r="V145">
        <v>1.2</v>
      </c>
      <c r="W145">
        <v>4.5999999999999996</v>
      </c>
      <c r="X145">
        <v>5.8</v>
      </c>
      <c r="Y145">
        <v>7.5</v>
      </c>
      <c r="Z145">
        <v>1</v>
      </c>
      <c r="AA145">
        <v>0.5</v>
      </c>
      <c r="AB145">
        <v>3.5</v>
      </c>
      <c r="AC145">
        <v>2.2000000000000002</v>
      </c>
      <c r="AD145">
        <v>15.9</v>
      </c>
      <c r="AE145">
        <v>2126</v>
      </c>
      <c r="AF145">
        <v>16.100000000000001</v>
      </c>
      <c r="AG145">
        <v>0.51300000000000001</v>
      </c>
      <c r="AH145">
        <v>0.28899999999999998</v>
      </c>
      <c r="AI145">
        <v>0.317</v>
      </c>
      <c r="AJ145">
        <v>4.7</v>
      </c>
      <c r="AK145">
        <v>16.5</v>
      </c>
      <c r="AL145">
        <v>10.8</v>
      </c>
      <c r="AM145">
        <v>38.6</v>
      </c>
      <c r="AN145">
        <v>1.7</v>
      </c>
      <c r="AO145">
        <v>1.3</v>
      </c>
      <c r="AP145">
        <v>18.399999999999999</v>
      </c>
      <c r="AQ145">
        <v>27.7</v>
      </c>
      <c r="AR145">
        <v>-0.6</v>
      </c>
      <c r="AS145">
        <v>2.6</v>
      </c>
      <c r="AT145">
        <v>1.9</v>
      </c>
      <c r="AU145">
        <v>4.3999999999999997E-2</v>
      </c>
      <c r="AV145">
        <v>0.3</v>
      </c>
      <c r="AW145">
        <v>-0.1</v>
      </c>
      <c r="AX145">
        <v>0.2</v>
      </c>
      <c r="AY145">
        <v>1.2</v>
      </c>
      <c r="AZ145" s="8">
        <v>1.05</v>
      </c>
      <c r="BA145" s="8">
        <v>2.2302379096731981E-2</v>
      </c>
      <c r="BB145" s="3">
        <v>0</v>
      </c>
    </row>
    <row r="146" spans="1:54" x14ac:dyDescent="0.25">
      <c r="A146" t="s">
        <v>424</v>
      </c>
      <c r="B146" s="2">
        <v>1878720</v>
      </c>
      <c r="C146" t="s">
        <v>28</v>
      </c>
      <c r="D146">
        <v>27</v>
      </c>
      <c r="E146" t="s">
        <v>175</v>
      </c>
      <c r="F146">
        <v>67</v>
      </c>
      <c r="G146">
        <v>42</v>
      </c>
      <c r="H146">
        <v>21.7</v>
      </c>
      <c r="I146">
        <v>3.5</v>
      </c>
      <c r="J146">
        <v>6.9</v>
      </c>
      <c r="K146">
        <v>0.50800000000000001</v>
      </c>
      <c r="L146">
        <v>0.8</v>
      </c>
      <c r="M146">
        <v>2.1</v>
      </c>
      <c r="N146">
        <v>0.39400000000000002</v>
      </c>
      <c r="O146">
        <v>2.7</v>
      </c>
      <c r="P146">
        <v>4.8</v>
      </c>
      <c r="Q146">
        <v>0.55700000000000005</v>
      </c>
      <c r="R146">
        <v>0.56799999999999995</v>
      </c>
      <c r="S146">
        <v>1.8</v>
      </c>
      <c r="T146">
        <v>2.2000000000000002</v>
      </c>
      <c r="U146">
        <v>0.79300000000000004</v>
      </c>
      <c r="V146">
        <v>1</v>
      </c>
      <c r="W146">
        <v>2.7</v>
      </c>
      <c r="X146">
        <v>3.7</v>
      </c>
      <c r="Y146">
        <v>1.5</v>
      </c>
      <c r="Z146">
        <v>0.7</v>
      </c>
      <c r="AA146">
        <v>0.3</v>
      </c>
      <c r="AB146">
        <v>0.8</v>
      </c>
      <c r="AC146">
        <v>0.9</v>
      </c>
      <c r="AD146">
        <v>9.6999999999999993</v>
      </c>
      <c r="AE146">
        <v>1452</v>
      </c>
      <c r="AF146">
        <v>14.9</v>
      </c>
      <c r="AG146">
        <v>0.60899999999999999</v>
      </c>
      <c r="AH146">
        <v>0.30499999999999999</v>
      </c>
      <c r="AI146">
        <v>0.32300000000000001</v>
      </c>
      <c r="AJ146">
        <v>4.7</v>
      </c>
      <c r="AK146">
        <v>14.3</v>
      </c>
      <c r="AL146">
        <v>9.3000000000000007</v>
      </c>
      <c r="AM146">
        <v>9.8000000000000007</v>
      </c>
      <c r="AN146">
        <v>1.5</v>
      </c>
      <c r="AO146">
        <v>1.1000000000000001</v>
      </c>
      <c r="AP146">
        <v>9.5</v>
      </c>
      <c r="AQ146">
        <v>16.7</v>
      </c>
      <c r="AR146">
        <v>2.1</v>
      </c>
      <c r="AS146">
        <v>0.6</v>
      </c>
      <c r="AT146">
        <v>2.7</v>
      </c>
      <c r="AU146">
        <v>8.8999999999999996E-2</v>
      </c>
      <c r="AV146">
        <v>0.3</v>
      </c>
      <c r="AW146">
        <v>-0.9</v>
      </c>
      <c r="AX146">
        <v>-0.6</v>
      </c>
      <c r="AY146">
        <v>0.5</v>
      </c>
      <c r="AZ146" s="8">
        <v>1.05</v>
      </c>
      <c r="BA146" s="8">
        <v>0.55889115993868166</v>
      </c>
      <c r="BB146" s="3">
        <v>0</v>
      </c>
    </row>
    <row r="147" spans="1:54" x14ac:dyDescent="0.25">
      <c r="A147" t="s">
        <v>242</v>
      </c>
      <c r="B147" s="2">
        <v>7350000</v>
      </c>
      <c r="C147" t="s">
        <v>75</v>
      </c>
      <c r="D147">
        <v>25</v>
      </c>
      <c r="E147" t="s">
        <v>175</v>
      </c>
      <c r="F147">
        <v>63</v>
      </c>
      <c r="G147">
        <v>26</v>
      </c>
      <c r="H147">
        <v>22.9</v>
      </c>
      <c r="I147">
        <v>4.5</v>
      </c>
      <c r="J147">
        <v>8.6999999999999993</v>
      </c>
      <c r="K147">
        <v>0.51800000000000002</v>
      </c>
      <c r="L147">
        <v>0.9</v>
      </c>
      <c r="M147">
        <v>2.2999999999999998</v>
      </c>
      <c r="N147">
        <v>0.374</v>
      </c>
      <c r="O147">
        <v>3.6</v>
      </c>
      <c r="P147">
        <v>6.4</v>
      </c>
      <c r="Q147">
        <v>0.57099999999999995</v>
      </c>
      <c r="R147">
        <v>0.56799999999999995</v>
      </c>
      <c r="S147">
        <v>1.7</v>
      </c>
      <c r="T147">
        <v>2.2999999999999998</v>
      </c>
      <c r="U147">
        <v>0.76100000000000001</v>
      </c>
      <c r="V147">
        <v>1.8</v>
      </c>
      <c r="W147">
        <v>4.5</v>
      </c>
      <c r="X147">
        <v>6.4</v>
      </c>
      <c r="Y147">
        <v>2.9</v>
      </c>
      <c r="Z147">
        <v>0.6</v>
      </c>
      <c r="AA147">
        <v>0.8</v>
      </c>
      <c r="AB147">
        <v>2</v>
      </c>
      <c r="AC147">
        <v>3.2</v>
      </c>
      <c r="AD147">
        <v>11.6</v>
      </c>
      <c r="AE147">
        <v>1441</v>
      </c>
      <c r="AF147">
        <v>16.399999999999999</v>
      </c>
      <c r="AG147">
        <v>0.59899999999999998</v>
      </c>
      <c r="AH147">
        <v>0.26800000000000002</v>
      </c>
      <c r="AI147">
        <v>0.25900000000000001</v>
      </c>
      <c r="AJ147">
        <v>8.5</v>
      </c>
      <c r="AK147">
        <v>22.5</v>
      </c>
      <c r="AL147">
        <v>15.2</v>
      </c>
      <c r="AM147">
        <v>18</v>
      </c>
      <c r="AN147">
        <v>1.2</v>
      </c>
      <c r="AO147">
        <v>2.8</v>
      </c>
      <c r="AP147">
        <v>17.399999999999999</v>
      </c>
      <c r="AQ147">
        <v>21.2</v>
      </c>
      <c r="AR147">
        <v>1.2</v>
      </c>
      <c r="AS147">
        <v>1</v>
      </c>
      <c r="AT147">
        <v>2.2000000000000002</v>
      </c>
      <c r="AU147">
        <v>7.3999999999999996E-2</v>
      </c>
      <c r="AV147">
        <v>-0.5</v>
      </c>
      <c r="AW147">
        <v>0.3</v>
      </c>
      <c r="AX147">
        <v>-0.2</v>
      </c>
      <c r="AY147">
        <v>0.6</v>
      </c>
      <c r="AZ147" s="8">
        <v>1</v>
      </c>
      <c r="BA147" s="8">
        <v>0.1360544217687075</v>
      </c>
      <c r="BB147" s="3">
        <v>0</v>
      </c>
    </row>
    <row r="148" spans="1:54" x14ac:dyDescent="0.25">
      <c r="A148" t="s">
        <v>364</v>
      </c>
      <c r="B148" s="2">
        <v>2573760</v>
      </c>
      <c r="C148" t="s">
        <v>75</v>
      </c>
      <c r="D148">
        <v>21</v>
      </c>
      <c r="E148" t="s">
        <v>93</v>
      </c>
      <c r="F148">
        <v>63</v>
      </c>
      <c r="G148">
        <v>12</v>
      </c>
      <c r="H148">
        <v>16.5</v>
      </c>
      <c r="I148">
        <v>2.8</v>
      </c>
      <c r="J148">
        <v>5</v>
      </c>
      <c r="K148">
        <v>0.56299999999999994</v>
      </c>
      <c r="L148">
        <v>0</v>
      </c>
      <c r="M148">
        <v>0.2</v>
      </c>
      <c r="N148">
        <v>0.14299999999999999</v>
      </c>
      <c r="O148">
        <v>2.8</v>
      </c>
      <c r="P148">
        <v>4.8</v>
      </c>
      <c r="Q148">
        <v>0.58199999999999996</v>
      </c>
      <c r="R148">
        <v>0.56599999999999995</v>
      </c>
      <c r="S148">
        <v>1.5</v>
      </c>
      <c r="T148">
        <v>2.2999999999999998</v>
      </c>
      <c r="U148">
        <v>0.65100000000000002</v>
      </c>
      <c r="V148">
        <v>1.8</v>
      </c>
      <c r="W148">
        <v>2.7</v>
      </c>
      <c r="X148">
        <v>4.5</v>
      </c>
      <c r="Y148">
        <v>0.8</v>
      </c>
      <c r="Z148">
        <v>0.5</v>
      </c>
      <c r="AA148">
        <v>1.5</v>
      </c>
      <c r="AB148">
        <v>0.8</v>
      </c>
      <c r="AC148">
        <v>2.4</v>
      </c>
      <c r="AD148">
        <v>7.2</v>
      </c>
      <c r="AE148">
        <v>1042</v>
      </c>
      <c r="AF148">
        <v>17.5</v>
      </c>
      <c r="AG148">
        <v>0.59499999999999997</v>
      </c>
      <c r="AH148">
        <v>4.3999999999999997E-2</v>
      </c>
      <c r="AI148">
        <v>0.45900000000000002</v>
      </c>
      <c r="AJ148">
        <v>12.1</v>
      </c>
      <c r="AK148">
        <v>18</v>
      </c>
      <c r="AL148">
        <v>15</v>
      </c>
      <c r="AM148">
        <v>7</v>
      </c>
      <c r="AN148">
        <v>1.4</v>
      </c>
      <c r="AO148">
        <v>7.7</v>
      </c>
      <c r="AP148">
        <v>11.8</v>
      </c>
      <c r="AQ148">
        <v>17.399999999999999</v>
      </c>
      <c r="AR148">
        <v>1.5</v>
      </c>
      <c r="AS148">
        <v>1.2</v>
      </c>
      <c r="AT148">
        <v>2.7</v>
      </c>
      <c r="AU148">
        <v>0.124</v>
      </c>
      <c r="AV148">
        <v>-1.7</v>
      </c>
      <c r="AW148">
        <v>0.9</v>
      </c>
      <c r="AX148">
        <v>-0.8</v>
      </c>
      <c r="AY148">
        <v>0.3</v>
      </c>
      <c r="AZ148" s="8">
        <v>0.95000000000000007</v>
      </c>
      <c r="BA148" s="8">
        <v>0.36910978490612961</v>
      </c>
      <c r="BB148" s="3">
        <v>0</v>
      </c>
    </row>
    <row r="149" spans="1:54" x14ac:dyDescent="0.25">
      <c r="A149" t="s">
        <v>173</v>
      </c>
      <c r="B149" s="2">
        <v>13801614</v>
      </c>
      <c r="C149" t="s">
        <v>52</v>
      </c>
      <c r="D149">
        <v>34</v>
      </c>
      <c r="E149" t="s">
        <v>87</v>
      </c>
      <c r="F149">
        <v>67</v>
      </c>
      <c r="G149">
        <v>67</v>
      </c>
      <c r="H149">
        <v>27.1</v>
      </c>
      <c r="I149">
        <v>2.1</v>
      </c>
      <c r="J149">
        <v>5.4</v>
      </c>
      <c r="K149">
        <v>0.4</v>
      </c>
      <c r="L149">
        <v>1.2</v>
      </c>
      <c r="M149">
        <v>3.6</v>
      </c>
      <c r="N149">
        <v>0.33500000000000002</v>
      </c>
      <c r="O149">
        <v>1</v>
      </c>
      <c r="P149">
        <v>1.8</v>
      </c>
      <c r="Q149">
        <v>0.52900000000000003</v>
      </c>
      <c r="R149">
        <v>0.51100000000000001</v>
      </c>
      <c r="S149">
        <v>0.7</v>
      </c>
      <c r="T149">
        <v>1</v>
      </c>
      <c r="U149">
        <v>0.72299999999999998</v>
      </c>
      <c r="V149">
        <v>0.7</v>
      </c>
      <c r="W149">
        <v>3</v>
      </c>
      <c r="X149">
        <v>3.7</v>
      </c>
      <c r="Y149">
        <v>2.9</v>
      </c>
      <c r="Z149">
        <v>0.9</v>
      </c>
      <c r="AA149">
        <v>0.6</v>
      </c>
      <c r="AB149">
        <v>0.9</v>
      </c>
      <c r="AC149">
        <v>2.8</v>
      </c>
      <c r="AD149">
        <v>6.2</v>
      </c>
      <c r="AE149">
        <v>1816</v>
      </c>
      <c r="AF149">
        <v>8.9</v>
      </c>
      <c r="AG149">
        <v>0.53400000000000003</v>
      </c>
      <c r="AH149">
        <v>0.66400000000000003</v>
      </c>
      <c r="AI149">
        <v>0.18099999999999999</v>
      </c>
      <c r="AJ149">
        <v>2.7</v>
      </c>
      <c r="AK149">
        <v>12</v>
      </c>
      <c r="AL149">
        <v>7.5</v>
      </c>
      <c r="AM149">
        <v>13.3</v>
      </c>
      <c r="AN149">
        <v>1.7</v>
      </c>
      <c r="AO149">
        <v>2</v>
      </c>
      <c r="AP149">
        <v>13.4</v>
      </c>
      <c r="AQ149">
        <v>10.6</v>
      </c>
      <c r="AR149">
        <v>0.8</v>
      </c>
      <c r="AS149">
        <v>2.1</v>
      </c>
      <c r="AT149">
        <v>3</v>
      </c>
      <c r="AU149">
        <v>7.9000000000000001E-2</v>
      </c>
      <c r="AV149">
        <v>-2.9</v>
      </c>
      <c r="AW149">
        <v>1.7</v>
      </c>
      <c r="AX149">
        <v>-1.2</v>
      </c>
      <c r="AY149">
        <v>0.3</v>
      </c>
      <c r="AZ149" s="8">
        <v>0.9</v>
      </c>
      <c r="BA149" s="8">
        <v>6.5209764597097125E-2</v>
      </c>
      <c r="BB149" s="3">
        <v>0</v>
      </c>
    </row>
    <row r="150" spans="1:54" x14ac:dyDescent="0.25">
      <c r="A150" t="s">
        <v>97</v>
      </c>
      <c r="B150" s="2">
        <v>33616770</v>
      </c>
      <c r="C150" t="s">
        <v>65</v>
      </c>
      <c r="D150">
        <v>27</v>
      </c>
      <c r="E150" t="s">
        <v>53</v>
      </c>
      <c r="F150">
        <v>37</v>
      </c>
      <c r="G150">
        <v>37</v>
      </c>
      <c r="H150">
        <v>32.200000000000003</v>
      </c>
      <c r="I150">
        <v>6.8</v>
      </c>
      <c r="J150">
        <v>14.3</v>
      </c>
      <c r="K150">
        <v>0.47299999999999998</v>
      </c>
      <c r="L150">
        <v>2.4</v>
      </c>
      <c r="M150">
        <v>6.1</v>
      </c>
      <c r="N150">
        <v>0.39600000000000002</v>
      </c>
      <c r="O150">
        <v>4.4000000000000004</v>
      </c>
      <c r="P150">
        <v>8.1999999999999993</v>
      </c>
      <c r="Q150">
        <v>0.53</v>
      </c>
      <c r="R150">
        <v>0.55700000000000005</v>
      </c>
      <c r="S150">
        <v>1.2</v>
      </c>
      <c r="T150">
        <v>1.9</v>
      </c>
      <c r="U150">
        <v>0.61099999999999999</v>
      </c>
      <c r="V150">
        <v>1.6</v>
      </c>
      <c r="W150">
        <v>3.4</v>
      </c>
      <c r="X150">
        <v>5</v>
      </c>
      <c r="Y150">
        <v>2.2999999999999998</v>
      </c>
      <c r="Z150">
        <v>1.2</v>
      </c>
      <c r="AA150">
        <v>0.8</v>
      </c>
      <c r="AB150">
        <v>1.3</v>
      </c>
      <c r="AC150">
        <v>2.9</v>
      </c>
      <c r="AD150">
        <v>17.100000000000001</v>
      </c>
      <c r="AE150">
        <v>1190</v>
      </c>
      <c r="AF150">
        <v>14.7</v>
      </c>
      <c r="AG150">
        <v>0.56399999999999995</v>
      </c>
      <c r="AH150">
        <v>0.42499999999999999</v>
      </c>
      <c r="AI150">
        <v>0.13600000000000001</v>
      </c>
      <c r="AJ150">
        <v>5.7</v>
      </c>
      <c r="AK150">
        <v>11.3</v>
      </c>
      <c r="AL150">
        <v>8.6</v>
      </c>
      <c r="AM150">
        <v>10.5</v>
      </c>
      <c r="AN150">
        <v>1.8</v>
      </c>
      <c r="AO150">
        <v>2.1</v>
      </c>
      <c r="AP150">
        <v>7.9</v>
      </c>
      <c r="AQ150">
        <v>21.5</v>
      </c>
      <c r="AR150">
        <v>1</v>
      </c>
      <c r="AS150">
        <v>1.3</v>
      </c>
      <c r="AT150">
        <v>2.2999999999999998</v>
      </c>
      <c r="AU150">
        <v>9.0999999999999998E-2</v>
      </c>
      <c r="AV150">
        <v>-0.1</v>
      </c>
      <c r="AW150">
        <v>-0.4</v>
      </c>
      <c r="AX150">
        <v>-0.5</v>
      </c>
      <c r="AY150">
        <v>0.5</v>
      </c>
      <c r="AZ150" s="8">
        <v>0.89999999999999991</v>
      </c>
      <c r="BA150" s="8">
        <v>2.6772352013593213E-2</v>
      </c>
      <c r="BB150" s="3">
        <v>0</v>
      </c>
    </row>
    <row r="151" spans="1:54" x14ac:dyDescent="0.25">
      <c r="A151" t="s">
        <v>216</v>
      </c>
      <c r="B151" s="2">
        <v>9200000</v>
      </c>
      <c r="C151" t="s">
        <v>65</v>
      </c>
      <c r="D151">
        <v>29</v>
      </c>
      <c r="E151" t="s">
        <v>89</v>
      </c>
      <c r="F151">
        <v>76</v>
      </c>
      <c r="G151">
        <v>53</v>
      </c>
      <c r="H151">
        <v>31.7</v>
      </c>
      <c r="I151">
        <v>3</v>
      </c>
      <c r="J151">
        <v>7.8</v>
      </c>
      <c r="K151">
        <v>0.38600000000000001</v>
      </c>
      <c r="L151">
        <v>2.1</v>
      </c>
      <c r="M151">
        <v>5.5</v>
      </c>
      <c r="N151">
        <v>0.38900000000000001</v>
      </c>
      <c r="O151">
        <v>0.9</v>
      </c>
      <c r="P151">
        <v>2.2999999999999998</v>
      </c>
      <c r="Q151">
        <v>0.379</v>
      </c>
      <c r="R151">
        <v>0.52400000000000002</v>
      </c>
      <c r="S151">
        <v>0.7</v>
      </c>
      <c r="T151">
        <v>0.9</v>
      </c>
      <c r="U151">
        <v>0.72499999999999998</v>
      </c>
      <c r="V151">
        <v>0.7</v>
      </c>
      <c r="W151">
        <v>4.3</v>
      </c>
      <c r="X151">
        <v>5.0999999999999996</v>
      </c>
      <c r="Y151">
        <v>3.7</v>
      </c>
      <c r="Z151">
        <v>0.9</v>
      </c>
      <c r="AA151">
        <v>0.6</v>
      </c>
      <c r="AB151">
        <v>1.5</v>
      </c>
      <c r="AC151">
        <v>3.1</v>
      </c>
      <c r="AD151">
        <v>8.8000000000000007</v>
      </c>
      <c r="AE151">
        <v>2409</v>
      </c>
      <c r="AF151">
        <v>9.1999999999999993</v>
      </c>
      <c r="AG151">
        <v>0.53800000000000003</v>
      </c>
      <c r="AH151">
        <v>0.70699999999999996</v>
      </c>
      <c r="AI151">
        <v>0.11600000000000001</v>
      </c>
      <c r="AJ151">
        <v>2.6</v>
      </c>
      <c r="AK151">
        <v>15</v>
      </c>
      <c r="AL151">
        <v>9</v>
      </c>
      <c r="AM151">
        <v>15.3</v>
      </c>
      <c r="AN151">
        <v>1.3</v>
      </c>
      <c r="AO151">
        <v>1.7</v>
      </c>
      <c r="AP151">
        <v>15.5</v>
      </c>
      <c r="AQ151">
        <v>13.6</v>
      </c>
      <c r="AR151">
        <v>0.4</v>
      </c>
      <c r="AS151">
        <v>2.5</v>
      </c>
      <c r="AT151">
        <v>2.9</v>
      </c>
      <c r="AU151">
        <v>5.7000000000000002E-2</v>
      </c>
      <c r="AV151">
        <v>-1.7</v>
      </c>
      <c r="AW151">
        <v>0.6</v>
      </c>
      <c r="AX151">
        <v>-1.1000000000000001</v>
      </c>
      <c r="AY151">
        <v>0.5</v>
      </c>
      <c r="AZ151" s="8">
        <v>0.89999999999999991</v>
      </c>
      <c r="BA151" s="8">
        <v>9.7826086956521729E-2</v>
      </c>
      <c r="BB151" s="3">
        <v>0</v>
      </c>
    </row>
    <row r="152" spans="1:54" x14ac:dyDescent="0.25">
      <c r="A152" t="s">
        <v>433</v>
      </c>
      <c r="B152" s="2">
        <v>1815677</v>
      </c>
      <c r="C152" t="s">
        <v>65</v>
      </c>
      <c r="D152">
        <v>26</v>
      </c>
      <c r="E152" t="s">
        <v>80</v>
      </c>
      <c r="F152">
        <v>80</v>
      </c>
      <c r="G152">
        <v>33</v>
      </c>
      <c r="H152">
        <v>28.4</v>
      </c>
      <c r="I152">
        <v>4.0999999999999996</v>
      </c>
      <c r="J152">
        <v>9.9</v>
      </c>
      <c r="K152">
        <v>0.41</v>
      </c>
      <c r="L152">
        <v>2.5</v>
      </c>
      <c r="M152">
        <v>7</v>
      </c>
      <c r="N152">
        <v>0.35</v>
      </c>
      <c r="O152">
        <v>1.6</v>
      </c>
      <c r="P152">
        <v>2.8</v>
      </c>
      <c r="Q152">
        <v>0.55900000000000005</v>
      </c>
      <c r="R152">
        <v>0.53500000000000003</v>
      </c>
      <c r="S152">
        <v>1</v>
      </c>
      <c r="T152">
        <v>1.1000000000000001</v>
      </c>
      <c r="U152">
        <v>0.876</v>
      </c>
      <c r="V152">
        <v>0.6</v>
      </c>
      <c r="W152">
        <v>2.6</v>
      </c>
      <c r="X152">
        <v>3.2</v>
      </c>
      <c r="Y152">
        <v>2.1</v>
      </c>
      <c r="Z152">
        <v>0.5</v>
      </c>
      <c r="AA152">
        <v>0.2</v>
      </c>
      <c r="AB152">
        <v>0.9</v>
      </c>
      <c r="AC152">
        <v>2.1</v>
      </c>
      <c r="AD152">
        <v>11.5</v>
      </c>
      <c r="AE152">
        <v>2272</v>
      </c>
      <c r="AF152">
        <v>10.8</v>
      </c>
      <c r="AG152">
        <v>0.55700000000000005</v>
      </c>
      <c r="AH152">
        <v>0.71299999999999997</v>
      </c>
      <c r="AI152">
        <v>0.113</v>
      </c>
      <c r="AJ152">
        <v>2.4</v>
      </c>
      <c r="AK152">
        <v>11.2</v>
      </c>
      <c r="AL152">
        <v>6.7</v>
      </c>
      <c r="AM152">
        <v>11.2</v>
      </c>
      <c r="AN152">
        <v>0.9</v>
      </c>
      <c r="AO152">
        <v>0.5</v>
      </c>
      <c r="AP152">
        <v>7.8</v>
      </c>
      <c r="AQ152">
        <v>17.600000000000001</v>
      </c>
      <c r="AR152">
        <v>1.5</v>
      </c>
      <c r="AS152">
        <v>1.9</v>
      </c>
      <c r="AT152">
        <v>3.4</v>
      </c>
      <c r="AU152">
        <v>7.0999999999999994E-2</v>
      </c>
      <c r="AV152">
        <v>-0.8</v>
      </c>
      <c r="AW152">
        <v>-0.9</v>
      </c>
      <c r="AX152">
        <v>-1.7</v>
      </c>
      <c r="AY152">
        <v>0.2</v>
      </c>
      <c r="AZ152" s="8">
        <v>0.85</v>
      </c>
      <c r="BA152" s="8">
        <v>0.46814493987642075</v>
      </c>
      <c r="BB152" s="3">
        <v>0</v>
      </c>
    </row>
    <row r="153" spans="1:54" x14ac:dyDescent="0.25">
      <c r="A153" t="s">
        <v>274</v>
      </c>
      <c r="B153" s="2">
        <v>5348280</v>
      </c>
      <c r="C153" t="s">
        <v>28</v>
      </c>
      <c r="D153">
        <v>24</v>
      </c>
      <c r="E153" t="s">
        <v>123</v>
      </c>
      <c r="F153">
        <v>67</v>
      </c>
      <c r="G153">
        <v>5</v>
      </c>
      <c r="H153">
        <v>15.7</v>
      </c>
      <c r="I153">
        <v>2.8</v>
      </c>
      <c r="J153">
        <v>6.3</v>
      </c>
      <c r="K153">
        <v>0.44600000000000001</v>
      </c>
      <c r="L153">
        <v>1.3</v>
      </c>
      <c r="M153">
        <v>3.7</v>
      </c>
      <c r="N153">
        <v>0.34399999999999997</v>
      </c>
      <c r="O153">
        <v>1.5</v>
      </c>
      <c r="P153">
        <v>2.6</v>
      </c>
      <c r="Q153">
        <v>0.59299999999999997</v>
      </c>
      <c r="R153">
        <v>0.54800000000000004</v>
      </c>
      <c r="S153">
        <v>0.6</v>
      </c>
      <c r="T153">
        <v>0.7</v>
      </c>
      <c r="U153">
        <v>0.80900000000000005</v>
      </c>
      <c r="V153">
        <v>0.4</v>
      </c>
      <c r="W153">
        <v>2.4</v>
      </c>
      <c r="X153">
        <v>2.8</v>
      </c>
      <c r="Y153">
        <v>1</v>
      </c>
      <c r="Z153">
        <v>0.3</v>
      </c>
      <c r="AA153">
        <v>0.2</v>
      </c>
      <c r="AB153">
        <v>0.6</v>
      </c>
      <c r="AC153">
        <v>1</v>
      </c>
      <c r="AD153">
        <v>7.4</v>
      </c>
      <c r="AE153">
        <v>1050</v>
      </c>
      <c r="AF153">
        <v>13.6</v>
      </c>
      <c r="AG153">
        <v>0.56499999999999995</v>
      </c>
      <c r="AH153">
        <v>0.58899999999999997</v>
      </c>
      <c r="AI153">
        <v>0.112</v>
      </c>
      <c r="AJ153">
        <v>3</v>
      </c>
      <c r="AK153">
        <v>16.600000000000001</v>
      </c>
      <c r="AL153">
        <v>9.8000000000000007</v>
      </c>
      <c r="AM153">
        <v>9.1999999999999993</v>
      </c>
      <c r="AN153">
        <v>1.1000000000000001</v>
      </c>
      <c r="AO153">
        <v>1.1000000000000001</v>
      </c>
      <c r="AP153">
        <v>8</v>
      </c>
      <c r="AQ153">
        <v>19.5</v>
      </c>
      <c r="AR153">
        <v>1.1000000000000001</v>
      </c>
      <c r="AS153">
        <v>1</v>
      </c>
      <c r="AT153">
        <v>2.1</v>
      </c>
      <c r="AU153">
        <v>9.5000000000000001E-2</v>
      </c>
      <c r="AV153">
        <v>0.3</v>
      </c>
      <c r="AW153">
        <v>-0.8</v>
      </c>
      <c r="AX153">
        <v>-0.5</v>
      </c>
      <c r="AY153">
        <v>0.4</v>
      </c>
      <c r="AZ153" s="8">
        <v>0.8</v>
      </c>
      <c r="BA153" s="8">
        <v>0.14958079980853659</v>
      </c>
      <c r="BB153" s="3">
        <v>0</v>
      </c>
    </row>
    <row r="154" spans="1:54" x14ac:dyDescent="0.25">
      <c r="A154" t="s">
        <v>293</v>
      </c>
      <c r="B154" s="2">
        <v>4437000</v>
      </c>
      <c r="C154" t="s">
        <v>62</v>
      </c>
      <c r="D154">
        <v>22</v>
      </c>
      <c r="E154" t="s">
        <v>175</v>
      </c>
      <c r="F154">
        <v>38</v>
      </c>
      <c r="G154">
        <v>32</v>
      </c>
      <c r="H154">
        <v>31</v>
      </c>
      <c r="I154">
        <v>6.9</v>
      </c>
      <c r="J154">
        <v>15.7</v>
      </c>
      <c r="K154">
        <v>0.439</v>
      </c>
      <c r="L154">
        <v>2.7</v>
      </c>
      <c r="M154">
        <v>7</v>
      </c>
      <c r="N154">
        <v>0.38700000000000001</v>
      </c>
      <c r="O154">
        <v>4.2</v>
      </c>
      <c r="P154">
        <v>8.6999999999999993</v>
      </c>
      <c r="Q154">
        <v>0.48</v>
      </c>
      <c r="R154">
        <v>0.52500000000000002</v>
      </c>
      <c r="S154">
        <v>2.1</v>
      </c>
      <c r="T154">
        <v>2.6</v>
      </c>
      <c r="U154">
        <v>0.78</v>
      </c>
      <c r="V154">
        <v>0.2</v>
      </c>
      <c r="W154">
        <v>3.7</v>
      </c>
      <c r="X154">
        <v>3.9</v>
      </c>
      <c r="Y154">
        <v>3.6</v>
      </c>
      <c r="Z154">
        <v>1.1000000000000001</v>
      </c>
      <c r="AA154">
        <v>0.4</v>
      </c>
      <c r="AB154">
        <v>1.5</v>
      </c>
      <c r="AC154">
        <v>1.5</v>
      </c>
      <c r="AD154">
        <v>18.5</v>
      </c>
      <c r="AE154">
        <v>1178</v>
      </c>
      <c r="AF154">
        <v>15.5</v>
      </c>
      <c r="AG154">
        <v>0.55000000000000004</v>
      </c>
      <c r="AH154">
        <v>0.44700000000000001</v>
      </c>
      <c r="AI154">
        <v>0.16800000000000001</v>
      </c>
      <c r="AJ154">
        <v>0.7</v>
      </c>
      <c r="AK154">
        <v>13.5</v>
      </c>
      <c r="AL154">
        <v>6.9</v>
      </c>
      <c r="AM154">
        <v>17.3</v>
      </c>
      <c r="AN154">
        <v>1.7</v>
      </c>
      <c r="AO154">
        <v>1.2</v>
      </c>
      <c r="AP154">
        <v>8.1999999999999993</v>
      </c>
      <c r="AQ154">
        <v>24.4</v>
      </c>
      <c r="AR154">
        <v>0.7</v>
      </c>
      <c r="AS154">
        <v>0.5</v>
      </c>
      <c r="AT154">
        <v>1.2</v>
      </c>
      <c r="AU154">
        <v>5.0999999999999997E-2</v>
      </c>
      <c r="AV154">
        <v>1.3</v>
      </c>
      <c r="AW154">
        <v>-0.9</v>
      </c>
      <c r="AX154">
        <v>0.4</v>
      </c>
      <c r="AY154">
        <v>0.7</v>
      </c>
      <c r="AZ154" s="8">
        <v>0.8</v>
      </c>
      <c r="BA154" s="8">
        <v>0.18030200585981518</v>
      </c>
      <c r="BB154" s="3">
        <v>0</v>
      </c>
    </row>
    <row r="155" spans="1:54" x14ac:dyDescent="0.25">
      <c r="A155" t="s">
        <v>294</v>
      </c>
      <c r="B155" s="2">
        <v>4379526</v>
      </c>
      <c r="C155" t="s">
        <v>62</v>
      </c>
      <c r="D155">
        <v>25</v>
      </c>
      <c r="E155" t="s">
        <v>70</v>
      </c>
      <c r="F155">
        <v>71</v>
      </c>
      <c r="G155">
        <v>28</v>
      </c>
      <c r="H155">
        <v>16.899999999999999</v>
      </c>
      <c r="I155">
        <v>1.5</v>
      </c>
      <c r="J155">
        <v>3.6</v>
      </c>
      <c r="K155">
        <v>0.435</v>
      </c>
      <c r="L155">
        <v>0.8</v>
      </c>
      <c r="M155">
        <v>2.1</v>
      </c>
      <c r="N155">
        <v>0.36499999999999999</v>
      </c>
      <c r="O155">
        <v>0.8</v>
      </c>
      <c r="P155">
        <v>1.5</v>
      </c>
      <c r="Q155">
        <v>0.53300000000000003</v>
      </c>
      <c r="R155">
        <v>0.54200000000000004</v>
      </c>
      <c r="S155">
        <v>0.3</v>
      </c>
      <c r="T155">
        <v>0.4</v>
      </c>
      <c r="U155">
        <v>0.67900000000000005</v>
      </c>
      <c r="V155">
        <v>0.6</v>
      </c>
      <c r="W155">
        <v>1.4</v>
      </c>
      <c r="X155">
        <v>2</v>
      </c>
      <c r="Y155">
        <v>0.7</v>
      </c>
      <c r="Z155">
        <v>1.2</v>
      </c>
      <c r="AA155">
        <v>0.5</v>
      </c>
      <c r="AB155">
        <v>0.3</v>
      </c>
      <c r="AC155">
        <v>1.6</v>
      </c>
      <c r="AD155">
        <v>4.0999999999999996</v>
      </c>
      <c r="AE155">
        <v>1200</v>
      </c>
      <c r="AF155">
        <v>10.5</v>
      </c>
      <c r="AG155">
        <v>0.55200000000000005</v>
      </c>
      <c r="AH155">
        <v>0.58499999999999996</v>
      </c>
      <c r="AI155">
        <v>0.111</v>
      </c>
      <c r="AJ155">
        <v>3.9</v>
      </c>
      <c r="AK155">
        <v>9.6999999999999993</v>
      </c>
      <c r="AL155">
        <v>6.8</v>
      </c>
      <c r="AM155">
        <v>5.9</v>
      </c>
      <c r="AN155">
        <v>3.4</v>
      </c>
      <c r="AO155">
        <v>2.4</v>
      </c>
      <c r="AP155">
        <v>8.3000000000000007</v>
      </c>
      <c r="AQ155">
        <v>10.6</v>
      </c>
      <c r="AR155">
        <v>0.6</v>
      </c>
      <c r="AS155">
        <v>1.5</v>
      </c>
      <c r="AT155">
        <v>2.1</v>
      </c>
      <c r="AU155">
        <v>8.5999999999999993E-2</v>
      </c>
      <c r="AV155">
        <v>-2.7</v>
      </c>
      <c r="AW155">
        <v>2.2000000000000002</v>
      </c>
      <c r="AX155">
        <v>-0.5</v>
      </c>
      <c r="AY155">
        <v>0.4</v>
      </c>
      <c r="AZ155" s="8">
        <v>0.8</v>
      </c>
      <c r="BA155" s="8">
        <v>0.18266817002570598</v>
      </c>
      <c r="BB155" s="3">
        <v>0</v>
      </c>
    </row>
    <row r="156" spans="1:54" x14ac:dyDescent="0.25">
      <c r="A156" t="s">
        <v>361</v>
      </c>
      <c r="B156" s="2">
        <v>2625000</v>
      </c>
      <c r="C156" t="s">
        <v>28</v>
      </c>
      <c r="D156">
        <v>27</v>
      </c>
      <c r="E156" t="s">
        <v>116</v>
      </c>
      <c r="F156">
        <v>74</v>
      </c>
      <c r="G156">
        <v>0</v>
      </c>
      <c r="H156">
        <v>16.899999999999999</v>
      </c>
      <c r="I156">
        <v>2.5</v>
      </c>
      <c r="J156">
        <v>5.5</v>
      </c>
      <c r="K156">
        <v>0.45800000000000002</v>
      </c>
      <c r="L156">
        <v>1.2</v>
      </c>
      <c r="M156">
        <v>3.2</v>
      </c>
      <c r="N156">
        <v>0.36299999999999999</v>
      </c>
      <c r="O156">
        <v>1.4</v>
      </c>
      <c r="P156">
        <v>2.2999999999999998</v>
      </c>
      <c r="Q156">
        <v>0.59499999999999997</v>
      </c>
      <c r="R156">
        <v>0.56499999999999995</v>
      </c>
      <c r="S156">
        <v>1.4</v>
      </c>
      <c r="T156">
        <v>1.7</v>
      </c>
      <c r="U156">
        <v>0.81499999999999995</v>
      </c>
      <c r="V156">
        <v>0.9</v>
      </c>
      <c r="W156">
        <v>3.1</v>
      </c>
      <c r="X156">
        <v>4.0999999999999996</v>
      </c>
      <c r="Y156">
        <v>0.9</v>
      </c>
      <c r="Z156">
        <v>0.4</v>
      </c>
      <c r="AA156">
        <v>0.4</v>
      </c>
      <c r="AB156">
        <v>0.9</v>
      </c>
      <c r="AC156">
        <v>1.3</v>
      </c>
      <c r="AD156">
        <v>7.6</v>
      </c>
      <c r="AE156">
        <v>1247</v>
      </c>
      <c r="AF156">
        <v>14.2</v>
      </c>
      <c r="AG156">
        <v>0.60699999999999998</v>
      </c>
      <c r="AH156">
        <v>0.58799999999999997</v>
      </c>
      <c r="AI156">
        <v>0.30399999999999999</v>
      </c>
      <c r="AJ156">
        <v>6.3</v>
      </c>
      <c r="AK156">
        <v>21.1</v>
      </c>
      <c r="AL156">
        <v>13.7</v>
      </c>
      <c r="AM156">
        <v>7</v>
      </c>
      <c r="AN156">
        <v>1</v>
      </c>
      <c r="AO156">
        <v>2.2000000000000002</v>
      </c>
      <c r="AP156">
        <v>12.2</v>
      </c>
      <c r="AQ156">
        <v>18.100000000000001</v>
      </c>
      <c r="AR156">
        <v>1.4</v>
      </c>
      <c r="AS156">
        <v>1.2</v>
      </c>
      <c r="AT156">
        <v>2.6</v>
      </c>
      <c r="AU156">
        <v>9.8000000000000004E-2</v>
      </c>
      <c r="AV156">
        <v>0</v>
      </c>
      <c r="AW156">
        <v>-0.9</v>
      </c>
      <c r="AX156">
        <v>-1</v>
      </c>
      <c r="AY156">
        <v>0.3</v>
      </c>
      <c r="AZ156" s="8">
        <v>0.8</v>
      </c>
      <c r="BA156" s="8">
        <v>0.30476190476190479</v>
      </c>
      <c r="BB156" s="3">
        <v>0</v>
      </c>
    </row>
    <row r="157" spans="1:54" x14ac:dyDescent="0.25">
      <c r="A157" t="s">
        <v>179</v>
      </c>
      <c r="B157" s="2">
        <v>13000000</v>
      </c>
      <c r="C157" t="s">
        <v>62</v>
      </c>
      <c r="D157">
        <v>28</v>
      </c>
      <c r="E157" t="s">
        <v>152</v>
      </c>
      <c r="F157">
        <v>48</v>
      </c>
      <c r="G157">
        <v>42</v>
      </c>
      <c r="H157">
        <v>24.7</v>
      </c>
      <c r="I157">
        <v>2.9</v>
      </c>
      <c r="J157">
        <v>6.4</v>
      </c>
      <c r="K157">
        <v>0.45</v>
      </c>
      <c r="L157">
        <v>2</v>
      </c>
      <c r="M157">
        <v>4.5</v>
      </c>
      <c r="N157">
        <v>0.43099999999999999</v>
      </c>
      <c r="O157">
        <v>0.9</v>
      </c>
      <c r="P157">
        <v>1.9</v>
      </c>
      <c r="Q157">
        <v>0.49399999999999999</v>
      </c>
      <c r="R157">
        <v>0.60299999999999998</v>
      </c>
      <c r="S157">
        <v>0.6</v>
      </c>
      <c r="T157">
        <v>0.6</v>
      </c>
      <c r="U157">
        <v>0.9</v>
      </c>
      <c r="V157">
        <v>0.4</v>
      </c>
      <c r="W157">
        <v>1.6</v>
      </c>
      <c r="X157">
        <v>2</v>
      </c>
      <c r="Y157">
        <v>1.2</v>
      </c>
      <c r="Z157">
        <v>0.9</v>
      </c>
      <c r="AA157">
        <v>0.3</v>
      </c>
      <c r="AB157">
        <v>0.6</v>
      </c>
      <c r="AC157">
        <v>1.9</v>
      </c>
      <c r="AD157">
        <v>8.3000000000000007</v>
      </c>
      <c r="AE157">
        <v>1184</v>
      </c>
      <c r="AF157">
        <v>10.5</v>
      </c>
      <c r="AG157">
        <v>0.62</v>
      </c>
      <c r="AH157">
        <v>0.71</v>
      </c>
      <c r="AI157">
        <v>9.8000000000000004E-2</v>
      </c>
      <c r="AJ157">
        <v>2</v>
      </c>
      <c r="AK157">
        <v>7.4</v>
      </c>
      <c r="AL157">
        <v>4.7</v>
      </c>
      <c r="AM157">
        <v>6.9</v>
      </c>
      <c r="AN157">
        <v>1.8</v>
      </c>
      <c r="AO157">
        <v>1</v>
      </c>
      <c r="AP157">
        <v>8</v>
      </c>
      <c r="AQ157">
        <v>12.6</v>
      </c>
      <c r="AR157">
        <v>1.3</v>
      </c>
      <c r="AS157">
        <v>1.1000000000000001</v>
      </c>
      <c r="AT157">
        <v>2.2999999999999998</v>
      </c>
      <c r="AU157">
        <v>9.5000000000000001E-2</v>
      </c>
      <c r="AV157">
        <v>-1.4</v>
      </c>
      <c r="AW157">
        <v>0.7</v>
      </c>
      <c r="AX157">
        <v>-0.7</v>
      </c>
      <c r="AY157">
        <v>0.4</v>
      </c>
      <c r="AZ157" s="8">
        <v>0.79999999999999993</v>
      </c>
      <c r="BA157" s="8">
        <v>6.1538461538461528E-2</v>
      </c>
      <c r="BB157" s="3">
        <v>0</v>
      </c>
    </row>
    <row r="158" spans="1:54" x14ac:dyDescent="0.25">
      <c r="A158" t="s">
        <v>254</v>
      </c>
      <c r="B158" s="2">
        <v>6479000</v>
      </c>
      <c r="C158" t="s">
        <v>65</v>
      </c>
      <c r="D158">
        <v>35</v>
      </c>
      <c r="E158" t="s">
        <v>68</v>
      </c>
      <c r="F158">
        <v>46</v>
      </c>
      <c r="G158">
        <v>0</v>
      </c>
      <c r="H158">
        <v>22.7</v>
      </c>
      <c r="I158">
        <v>2.2999999999999998</v>
      </c>
      <c r="J158">
        <v>5.4</v>
      </c>
      <c r="K158">
        <v>0.435</v>
      </c>
      <c r="L158">
        <v>1.8</v>
      </c>
      <c r="M158">
        <v>4.4000000000000004</v>
      </c>
      <c r="N158">
        <v>0.40899999999999997</v>
      </c>
      <c r="O158">
        <v>0.5</v>
      </c>
      <c r="P158">
        <v>1</v>
      </c>
      <c r="Q158">
        <v>0.55600000000000005</v>
      </c>
      <c r="R158">
        <v>0.60299999999999998</v>
      </c>
      <c r="S158">
        <v>0.4</v>
      </c>
      <c r="T158">
        <v>0.5</v>
      </c>
      <c r="U158">
        <v>0.85699999999999998</v>
      </c>
      <c r="V158">
        <v>0.3</v>
      </c>
      <c r="W158">
        <v>2.5</v>
      </c>
      <c r="X158">
        <v>2.8</v>
      </c>
      <c r="Y158">
        <v>3.3</v>
      </c>
      <c r="Z158">
        <v>0.7</v>
      </c>
      <c r="AA158">
        <v>0.1</v>
      </c>
      <c r="AB158">
        <v>1.2</v>
      </c>
      <c r="AC158">
        <v>1.6</v>
      </c>
      <c r="AD158">
        <v>6.9</v>
      </c>
      <c r="AE158">
        <v>1044</v>
      </c>
      <c r="AF158">
        <v>10.7</v>
      </c>
      <c r="AG158">
        <v>0.61599999999999999</v>
      </c>
      <c r="AH158">
        <v>0.81899999999999995</v>
      </c>
      <c r="AI158">
        <v>8.5000000000000006E-2</v>
      </c>
      <c r="AJ158">
        <v>1.4</v>
      </c>
      <c r="AK158">
        <v>11.1</v>
      </c>
      <c r="AL158">
        <v>6.4</v>
      </c>
      <c r="AM158">
        <v>18.399999999999999</v>
      </c>
      <c r="AN158">
        <v>1.5</v>
      </c>
      <c r="AO158">
        <v>0.5</v>
      </c>
      <c r="AP158">
        <v>17.600000000000001</v>
      </c>
      <c r="AQ158">
        <v>12.6</v>
      </c>
      <c r="AR158">
        <v>1.1000000000000001</v>
      </c>
      <c r="AS158">
        <v>1.2</v>
      </c>
      <c r="AT158">
        <v>2.2999999999999998</v>
      </c>
      <c r="AU158">
        <v>0.107</v>
      </c>
      <c r="AV158">
        <v>-1.6</v>
      </c>
      <c r="AW158">
        <v>0.8</v>
      </c>
      <c r="AX158">
        <v>-0.7</v>
      </c>
      <c r="AY158">
        <v>0.3</v>
      </c>
      <c r="AZ158" s="8">
        <v>0.79999999999999993</v>
      </c>
      <c r="BA158" s="8">
        <v>0.12347584503781446</v>
      </c>
      <c r="BB158" s="3">
        <v>0</v>
      </c>
    </row>
    <row r="159" spans="1:54" x14ac:dyDescent="0.25">
      <c r="A159" t="s">
        <v>145</v>
      </c>
      <c r="B159" s="2">
        <v>18642857</v>
      </c>
      <c r="C159" t="s">
        <v>65</v>
      </c>
      <c r="D159">
        <v>31</v>
      </c>
      <c r="E159" t="s">
        <v>89</v>
      </c>
      <c r="F159">
        <v>74</v>
      </c>
      <c r="G159">
        <v>33</v>
      </c>
      <c r="H159">
        <v>20.6</v>
      </c>
      <c r="I159">
        <v>2.7</v>
      </c>
      <c r="J159">
        <v>5.9</v>
      </c>
      <c r="K159">
        <v>0.45700000000000002</v>
      </c>
      <c r="L159">
        <v>1.9</v>
      </c>
      <c r="M159">
        <v>4.5</v>
      </c>
      <c r="N159">
        <v>0.42599999999999999</v>
      </c>
      <c r="O159">
        <v>0.8</v>
      </c>
      <c r="P159">
        <v>1.4</v>
      </c>
      <c r="Q159">
        <v>0.55100000000000005</v>
      </c>
      <c r="R159">
        <v>0.61799999999999999</v>
      </c>
      <c r="S159">
        <v>0.2</v>
      </c>
      <c r="T159">
        <v>0.4</v>
      </c>
      <c r="U159">
        <v>0.64300000000000002</v>
      </c>
      <c r="V159">
        <v>0.3</v>
      </c>
      <c r="W159">
        <v>1.9</v>
      </c>
      <c r="X159">
        <v>2.2000000000000002</v>
      </c>
      <c r="Y159">
        <v>1.4</v>
      </c>
      <c r="Z159">
        <v>0.5</v>
      </c>
      <c r="AA159">
        <v>0.2</v>
      </c>
      <c r="AB159">
        <v>0.6</v>
      </c>
      <c r="AC159">
        <v>1.9</v>
      </c>
      <c r="AD159">
        <v>7.6</v>
      </c>
      <c r="AE159">
        <v>1527</v>
      </c>
      <c r="AF159">
        <v>10.6</v>
      </c>
      <c r="AG159">
        <v>0.621</v>
      </c>
      <c r="AH159">
        <v>0.75700000000000001</v>
      </c>
      <c r="AI159">
        <v>6.4000000000000001E-2</v>
      </c>
      <c r="AJ159">
        <v>1.7</v>
      </c>
      <c r="AK159">
        <v>10.1</v>
      </c>
      <c r="AL159">
        <v>6</v>
      </c>
      <c r="AM159">
        <v>9.1</v>
      </c>
      <c r="AN159">
        <v>1.1000000000000001</v>
      </c>
      <c r="AO159">
        <v>0.7</v>
      </c>
      <c r="AP159">
        <v>8.3000000000000007</v>
      </c>
      <c r="AQ159">
        <v>14.3</v>
      </c>
      <c r="AR159">
        <v>1.5</v>
      </c>
      <c r="AS159">
        <v>1.1000000000000001</v>
      </c>
      <c r="AT159">
        <v>2.6</v>
      </c>
      <c r="AU159">
        <v>8.3000000000000004E-2</v>
      </c>
      <c r="AV159">
        <v>-0.6</v>
      </c>
      <c r="AW159">
        <v>-0.6</v>
      </c>
      <c r="AX159">
        <v>-1.1000000000000001</v>
      </c>
      <c r="AY159">
        <v>0.3</v>
      </c>
      <c r="AZ159" s="8">
        <v>0.75</v>
      </c>
      <c r="BA159" s="8">
        <v>4.0229885365746246E-2</v>
      </c>
      <c r="BB159" s="3">
        <v>0</v>
      </c>
    </row>
    <row r="160" spans="1:54" x14ac:dyDescent="0.25">
      <c r="A160" t="s">
        <v>268</v>
      </c>
      <c r="B160" s="2">
        <v>5728393</v>
      </c>
      <c r="C160" t="s">
        <v>65</v>
      </c>
      <c r="D160">
        <v>30</v>
      </c>
      <c r="E160" t="s">
        <v>68</v>
      </c>
      <c r="F160">
        <v>61</v>
      </c>
      <c r="G160">
        <v>33</v>
      </c>
      <c r="H160">
        <v>23.7</v>
      </c>
      <c r="I160">
        <v>2.7</v>
      </c>
      <c r="J160">
        <v>6.9</v>
      </c>
      <c r="K160">
        <v>0.39200000000000002</v>
      </c>
      <c r="L160">
        <v>1.8</v>
      </c>
      <c r="M160">
        <v>5.3</v>
      </c>
      <c r="N160">
        <v>0.33900000000000002</v>
      </c>
      <c r="O160">
        <v>0.9</v>
      </c>
      <c r="P160">
        <v>1.6</v>
      </c>
      <c r="Q160">
        <v>0.56599999999999995</v>
      </c>
      <c r="R160">
        <v>0.52100000000000002</v>
      </c>
      <c r="S160">
        <v>0.4</v>
      </c>
      <c r="T160">
        <v>0.7</v>
      </c>
      <c r="U160">
        <v>0.65900000000000003</v>
      </c>
      <c r="V160">
        <v>0.8</v>
      </c>
      <c r="W160">
        <v>3.8</v>
      </c>
      <c r="X160">
        <v>4.5999999999999996</v>
      </c>
      <c r="Y160">
        <v>1.3</v>
      </c>
      <c r="Z160">
        <v>0.6</v>
      </c>
      <c r="AA160">
        <v>0.2</v>
      </c>
      <c r="AB160">
        <v>0.5</v>
      </c>
      <c r="AC160">
        <v>1.1000000000000001</v>
      </c>
      <c r="AD160">
        <v>7.6</v>
      </c>
      <c r="AE160">
        <v>1443</v>
      </c>
      <c r="AF160">
        <v>10</v>
      </c>
      <c r="AG160">
        <v>0.53100000000000003</v>
      </c>
      <c r="AH160">
        <v>0.76500000000000001</v>
      </c>
      <c r="AI160">
        <v>9.7000000000000003E-2</v>
      </c>
      <c r="AJ160">
        <v>3.8</v>
      </c>
      <c r="AK160">
        <v>16.2</v>
      </c>
      <c r="AL160">
        <v>10.199999999999999</v>
      </c>
      <c r="AM160">
        <v>6.9</v>
      </c>
      <c r="AN160">
        <v>1.2</v>
      </c>
      <c r="AO160">
        <v>0.6</v>
      </c>
      <c r="AP160">
        <v>7</v>
      </c>
      <c r="AQ160">
        <v>13.8</v>
      </c>
      <c r="AR160">
        <v>0.7</v>
      </c>
      <c r="AS160">
        <v>1.8</v>
      </c>
      <c r="AT160">
        <v>2.5</v>
      </c>
      <c r="AU160">
        <v>8.5000000000000006E-2</v>
      </c>
      <c r="AV160">
        <v>-1.3</v>
      </c>
      <c r="AW160">
        <v>0.3</v>
      </c>
      <c r="AX160">
        <v>-1</v>
      </c>
      <c r="AY160">
        <v>0.3</v>
      </c>
      <c r="AZ160" s="8">
        <v>0.75</v>
      </c>
      <c r="BA160" s="8">
        <v>0.1309267712602819</v>
      </c>
      <c r="BB160" s="3">
        <v>0</v>
      </c>
    </row>
    <row r="161" spans="1:54" x14ac:dyDescent="0.25">
      <c r="A161" t="s">
        <v>321</v>
      </c>
      <c r="B161" s="2">
        <v>3536160</v>
      </c>
      <c r="C161" t="s">
        <v>65</v>
      </c>
      <c r="D161">
        <v>19</v>
      </c>
      <c r="E161" t="s">
        <v>85</v>
      </c>
      <c r="F161">
        <v>72</v>
      </c>
      <c r="G161">
        <v>12</v>
      </c>
      <c r="H161">
        <v>19.5</v>
      </c>
      <c r="I161">
        <v>3.4</v>
      </c>
      <c r="J161">
        <v>7.4</v>
      </c>
      <c r="K161">
        <v>0.46500000000000002</v>
      </c>
      <c r="L161">
        <v>1.4</v>
      </c>
      <c r="M161">
        <v>3.6</v>
      </c>
      <c r="N161">
        <v>0.39</v>
      </c>
      <c r="O161">
        <v>2</v>
      </c>
      <c r="P161">
        <v>3.8</v>
      </c>
      <c r="Q161">
        <v>0.53600000000000003</v>
      </c>
      <c r="R161">
        <v>0.56000000000000005</v>
      </c>
      <c r="S161">
        <v>0.6</v>
      </c>
      <c r="T161">
        <v>0.7</v>
      </c>
      <c r="U161">
        <v>0.89400000000000002</v>
      </c>
      <c r="V161">
        <v>0.5</v>
      </c>
      <c r="W161">
        <v>1.6</v>
      </c>
      <c r="X161">
        <v>2.1</v>
      </c>
      <c r="Y161">
        <v>1</v>
      </c>
      <c r="Z161">
        <v>0.6</v>
      </c>
      <c r="AA161">
        <v>0.2</v>
      </c>
      <c r="AB161">
        <v>0.6</v>
      </c>
      <c r="AC161">
        <v>1.2</v>
      </c>
      <c r="AD161">
        <v>8.9</v>
      </c>
      <c r="AE161">
        <v>1401</v>
      </c>
      <c r="AF161">
        <v>12.6</v>
      </c>
      <c r="AG161">
        <v>0.57699999999999996</v>
      </c>
      <c r="AH161">
        <v>0.48599999999999999</v>
      </c>
      <c r="AI161">
        <v>8.7999999999999995E-2</v>
      </c>
      <c r="AJ161">
        <v>2.9</v>
      </c>
      <c r="AK161">
        <v>9.1999999999999993</v>
      </c>
      <c r="AL161">
        <v>6</v>
      </c>
      <c r="AM161">
        <v>7</v>
      </c>
      <c r="AN161">
        <v>1.4</v>
      </c>
      <c r="AO161">
        <v>0.7</v>
      </c>
      <c r="AP161">
        <v>7.1</v>
      </c>
      <c r="AQ161">
        <v>17.899999999999999</v>
      </c>
      <c r="AR161">
        <v>1.3</v>
      </c>
      <c r="AS161">
        <v>0.9</v>
      </c>
      <c r="AT161">
        <v>2.2000000000000002</v>
      </c>
      <c r="AU161">
        <v>7.4999999999999997E-2</v>
      </c>
      <c r="AV161">
        <v>-0.3</v>
      </c>
      <c r="AW161">
        <v>-0.5</v>
      </c>
      <c r="AX161">
        <v>-0.8</v>
      </c>
      <c r="AY161">
        <v>0.4</v>
      </c>
      <c r="AZ161" s="8">
        <v>0.70000000000000007</v>
      </c>
      <c r="BA161" s="8">
        <v>0.19795484367223207</v>
      </c>
      <c r="BB161" s="3">
        <v>0</v>
      </c>
    </row>
    <row r="162" spans="1:54" x14ac:dyDescent="0.25">
      <c r="A162" t="s">
        <v>132</v>
      </c>
      <c r="B162" s="2">
        <v>22321429</v>
      </c>
      <c r="C162" t="s">
        <v>62</v>
      </c>
      <c r="D162">
        <v>23</v>
      </c>
      <c r="E162" t="s">
        <v>70</v>
      </c>
      <c r="F162">
        <v>62</v>
      </c>
      <c r="G162">
        <v>62</v>
      </c>
      <c r="H162">
        <v>35</v>
      </c>
      <c r="I162">
        <v>7.5</v>
      </c>
      <c r="J162">
        <v>16.899999999999999</v>
      </c>
      <c r="K162">
        <v>0.44700000000000001</v>
      </c>
      <c r="L162">
        <v>3.4</v>
      </c>
      <c r="M162">
        <v>9.1</v>
      </c>
      <c r="N162">
        <v>0.377</v>
      </c>
      <c r="O162">
        <v>4.0999999999999996</v>
      </c>
      <c r="P162">
        <v>7.8</v>
      </c>
      <c r="Q162">
        <v>0.52800000000000002</v>
      </c>
      <c r="R162">
        <v>0.54800000000000004</v>
      </c>
      <c r="S162">
        <v>2.6</v>
      </c>
      <c r="T162">
        <v>2.9</v>
      </c>
      <c r="U162">
        <v>0.89400000000000002</v>
      </c>
      <c r="V162">
        <v>0.3</v>
      </c>
      <c r="W162">
        <v>2.2999999999999998</v>
      </c>
      <c r="X162">
        <v>2.6</v>
      </c>
      <c r="Y162">
        <v>4.0999999999999996</v>
      </c>
      <c r="Z162">
        <v>0.7</v>
      </c>
      <c r="AA162">
        <v>0.2</v>
      </c>
      <c r="AB162">
        <v>2.1</v>
      </c>
      <c r="AC162">
        <v>2.2999999999999998</v>
      </c>
      <c r="AD162">
        <v>21.1</v>
      </c>
      <c r="AE162">
        <v>2171</v>
      </c>
      <c r="AF162">
        <v>14.8</v>
      </c>
      <c r="AG162">
        <v>0.58099999999999996</v>
      </c>
      <c r="AH162">
        <v>0.53800000000000003</v>
      </c>
      <c r="AI162">
        <v>0.17100000000000001</v>
      </c>
      <c r="AJ162">
        <v>0.9</v>
      </c>
      <c r="AK162">
        <v>7.6</v>
      </c>
      <c r="AL162">
        <v>4.3</v>
      </c>
      <c r="AM162">
        <v>18.600000000000001</v>
      </c>
      <c r="AN162">
        <v>0.9</v>
      </c>
      <c r="AO162">
        <v>0.6</v>
      </c>
      <c r="AP162">
        <v>10.199999999999999</v>
      </c>
      <c r="AQ162">
        <v>25.1</v>
      </c>
      <c r="AR162">
        <v>2.1</v>
      </c>
      <c r="AS162">
        <v>0.3</v>
      </c>
      <c r="AT162">
        <v>2.5</v>
      </c>
      <c r="AU162">
        <v>5.3999999999999999E-2</v>
      </c>
      <c r="AV162">
        <v>1.3</v>
      </c>
      <c r="AW162">
        <v>-2.5</v>
      </c>
      <c r="AX162">
        <v>-1.1000000000000001</v>
      </c>
      <c r="AY162">
        <v>0.5</v>
      </c>
      <c r="AZ162" s="8">
        <v>0.7</v>
      </c>
      <c r="BA162" s="8">
        <v>3.1359999397888014E-2</v>
      </c>
      <c r="BB162" s="3">
        <v>0</v>
      </c>
    </row>
    <row r="163" spans="1:54" x14ac:dyDescent="0.25">
      <c r="A163" t="s">
        <v>384</v>
      </c>
      <c r="B163" s="2">
        <v>2200000</v>
      </c>
      <c r="C163" t="s">
        <v>28</v>
      </c>
      <c r="D163">
        <v>23</v>
      </c>
      <c r="E163" t="s">
        <v>152</v>
      </c>
      <c r="F163">
        <v>70</v>
      </c>
      <c r="G163">
        <v>33</v>
      </c>
      <c r="H163">
        <v>21.5</v>
      </c>
      <c r="I163">
        <v>3.7</v>
      </c>
      <c r="J163">
        <v>6.8</v>
      </c>
      <c r="K163">
        <v>0.54600000000000004</v>
      </c>
      <c r="L163">
        <v>0.4</v>
      </c>
      <c r="M163">
        <v>1.6</v>
      </c>
      <c r="N163">
        <v>0.26500000000000001</v>
      </c>
      <c r="O163">
        <v>3.3</v>
      </c>
      <c r="P163">
        <v>5.2</v>
      </c>
      <c r="Q163">
        <v>0.63300000000000001</v>
      </c>
      <c r="R163">
        <v>0.57699999999999996</v>
      </c>
      <c r="S163">
        <v>1.2</v>
      </c>
      <c r="T163">
        <v>1.5</v>
      </c>
      <c r="U163">
        <v>0.75900000000000001</v>
      </c>
      <c r="V163">
        <v>1</v>
      </c>
      <c r="W163">
        <v>4.8</v>
      </c>
      <c r="X163">
        <v>5.8</v>
      </c>
      <c r="Y163">
        <v>1</v>
      </c>
      <c r="Z163">
        <v>0.4</v>
      </c>
      <c r="AA163">
        <v>1.2</v>
      </c>
      <c r="AB163">
        <v>1.6</v>
      </c>
      <c r="AC163">
        <v>1.3</v>
      </c>
      <c r="AD163">
        <v>9.1</v>
      </c>
      <c r="AE163">
        <v>1505</v>
      </c>
      <c r="AF163">
        <v>14.4</v>
      </c>
      <c r="AG163">
        <v>0.60299999999999998</v>
      </c>
      <c r="AH163">
        <v>0.23599999999999999</v>
      </c>
      <c r="AI163">
        <v>0.22600000000000001</v>
      </c>
      <c r="AJ163">
        <v>5.2</v>
      </c>
      <c r="AK163">
        <v>25.3</v>
      </c>
      <c r="AL163">
        <v>15.2</v>
      </c>
      <c r="AM163">
        <v>6.9</v>
      </c>
      <c r="AN163">
        <v>1</v>
      </c>
      <c r="AO163">
        <v>5.5</v>
      </c>
      <c r="AP163">
        <v>17.600000000000001</v>
      </c>
      <c r="AQ163">
        <v>18.2</v>
      </c>
      <c r="AR163">
        <v>0</v>
      </c>
      <c r="AS163">
        <v>2.2000000000000002</v>
      </c>
      <c r="AT163">
        <v>2.2999999999999998</v>
      </c>
      <c r="AU163">
        <v>7.1999999999999995E-2</v>
      </c>
      <c r="AV163">
        <v>-1.8</v>
      </c>
      <c r="AW163">
        <v>0.9</v>
      </c>
      <c r="AX163">
        <v>-0.9</v>
      </c>
      <c r="AY163">
        <v>0.4</v>
      </c>
      <c r="AZ163" s="8">
        <v>0.7</v>
      </c>
      <c r="BA163" s="8">
        <v>0.31818181818181818</v>
      </c>
      <c r="BB163" s="3">
        <v>0</v>
      </c>
    </row>
    <row r="164" spans="1:54" x14ac:dyDescent="0.25">
      <c r="A164" t="s">
        <v>313</v>
      </c>
      <c r="B164" s="2">
        <v>3901399</v>
      </c>
      <c r="C164" t="s">
        <v>52</v>
      </c>
      <c r="D164">
        <v>23</v>
      </c>
      <c r="E164" t="s">
        <v>53</v>
      </c>
      <c r="F164">
        <v>82</v>
      </c>
      <c r="G164">
        <v>43</v>
      </c>
      <c r="H164">
        <v>30</v>
      </c>
      <c r="I164">
        <v>6.7</v>
      </c>
      <c r="J164">
        <v>15.6</v>
      </c>
      <c r="K164">
        <v>0.43</v>
      </c>
      <c r="L164">
        <v>2.6</v>
      </c>
      <c r="M164">
        <v>7.8</v>
      </c>
      <c r="N164">
        <v>0.33600000000000002</v>
      </c>
      <c r="O164">
        <v>4.0999999999999996</v>
      </c>
      <c r="P164">
        <v>7.8</v>
      </c>
      <c r="Q164">
        <v>0.52400000000000002</v>
      </c>
      <c r="R164">
        <v>0.51400000000000001</v>
      </c>
      <c r="S164">
        <v>4.4000000000000004</v>
      </c>
      <c r="T164">
        <v>5.0999999999999996</v>
      </c>
      <c r="U164">
        <v>0.87</v>
      </c>
      <c r="V164">
        <v>0.4</v>
      </c>
      <c r="W164">
        <v>2.4</v>
      </c>
      <c r="X164">
        <v>2.7</v>
      </c>
      <c r="Y164">
        <v>4.5</v>
      </c>
      <c r="Z164">
        <v>0.8</v>
      </c>
      <c r="AA164">
        <v>0.3</v>
      </c>
      <c r="AB164">
        <v>3.1</v>
      </c>
      <c r="AC164">
        <v>2.6</v>
      </c>
      <c r="AD164">
        <v>20.399999999999999</v>
      </c>
      <c r="AE164">
        <v>2458</v>
      </c>
      <c r="AF164">
        <v>14.6</v>
      </c>
      <c r="AG164">
        <v>0.57299999999999995</v>
      </c>
      <c r="AH164">
        <v>0.498</v>
      </c>
      <c r="AI164">
        <v>0.32500000000000001</v>
      </c>
      <c r="AJ164">
        <v>1.5</v>
      </c>
      <c r="AK164">
        <v>8.5</v>
      </c>
      <c r="AL164">
        <v>5</v>
      </c>
      <c r="AM164">
        <v>22.5</v>
      </c>
      <c r="AN164">
        <v>1.2</v>
      </c>
      <c r="AO164">
        <v>0.8</v>
      </c>
      <c r="AP164">
        <v>14.7</v>
      </c>
      <c r="AQ164">
        <v>29.2</v>
      </c>
      <c r="AR164">
        <v>1.4</v>
      </c>
      <c r="AS164">
        <v>1.9</v>
      </c>
      <c r="AT164">
        <v>3.2</v>
      </c>
      <c r="AU164">
        <v>6.3E-2</v>
      </c>
      <c r="AV164">
        <v>-0.1</v>
      </c>
      <c r="AW164">
        <v>-1.8</v>
      </c>
      <c r="AX164">
        <v>-1.9</v>
      </c>
      <c r="AY164">
        <v>0.1</v>
      </c>
      <c r="AZ164" s="8">
        <v>0.65000000000000013</v>
      </c>
      <c r="BA164" s="8">
        <v>0.16660690178061771</v>
      </c>
      <c r="BB164" s="3">
        <v>0</v>
      </c>
    </row>
    <row r="165" spans="1:54" x14ac:dyDescent="0.25">
      <c r="A165" t="s">
        <v>485</v>
      </c>
      <c r="B165" s="2">
        <v>694878</v>
      </c>
      <c r="C165" t="s">
        <v>65</v>
      </c>
      <c r="D165">
        <v>25</v>
      </c>
      <c r="E165" t="s">
        <v>53</v>
      </c>
      <c r="F165">
        <v>62</v>
      </c>
      <c r="G165">
        <v>4</v>
      </c>
      <c r="H165">
        <v>19.3</v>
      </c>
      <c r="I165">
        <v>2.4</v>
      </c>
      <c r="J165">
        <v>5.0999999999999996</v>
      </c>
      <c r="K165">
        <v>0.47099999999999997</v>
      </c>
      <c r="L165">
        <v>1.2</v>
      </c>
      <c r="M165">
        <v>3.2</v>
      </c>
      <c r="N165">
        <v>0.36699999999999999</v>
      </c>
      <c r="O165">
        <v>1.2</v>
      </c>
      <c r="P165">
        <v>1.9</v>
      </c>
      <c r="Q165">
        <v>0.65200000000000002</v>
      </c>
      <c r="R165">
        <v>0.58799999999999997</v>
      </c>
      <c r="S165">
        <v>0.7</v>
      </c>
      <c r="T165">
        <v>1</v>
      </c>
      <c r="U165">
        <v>0.76700000000000002</v>
      </c>
      <c r="V165">
        <v>0.9</v>
      </c>
      <c r="W165">
        <v>2.6</v>
      </c>
      <c r="X165">
        <v>3.5</v>
      </c>
      <c r="Y165">
        <v>1.5</v>
      </c>
      <c r="Z165">
        <v>0.5</v>
      </c>
      <c r="AA165">
        <v>0.3</v>
      </c>
      <c r="AB165">
        <v>0.9</v>
      </c>
      <c r="AC165">
        <v>2.2000000000000002</v>
      </c>
      <c r="AD165">
        <v>6.7</v>
      </c>
      <c r="AE165">
        <v>1195</v>
      </c>
      <c r="AF165">
        <v>10.9</v>
      </c>
      <c r="AG165">
        <v>0.61</v>
      </c>
      <c r="AH165">
        <v>0.63400000000000001</v>
      </c>
      <c r="AI165">
        <v>0.191</v>
      </c>
      <c r="AJ165">
        <v>5.3</v>
      </c>
      <c r="AK165">
        <v>14.4</v>
      </c>
      <c r="AL165">
        <v>9.9</v>
      </c>
      <c r="AM165">
        <v>10.5</v>
      </c>
      <c r="AN165">
        <v>1.1000000000000001</v>
      </c>
      <c r="AO165">
        <v>1.5</v>
      </c>
      <c r="AP165">
        <v>13.7</v>
      </c>
      <c r="AQ165">
        <v>13.8</v>
      </c>
      <c r="AR165">
        <v>1.2</v>
      </c>
      <c r="AS165">
        <v>1.2</v>
      </c>
      <c r="AT165">
        <v>2.4</v>
      </c>
      <c r="AU165">
        <v>9.6000000000000002E-2</v>
      </c>
      <c r="AV165">
        <v>-1.6</v>
      </c>
      <c r="AW165">
        <v>0.4</v>
      </c>
      <c r="AX165">
        <v>-1.1000000000000001</v>
      </c>
      <c r="AY165">
        <v>0.3</v>
      </c>
      <c r="AZ165" s="8">
        <v>0.64999999999999991</v>
      </c>
      <c r="BA165" s="8">
        <v>0.93541600108220424</v>
      </c>
      <c r="BB165" s="3">
        <v>0</v>
      </c>
    </row>
    <row r="166" spans="1:54" x14ac:dyDescent="0.25">
      <c r="A166" t="s">
        <v>160</v>
      </c>
      <c r="B166" s="2">
        <v>16700000</v>
      </c>
      <c r="C166" t="s">
        <v>52</v>
      </c>
      <c r="D166">
        <v>24</v>
      </c>
      <c r="E166" t="s">
        <v>130</v>
      </c>
      <c r="F166">
        <v>48</v>
      </c>
      <c r="G166">
        <v>15</v>
      </c>
      <c r="H166">
        <v>23.9</v>
      </c>
      <c r="I166">
        <v>4.9000000000000004</v>
      </c>
      <c r="J166">
        <v>9.8000000000000007</v>
      </c>
      <c r="K166">
        <v>0.50600000000000001</v>
      </c>
      <c r="L166">
        <v>1</v>
      </c>
      <c r="M166">
        <v>2.5</v>
      </c>
      <c r="N166">
        <v>0.39300000000000002</v>
      </c>
      <c r="O166">
        <v>3.9</v>
      </c>
      <c r="P166">
        <v>7.2</v>
      </c>
      <c r="Q166">
        <v>0.54600000000000004</v>
      </c>
      <c r="R166">
        <v>0.55800000000000005</v>
      </c>
      <c r="S166">
        <v>3.4</v>
      </c>
      <c r="T166">
        <v>4.0999999999999996</v>
      </c>
      <c r="U166">
        <v>0.81899999999999995</v>
      </c>
      <c r="V166">
        <v>0.8</v>
      </c>
      <c r="W166">
        <v>1.4</v>
      </c>
      <c r="X166">
        <v>2.2000000000000002</v>
      </c>
      <c r="Y166">
        <v>2.9</v>
      </c>
      <c r="Z166">
        <v>0.6</v>
      </c>
      <c r="AA166">
        <v>0.1</v>
      </c>
      <c r="AB166">
        <v>1.8</v>
      </c>
      <c r="AC166">
        <v>2.2999999999999998</v>
      </c>
      <c r="AD166">
        <v>14.3</v>
      </c>
      <c r="AE166">
        <v>1145</v>
      </c>
      <c r="AF166">
        <v>15.9</v>
      </c>
      <c r="AG166">
        <v>0.61599999999999999</v>
      </c>
      <c r="AH166">
        <v>0.26100000000000001</v>
      </c>
      <c r="AI166">
        <v>0.42499999999999999</v>
      </c>
      <c r="AJ166">
        <v>3.5</v>
      </c>
      <c r="AK166">
        <v>6.3</v>
      </c>
      <c r="AL166">
        <v>5</v>
      </c>
      <c r="AM166">
        <v>17.899999999999999</v>
      </c>
      <c r="AN166">
        <v>1.1000000000000001</v>
      </c>
      <c r="AO166">
        <v>0.4</v>
      </c>
      <c r="AP166">
        <v>13.3</v>
      </c>
      <c r="AQ166">
        <v>23.4</v>
      </c>
      <c r="AR166">
        <v>2</v>
      </c>
      <c r="AS166">
        <v>0.5</v>
      </c>
      <c r="AT166">
        <v>2.5</v>
      </c>
      <c r="AU166">
        <v>0.105</v>
      </c>
      <c r="AV166">
        <v>0.1</v>
      </c>
      <c r="AW166">
        <v>-1.5</v>
      </c>
      <c r="AX166">
        <v>-1.3</v>
      </c>
      <c r="AY166">
        <v>0.2</v>
      </c>
      <c r="AZ166" s="8">
        <v>0.6</v>
      </c>
      <c r="BA166" s="8">
        <v>3.5928143712574849E-2</v>
      </c>
      <c r="BB166" s="3">
        <v>0</v>
      </c>
    </row>
    <row r="167" spans="1:54" x14ac:dyDescent="0.25">
      <c r="A167" t="s">
        <v>133</v>
      </c>
      <c r="B167" s="2">
        <v>21486316</v>
      </c>
      <c r="C167" t="s">
        <v>62</v>
      </c>
      <c r="D167">
        <v>28</v>
      </c>
      <c r="E167" t="s">
        <v>118</v>
      </c>
      <c r="F167">
        <v>63</v>
      </c>
      <c r="G167">
        <v>63</v>
      </c>
      <c r="H167">
        <v>35.299999999999997</v>
      </c>
      <c r="I167">
        <v>7.8</v>
      </c>
      <c r="J167">
        <v>18.899999999999999</v>
      </c>
      <c r="K167">
        <v>0.41499999999999998</v>
      </c>
      <c r="L167">
        <v>2.6</v>
      </c>
      <c r="M167">
        <v>8</v>
      </c>
      <c r="N167">
        <v>0.32700000000000001</v>
      </c>
      <c r="O167">
        <v>5.2</v>
      </c>
      <c r="P167">
        <v>10.8</v>
      </c>
      <c r="Q167">
        <v>0.48</v>
      </c>
      <c r="R167">
        <v>0.48399999999999999</v>
      </c>
      <c r="S167">
        <v>2.8</v>
      </c>
      <c r="T167">
        <v>3.5</v>
      </c>
      <c r="U167">
        <v>0.80900000000000005</v>
      </c>
      <c r="V167">
        <v>0.8</v>
      </c>
      <c r="W167">
        <v>3.3</v>
      </c>
      <c r="X167">
        <v>4.0999999999999996</v>
      </c>
      <c r="Y167">
        <v>5.0999999999999996</v>
      </c>
      <c r="Z167">
        <v>1.2</v>
      </c>
      <c r="AA167">
        <v>0.3</v>
      </c>
      <c r="AB167">
        <v>2.1</v>
      </c>
      <c r="AC167">
        <v>1.9</v>
      </c>
      <c r="AD167">
        <v>21.1</v>
      </c>
      <c r="AE167">
        <v>2221</v>
      </c>
      <c r="AF167">
        <v>14.7</v>
      </c>
      <c r="AG167">
        <v>0.51700000000000002</v>
      </c>
      <c r="AH167">
        <v>0.42499999999999999</v>
      </c>
      <c r="AI167">
        <v>0.185</v>
      </c>
      <c r="AJ167">
        <v>2.4</v>
      </c>
      <c r="AK167">
        <v>10.199999999999999</v>
      </c>
      <c r="AL167">
        <v>6.2</v>
      </c>
      <c r="AM167">
        <v>22.7</v>
      </c>
      <c r="AN167">
        <v>1.6</v>
      </c>
      <c r="AO167">
        <v>0.6</v>
      </c>
      <c r="AP167">
        <v>9.4</v>
      </c>
      <c r="AQ167">
        <v>26.9</v>
      </c>
      <c r="AR167">
        <v>0.1</v>
      </c>
      <c r="AS167">
        <v>1.6</v>
      </c>
      <c r="AT167">
        <v>1.7</v>
      </c>
      <c r="AU167">
        <v>3.6999999999999998E-2</v>
      </c>
      <c r="AV167">
        <v>0.6</v>
      </c>
      <c r="AW167">
        <v>-1.1000000000000001</v>
      </c>
      <c r="AX167">
        <v>-0.6</v>
      </c>
      <c r="AY167">
        <v>0.8</v>
      </c>
      <c r="AZ167" s="8">
        <v>0.55000000000000004</v>
      </c>
      <c r="BA167" s="8">
        <v>2.5597687383914488E-2</v>
      </c>
      <c r="BB167" s="3">
        <v>0</v>
      </c>
    </row>
    <row r="168" spans="1:54" x14ac:dyDescent="0.25">
      <c r="A168" t="s">
        <v>323</v>
      </c>
      <c r="B168" s="2">
        <v>3465000</v>
      </c>
      <c r="C168" t="s">
        <v>28</v>
      </c>
      <c r="D168">
        <v>29</v>
      </c>
      <c r="E168" t="s">
        <v>82</v>
      </c>
      <c r="F168">
        <v>78</v>
      </c>
      <c r="G168">
        <v>1</v>
      </c>
      <c r="H168">
        <v>19.399999999999999</v>
      </c>
      <c r="I168">
        <v>2.8</v>
      </c>
      <c r="J168">
        <v>6.4</v>
      </c>
      <c r="K168">
        <v>0.442</v>
      </c>
      <c r="L168">
        <v>2</v>
      </c>
      <c r="M168">
        <v>4.9000000000000004</v>
      </c>
      <c r="N168">
        <v>0.40100000000000002</v>
      </c>
      <c r="O168">
        <v>0.9</v>
      </c>
      <c r="P168">
        <v>1.5</v>
      </c>
      <c r="Q168">
        <v>0.57599999999999996</v>
      </c>
      <c r="R168">
        <v>0.59599999999999997</v>
      </c>
      <c r="S168">
        <v>0.5</v>
      </c>
      <c r="T168">
        <v>0.6</v>
      </c>
      <c r="U168">
        <v>0.86699999999999999</v>
      </c>
      <c r="V168">
        <v>0.2</v>
      </c>
      <c r="W168">
        <v>2.1</v>
      </c>
      <c r="X168">
        <v>2.4</v>
      </c>
      <c r="Y168">
        <v>1</v>
      </c>
      <c r="Z168">
        <v>0.4</v>
      </c>
      <c r="AA168">
        <v>0.2</v>
      </c>
      <c r="AB168">
        <v>0.7</v>
      </c>
      <c r="AC168">
        <v>1.9</v>
      </c>
      <c r="AD168">
        <v>8.1999999999999993</v>
      </c>
      <c r="AE168">
        <v>1512</v>
      </c>
      <c r="AF168">
        <v>10.9</v>
      </c>
      <c r="AG168">
        <v>0.61</v>
      </c>
      <c r="AH168">
        <v>0.76500000000000001</v>
      </c>
      <c r="AI168">
        <v>0.09</v>
      </c>
      <c r="AJ168">
        <v>1.5</v>
      </c>
      <c r="AK168">
        <v>12.8</v>
      </c>
      <c r="AL168">
        <v>7.2</v>
      </c>
      <c r="AM168">
        <v>7.3</v>
      </c>
      <c r="AN168">
        <v>1</v>
      </c>
      <c r="AO168">
        <v>0.9</v>
      </c>
      <c r="AP168">
        <v>9.4</v>
      </c>
      <c r="AQ168">
        <v>17</v>
      </c>
      <c r="AR168">
        <v>1.1000000000000001</v>
      </c>
      <c r="AS168">
        <v>1.4</v>
      </c>
      <c r="AT168">
        <v>2.5</v>
      </c>
      <c r="AU168">
        <v>7.8E-2</v>
      </c>
      <c r="AV168">
        <v>-0.4</v>
      </c>
      <c r="AW168">
        <v>-1</v>
      </c>
      <c r="AX168">
        <v>-1.4</v>
      </c>
      <c r="AY168">
        <v>0.2</v>
      </c>
      <c r="AZ168" s="8">
        <v>0.55000000000000004</v>
      </c>
      <c r="BA168" s="8">
        <v>0.15873015873015872</v>
      </c>
      <c r="BB168" s="3">
        <v>0</v>
      </c>
    </row>
    <row r="169" spans="1:54" x14ac:dyDescent="0.25">
      <c r="A169" t="s">
        <v>327</v>
      </c>
      <c r="B169" s="2">
        <v>3359160</v>
      </c>
      <c r="C169" t="s">
        <v>28</v>
      </c>
      <c r="D169">
        <v>21</v>
      </c>
      <c r="E169" t="s">
        <v>213</v>
      </c>
      <c r="F169">
        <v>82</v>
      </c>
      <c r="G169">
        <v>5</v>
      </c>
      <c r="H169">
        <v>21.5</v>
      </c>
      <c r="I169">
        <v>3.6</v>
      </c>
      <c r="J169">
        <v>8</v>
      </c>
      <c r="K169">
        <v>0.44800000000000001</v>
      </c>
      <c r="L169">
        <v>0.7</v>
      </c>
      <c r="M169">
        <v>2.1</v>
      </c>
      <c r="N169">
        <v>0.34300000000000003</v>
      </c>
      <c r="O169">
        <v>2.9</v>
      </c>
      <c r="P169">
        <v>6</v>
      </c>
      <c r="Q169">
        <v>0.48599999999999999</v>
      </c>
      <c r="R169">
        <v>0.49299999999999999</v>
      </c>
      <c r="S169">
        <v>1.3</v>
      </c>
      <c r="T169">
        <v>1.8</v>
      </c>
      <c r="U169">
        <v>0.752</v>
      </c>
      <c r="V169">
        <v>2.4</v>
      </c>
      <c r="W169">
        <v>3.7</v>
      </c>
      <c r="X169">
        <v>6</v>
      </c>
      <c r="Y169">
        <v>1.1000000000000001</v>
      </c>
      <c r="Z169">
        <v>1.2</v>
      </c>
      <c r="AA169">
        <v>0.6</v>
      </c>
      <c r="AB169">
        <v>1.2</v>
      </c>
      <c r="AC169">
        <v>2.2999999999999998</v>
      </c>
      <c r="AD169">
        <v>9.3000000000000007</v>
      </c>
      <c r="AE169">
        <v>1767</v>
      </c>
      <c r="AF169">
        <v>15.2</v>
      </c>
      <c r="AG169">
        <v>0.52500000000000002</v>
      </c>
      <c r="AH169">
        <v>0.26100000000000001</v>
      </c>
      <c r="AI169">
        <v>0.22</v>
      </c>
      <c r="AJ169">
        <v>12</v>
      </c>
      <c r="AK169">
        <v>18.899999999999999</v>
      </c>
      <c r="AL169">
        <v>15.4</v>
      </c>
      <c r="AM169">
        <v>7.4</v>
      </c>
      <c r="AN169">
        <v>2.6</v>
      </c>
      <c r="AO169">
        <v>2.6</v>
      </c>
      <c r="AP169">
        <v>12.2</v>
      </c>
      <c r="AQ169">
        <v>19.3</v>
      </c>
      <c r="AR169">
        <v>0.9</v>
      </c>
      <c r="AS169">
        <v>1.7</v>
      </c>
      <c r="AT169">
        <v>2.6</v>
      </c>
      <c r="AU169">
        <v>7.0000000000000007E-2</v>
      </c>
      <c r="AV169">
        <v>-1.3</v>
      </c>
      <c r="AW169">
        <v>-0.4</v>
      </c>
      <c r="AX169">
        <v>-1.7</v>
      </c>
      <c r="AY169">
        <v>0.1</v>
      </c>
      <c r="AZ169" s="8">
        <v>0.45000000000000007</v>
      </c>
      <c r="BA169" s="8">
        <v>0.13396206194405746</v>
      </c>
      <c r="BB169" s="3">
        <v>0</v>
      </c>
    </row>
    <row r="170" spans="1:54" x14ac:dyDescent="0.25">
      <c r="A170" t="s">
        <v>392</v>
      </c>
      <c r="B170" s="2">
        <v>2133278</v>
      </c>
      <c r="C170" t="s">
        <v>62</v>
      </c>
      <c r="D170">
        <v>30</v>
      </c>
      <c r="E170" t="s">
        <v>60</v>
      </c>
      <c r="F170">
        <v>74</v>
      </c>
      <c r="G170">
        <v>5</v>
      </c>
      <c r="H170">
        <v>20.399999999999999</v>
      </c>
      <c r="I170">
        <v>2.7</v>
      </c>
      <c r="J170">
        <v>6.1</v>
      </c>
      <c r="K170">
        <v>0.442</v>
      </c>
      <c r="L170">
        <v>1.5</v>
      </c>
      <c r="M170">
        <v>3.3</v>
      </c>
      <c r="N170">
        <v>0.44500000000000001</v>
      </c>
      <c r="O170">
        <v>1.2</v>
      </c>
      <c r="P170">
        <v>2.8</v>
      </c>
      <c r="Q170">
        <v>0.439</v>
      </c>
      <c r="R170">
        <v>0.56399999999999995</v>
      </c>
      <c r="S170">
        <v>1.3</v>
      </c>
      <c r="T170">
        <v>1.4</v>
      </c>
      <c r="U170">
        <v>0.90400000000000003</v>
      </c>
      <c r="V170">
        <v>0.5</v>
      </c>
      <c r="W170">
        <v>2.5</v>
      </c>
      <c r="X170">
        <v>3</v>
      </c>
      <c r="Y170">
        <v>1.3</v>
      </c>
      <c r="Z170">
        <v>0.4</v>
      </c>
      <c r="AA170">
        <v>0.1</v>
      </c>
      <c r="AB170">
        <v>1.1000000000000001</v>
      </c>
      <c r="AC170">
        <v>1.6</v>
      </c>
      <c r="AD170">
        <v>8.1999999999999993</v>
      </c>
      <c r="AE170">
        <v>1506</v>
      </c>
      <c r="AF170">
        <v>10.7</v>
      </c>
      <c r="AG170">
        <v>0.60699999999999998</v>
      </c>
      <c r="AH170">
        <v>0.54600000000000004</v>
      </c>
      <c r="AI170">
        <v>0.23</v>
      </c>
      <c r="AJ170">
        <v>2.8</v>
      </c>
      <c r="AK170">
        <v>14</v>
      </c>
      <c r="AL170">
        <v>8.3000000000000007</v>
      </c>
      <c r="AM170">
        <v>8.9</v>
      </c>
      <c r="AN170">
        <v>1</v>
      </c>
      <c r="AO170">
        <v>0.4</v>
      </c>
      <c r="AP170">
        <v>13.5</v>
      </c>
      <c r="AQ170">
        <v>16.3</v>
      </c>
      <c r="AR170">
        <v>1.1000000000000001</v>
      </c>
      <c r="AS170">
        <v>1.4</v>
      </c>
      <c r="AT170">
        <v>2.6</v>
      </c>
      <c r="AU170">
        <v>8.1000000000000003E-2</v>
      </c>
      <c r="AV170">
        <v>-1.3</v>
      </c>
      <c r="AW170">
        <v>-0.4</v>
      </c>
      <c r="AX170">
        <v>-1.7</v>
      </c>
      <c r="AY170">
        <v>0.1</v>
      </c>
      <c r="AZ170" s="8">
        <v>0.45000000000000007</v>
      </c>
      <c r="BA170" s="8">
        <v>0.21094297133331899</v>
      </c>
      <c r="BB170" s="3">
        <v>0</v>
      </c>
    </row>
    <row r="171" spans="1:54" x14ac:dyDescent="0.25">
      <c r="A171" t="s">
        <v>194</v>
      </c>
      <c r="B171" s="2">
        <v>11055120</v>
      </c>
      <c r="C171" t="s">
        <v>28</v>
      </c>
      <c r="D171">
        <v>20</v>
      </c>
      <c r="E171" t="s">
        <v>152</v>
      </c>
      <c r="F171">
        <v>72</v>
      </c>
      <c r="G171">
        <v>72</v>
      </c>
      <c r="H171">
        <v>33.799999999999997</v>
      </c>
      <c r="I171">
        <v>6.7</v>
      </c>
      <c r="J171">
        <v>15.6</v>
      </c>
      <c r="K171">
        <v>0.42699999999999999</v>
      </c>
      <c r="L171">
        <v>1.2</v>
      </c>
      <c r="M171">
        <v>4</v>
      </c>
      <c r="N171">
        <v>0.29799999999999999</v>
      </c>
      <c r="O171">
        <v>5.5</v>
      </c>
      <c r="P171">
        <v>11.6</v>
      </c>
      <c r="Q171">
        <v>0.47099999999999997</v>
      </c>
      <c r="R171">
        <v>0.46500000000000002</v>
      </c>
      <c r="S171">
        <v>5.5</v>
      </c>
      <c r="T171">
        <v>7.4</v>
      </c>
      <c r="U171">
        <v>0.73799999999999999</v>
      </c>
      <c r="V171">
        <v>1.2</v>
      </c>
      <c r="W171">
        <v>5.7</v>
      </c>
      <c r="X171">
        <v>6.9</v>
      </c>
      <c r="Y171">
        <v>3.7</v>
      </c>
      <c r="Z171">
        <v>0.8</v>
      </c>
      <c r="AA171">
        <v>0.5</v>
      </c>
      <c r="AB171">
        <v>2.8</v>
      </c>
      <c r="AC171">
        <v>2.2000000000000002</v>
      </c>
      <c r="AD171">
        <v>20</v>
      </c>
      <c r="AE171">
        <v>2430</v>
      </c>
      <c r="AF171">
        <v>14.9</v>
      </c>
      <c r="AG171">
        <v>0.52900000000000003</v>
      </c>
      <c r="AH171">
        <v>0.254</v>
      </c>
      <c r="AI171">
        <v>0.47599999999999998</v>
      </c>
      <c r="AJ171">
        <v>3.9</v>
      </c>
      <c r="AK171">
        <v>19.3</v>
      </c>
      <c r="AL171">
        <v>11.6</v>
      </c>
      <c r="AM171">
        <v>17.2</v>
      </c>
      <c r="AN171">
        <v>1.2</v>
      </c>
      <c r="AO171">
        <v>1.5</v>
      </c>
      <c r="AP171">
        <v>12.8</v>
      </c>
      <c r="AQ171">
        <v>27.5</v>
      </c>
      <c r="AR171">
        <v>-0.3</v>
      </c>
      <c r="AS171">
        <v>2.6</v>
      </c>
      <c r="AT171">
        <v>2.4</v>
      </c>
      <c r="AU171">
        <v>4.7E-2</v>
      </c>
      <c r="AV171">
        <v>-0.7</v>
      </c>
      <c r="AW171">
        <v>-0.7</v>
      </c>
      <c r="AX171">
        <v>-1.5</v>
      </c>
      <c r="AY171">
        <v>0.3</v>
      </c>
      <c r="AZ171" s="8">
        <v>0.44999999999999996</v>
      </c>
      <c r="BA171" s="8">
        <v>4.0705121246987816E-2</v>
      </c>
      <c r="BB171" s="3">
        <v>0</v>
      </c>
    </row>
    <row r="172" spans="1:54" x14ac:dyDescent="0.25">
      <c r="A172" t="s">
        <v>404</v>
      </c>
      <c r="B172" s="2">
        <v>1997718</v>
      </c>
      <c r="C172" t="s">
        <v>62</v>
      </c>
      <c r="D172">
        <v>26</v>
      </c>
      <c r="E172" t="s">
        <v>82</v>
      </c>
      <c r="F172">
        <v>76</v>
      </c>
      <c r="G172">
        <v>11</v>
      </c>
      <c r="H172">
        <v>20.6</v>
      </c>
      <c r="I172">
        <v>3.2</v>
      </c>
      <c r="J172">
        <v>6.6</v>
      </c>
      <c r="K172">
        <v>0.47899999999999998</v>
      </c>
      <c r="L172">
        <v>0.7</v>
      </c>
      <c r="M172">
        <v>1.9</v>
      </c>
      <c r="N172">
        <v>0.378</v>
      </c>
      <c r="O172">
        <v>2.4</v>
      </c>
      <c r="P172">
        <v>4.7</v>
      </c>
      <c r="Q172">
        <v>0.52100000000000002</v>
      </c>
      <c r="R172">
        <v>0.53500000000000003</v>
      </c>
      <c r="S172">
        <v>1.3</v>
      </c>
      <c r="T172">
        <v>1.5</v>
      </c>
      <c r="U172">
        <v>0.85299999999999998</v>
      </c>
      <c r="V172">
        <v>0.5</v>
      </c>
      <c r="W172">
        <v>2</v>
      </c>
      <c r="X172">
        <v>2.5</v>
      </c>
      <c r="Y172">
        <v>3.2</v>
      </c>
      <c r="Z172">
        <v>0.3</v>
      </c>
      <c r="AA172">
        <v>0.2</v>
      </c>
      <c r="AB172">
        <v>1.2</v>
      </c>
      <c r="AC172">
        <v>1.6</v>
      </c>
      <c r="AD172">
        <v>8.4</v>
      </c>
      <c r="AE172">
        <v>1567</v>
      </c>
      <c r="AF172">
        <v>12.7</v>
      </c>
      <c r="AG172">
        <v>0.57499999999999996</v>
      </c>
      <c r="AH172">
        <v>0.29399999999999998</v>
      </c>
      <c r="AI172">
        <v>0.23100000000000001</v>
      </c>
      <c r="AJ172">
        <v>3</v>
      </c>
      <c r="AK172">
        <v>11.3</v>
      </c>
      <c r="AL172">
        <v>7.2</v>
      </c>
      <c r="AM172">
        <v>22.3</v>
      </c>
      <c r="AN172">
        <v>0.8</v>
      </c>
      <c r="AO172">
        <v>0.8</v>
      </c>
      <c r="AP172">
        <v>14.5</v>
      </c>
      <c r="AQ172">
        <v>18.5</v>
      </c>
      <c r="AR172">
        <v>1.6</v>
      </c>
      <c r="AS172">
        <v>1.2</v>
      </c>
      <c r="AT172">
        <v>2.9</v>
      </c>
      <c r="AU172">
        <v>8.6999999999999994E-2</v>
      </c>
      <c r="AV172">
        <v>-1</v>
      </c>
      <c r="AW172">
        <v>-0.9</v>
      </c>
      <c r="AX172">
        <v>-2</v>
      </c>
      <c r="AY172">
        <v>0</v>
      </c>
      <c r="AZ172" s="8">
        <v>0.44999999999999996</v>
      </c>
      <c r="BA172" s="8">
        <v>0.22525701825783215</v>
      </c>
      <c r="BB172" s="3">
        <v>0</v>
      </c>
    </row>
    <row r="173" spans="1:54" x14ac:dyDescent="0.25">
      <c r="A173" t="s">
        <v>267</v>
      </c>
      <c r="B173" s="2">
        <v>5739840</v>
      </c>
      <c r="C173" t="s">
        <v>28</v>
      </c>
      <c r="D173">
        <v>20</v>
      </c>
      <c r="E173" t="s">
        <v>53</v>
      </c>
      <c r="F173">
        <v>67</v>
      </c>
      <c r="G173">
        <v>16</v>
      </c>
      <c r="H173">
        <v>20.8</v>
      </c>
      <c r="I173">
        <v>3.9</v>
      </c>
      <c r="J173">
        <v>7.4</v>
      </c>
      <c r="K173">
        <v>0.52500000000000002</v>
      </c>
      <c r="L173">
        <v>0.8</v>
      </c>
      <c r="M173">
        <v>2.2000000000000002</v>
      </c>
      <c r="N173">
        <v>0.37</v>
      </c>
      <c r="O173">
        <v>3.1</v>
      </c>
      <c r="P173">
        <v>5.2</v>
      </c>
      <c r="Q173">
        <v>0.59</v>
      </c>
      <c r="R173">
        <v>0.57899999999999996</v>
      </c>
      <c r="S173">
        <v>1.3</v>
      </c>
      <c r="T173">
        <v>2.1</v>
      </c>
      <c r="U173">
        <v>0.65200000000000002</v>
      </c>
      <c r="V173">
        <v>1</v>
      </c>
      <c r="W173">
        <v>2.4</v>
      </c>
      <c r="X173">
        <v>3.4</v>
      </c>
      <c r="Y173">
        <v>1.9</v>
      </c>
      <c r="Z173">
        <v>0.6</v>
      </c>
      <c r="AA173">
        <v>0.5</v>
      </c>
      <c r="AB173">
        <v>1.4</v>
      </c>
      <c r="AC173">
        <v>2.2999999999999998</v>
      </c>
      <c r="AD173">
        <v>9.9</v>
      </c>
      <c r="AE173">
        <v>1394</v>
      </c>
      <c r="AF173">
        <v>13.3</v>
      </c>
      <c r="AG173">
        <v>0.59699999999999998</v>
      </c>
      <c r="AH173">
        <v>0.29399999999999998</v>
      </c>
      <c r="AI173">
        <v>0.27800000000000002</v>
      </c>
      <c r="AJ173">
        <v>5.6</v>
      </c>
      <c r="AK173">
        <v>12.5</v>
      </c>
      <c r="AL173">
        <v>9.1</v>
      </c>
      <c r="AM173">
        <v>12.7</v>
      </c>
      <c r="AN173">
        <v>1.4</v>
      </c>
      <c r="AO173">
        <v>2</v>
      </c>
      <c r="AP173">
        <v>14.6</v>
      </c>
      <c r="AQ173">
        <v>19.600000000000001</v>
      </c>
      <c r="AR173">
        <v>1</v>
      </c>
      <c r="AS173">
        <v>1.4</v>
      </c>
      <c r="AT173">
        <v>2.4</v>
      </c>
      <c r="AU173">
        <v>8.4000000000000005E-2</v>
      </c>
      <c r="AV173">
        <v>-1.7</v>
      </c>
      <c r="AW173">
        <v>-0.1</v>
      </c>
      <c r="AX173">
        <v>-1.7</v>
      </c>
      <c r="AY173">
        <v>0.1</v>
      </c>
      <c r="AZ173" s="8">
        <v>0.35</v>
      </c>
      <c r="BA173" s="8">
        <v>6.0977309472041032E-2</v>
      </c>
      <c r="BB173" s="3">
        <v>0</v>
      </c>
    </row>
    <row r="174" spans="1:54" x14ac:dyDescent="0.25">
      <c r="A174" t="s">
        <v>117</v>
      </c>
      <c r="B174" s="2">
        <v>30075000</v>
      </c>
      <c r="C174" t="s">
        <v>65</v>
      </c>
      <c r="D174">
        <v>32</v>
      </c>
      <c r="E174" t="s">
        <v>118</v>
      </c>
      <c r="F174">
        <v>50</v>
      </c>
      <c r="G174">
        <v>50</v>
      </c>
      <c r="H174">
        <v>31.5</v>
      </c>
      <c r="I174">
        <v>5.5</v>
      </c>
      <c r="J174">
        <v>11.6</v>
      </c>
      <c r="K174">
        <v>0.47499999999999998</v>
      </c>
      <c r="L174">
        <v>1</v>
      </c>
      <c r="M174">
        <v>3.2</v>
      </c>
      <c r="N174">
        <v>0.32500000000000001</v>
      </c>
      <c r="O174">
        <v>4.5</v>
      </c>
      <c r="P174">
        <v>8.4</v>
      </c>
      <c r="Q174">
        <v>0.53200000000000003</v>
      </c>
      <c r="R174">
        <v>0.52</v>
      </c>
      <c r="S174">
        <v>2.6</v>
      </c>
      <c r="T174">
        <v>3.2</v>
      </c>
      <c r="U174">
        <v>0.81100000000000005</v>
      </c>
      <c r="V174">
        <v>0.7</v>
      </c>
      <c r="W174">
        <v>3.6</v>
      </c>
      <c r="X174">
        <v>4.3</v>
      </c>
      <c r="Y174">
        <v>4.0999999999999996</v>
      </c>
      <c r="Z174">
        <v>0.8</v>
      </c>
      <c r="AA174">
        <v>0.2</v>
      </c>
      <c r="AB174">
        <v>2</v>
      </c>
      <c r="AC174">
        <v>1.4</v>
      </c>
      <c r="AD174">
        <v>14.7</v>
      </c>
      <c r="AE174">
        <v>1577</v>
      </c>
      <c r="AF174">
        <v>13.5</v>
      </c>
      <c r="AG174">
        <v>0.56299999999999994</v>
      </c>
      <c r="AH174">
        <v>0.27500000000000002</v>
      </c>
      <c r="AI174">
        <v>0.27400000000000002</v>
      </c>
      <c r="AJ174">
        <v>2.2000000000000002</v>
      </c>
      <c r="AK174">
        <v>12.6</v>
      </c>
      <c r="AL174">
        <v>7.3</v>
      </c>
      <c r="AM174">
        <v>19.3</v>
      </c>
      <c r="AN174">
        <v>1.3</v>
      </c>
      <c r="AO174">
        <v>0.7</v>
      </c>
      <c r="AP174">
        <v>13.2</v>
      </c>
      <c r="AQ174">
        <v>20</v>
      </c>
      <c r="AR174">
        <v>0.8</v>
      </c>
      <c r="AS174">
        <v>1.1000000000000001</v>
      </c>
      <c r="AT174">
        <v>2</v>
      </c>
      <c r="AU174">
        <v>5.8999999999999997E-2</v>
      </c>
      <c r="AV174">
        <v>-1.1000000000000001</v>
      </c>
      <c r="AW174">
        <v>-0.3</v>
      </c>
      <c r="AX174">
        <v>-1.4</v>
      </c>
      <c r="AY174">
        <v>0.2</v>
      </c>
      <c r="AZ174" s="8">
        <v>0.30000000000000004</v>
      </c>
      <c r="BA174" s="8">
        <v>9.9750623441396524E-3</v>
      </c>
      <c r="BB174" s="3">
        <v>0</v>
      </c>
    </row>
    <row r="175" spans="1:54" x14ac:dyDescent="0.25">
      <c r="A175" t="s">
        <v>186</v>
      </c>
      <c r="B175" s="2">
        <v>12196094</v>
      </c>
      <c r="C175" t="s">
        <v>62</v>
      </c>
      <c r="D175">
        <v>29</v>
      </c>
      <c r="E175" t="s">
        <v>175</v>
      </c>
      <c r="F175">
        <v>65</v>
      </c>
      <c r="G175">
        <v>10</v>
      </c>
      <c r="H175">
        <v>23.5</v>
      </c>
      <c r="I175">
        <v>3.7</v>
      </c>
      <c r="J175">
        <v>8.5</v>
      </c>
      <c r="K175">
        <v>0.43099999999999999</v>
      </c>
      <c r="L175">
        <v>1.6</v>
      </c>
      <c r="M175">
        <v>4.5</v>
      </c>
      <c r="N175">
        <v>0.36499999999999999</v>
      </c>
      <c r="O175">
        <v>2</v>
      </c>
      <c r="P175">
        <v>4</v>
      </c>
      <c r="Q175">
        <v>0.50600000000000001</v>
      </c>
      <c r="R175">
        <v>0.52800000000000002</v>
      </c>
      <c r="S175">
        <v>1.1000000000000001</v>
      </c>
      <c r="T175">
        <v>1.2</v>
      </c>
      <c r="U175">
        <v>0.85199999999999998</v>
      </c>
      <c r="V175">
        <v>0.6</v>
      </c>
      <c r="W175">
        <v>2.1</v>
      </c>
      <c r="X175">
        <v>2.7</v>
      </c>
      <c r="Y175">
        <v>2.7</v>
      </c>
      <c r="Z175">
        <v>1.1000000000000001</v>
      </c>
      <c r="AA175">
        <v>0.3</v>
      </c>
      <c r="AB175">
        <v>1.3</v>
      </c>
      <c r="AC175">
        <v>1.8</v>
      </c>
      <c r="AD175">
        <v>10.1</v>
      </c>
      <c r="AE175">
        <v>1530</v>
      </c>
      <c r="AF175">
        <v>12.3</v>
      </c>
      <c r="AG175">
        <v>0.55500000000000005</v>
      </c>
      <c r="AH175">
        <v>0.52900000000000003</v>
      </c>
      <c r="AI175">
        <v>0.14599999999999999</v>
      </c>
      <c r="AJ175">
        <v>2.9</v>
      </c>
      <c r="AK175">
        <v>9.9</v>
      </c>
      <c r="AL175">
        <v>6.3</v>
      </c>
      <c r="AM175">
        <v>15.8</v>
      </c>
      <c r="AN175">
        <v>2.2000000000000002</v>
      </c>
      <c r="AO175">
        <v>1.2</v>
      </c>
      <c r="AP175">
        <v>12.7</v>
      </c>
      <c r="AQ175">
        <v>18.399999999999999</v>
      </c>
      <c r="AR175">
        <v>0.6</v>
      </c>
      <c r="AS175">
        <v>1.1000000000000001</v>
      </c>
      <c r="AT175">
        <v>1.8</v>
      </c>
      <c r="AU175">
        <v>5.5E-2</v>
      </c>
      <c r="AV175">
        <v>-1</v>
      </c>
      <c r="AW175">
        <v>-0.1</v>
      </c>
      <c r="AX175">
        <v>-1.2</v>
      </c>
      <c r="AY175">
        <v>0.3</v>
      </c>
      <c r="AZ175" s="8">
        <v>0.30000000000000004</v>
      </c>
      <c r="BA175" s="8">
        <v>2.4598039339480335E-2</v>
      </c>
      <c r="BB175" s="3">
        <v>0</v>
      </c>
    </row>
    <row r="176" spans="1:54" x14ac:dyDescent="0.25">
      <c r="A176" t="s">
        <v>416</v>
      </c>
      <c r="B176" s="2">
        <v>1930681</v>
      </c>
      <c r="C176" t="s">
        <v>65</v>
      </c>
      <c r="D176">
        <v>25</v>
      </c>
      <c r="E176" t="s">
        <v>118</v>
      </c>
      <c r="F176">
        <v>80</v>
      </c>
      <c r="G176">
        <v>24</v>
      </c>
      <c r="H176">
        <v>23.9</v>
      </c>
      <c r="I176">
        <v>3.5</v>
      </c>
      <c r="J176">
        <v>7.7</v>
      </c>
      <c r="K176">
        <v>0.45500000000000002</v>
      </c>
      <c r="L176">
        <v>1</v>
      </c>
      <c r="M176">
        <v>2.9</v>
      </c>
      <c r="N176">
        <v>0.33200000000000002</v>
      </c>
      <c r="O176">
        <v>2.6</v>
      </c>
      <c r="P176">
        <v>4.8</v>
      </c>
      <c r="Q176">
        <v>0.53</v>
      </c>
      <c r="R176">
        <v>0.51800000000000002</v>
      </c>
      <c r="S176">
        <v>1.5</v>
      </c>
      <c r="T176">
        <v>1.7</v>
      </c>
      <c r="U176">
        <v>0.84099999999999997</v>
      </c>
      <c r="V176">
        <v>0.8</v>
      </c>
      <c r="W176">
        <v>3.5</v>
      </c>
      <c r="X176">
        <v>4.3</v>
      </c>
      <c r="Y176">
        <v>1.6</v>
      </c>
      <c r="Z176">
        <v>1</v>
      </c>
      <c r="AA176">
        <v>0.4</v>
      </c>
      <c r="AB176">
        <v>1.2</v>
      </c>
      <c r="AC176">
        <v>2.6</v>
      </c>
      <c r="AD176">
        <v>9.4</v>
      </c>
      <c r="AE176">
        <v>1913</v>
      </c>
      <c r="AF176">
        <v>11.8</v>
      </c>
      <c r="AG176">
        <v>0.55700000000000005</v>
      </c>
      <c r="AH176">
        <v>0.376</v>
      </c>
      <c r="AI176">
        <v>0.224</v>
      </c>
      <c r="AJ176">
        <v>3.6</v>
      </c>
      <c r="AK176">
        <v>16.3</v>
      </c>
      <c r="AL176">
        <v>9.9</v>
      </c>
      <c r="AM176">
        <v>9.6</v>
      </c>
      <c r="AN176">
        <v>2.1</v>
      </c>
      <c r="AO176">
        <v>1.6</v>
      </c>
      <c r="AP176">
        <v>12.1</v>
      </c>
      <c r="AQ176">
        <v>17.2</v>
      </c>
      <c r="AR176">
        <v>0.5</v>
      </c>
      <c r="AS176">
        <v>2.2000000000000002</v>
      </c>
      <c r="AT176">
        <v>2.7</v>
      </c>
      <c r="AU176">
        <v>6.8000000000000005E-2</v>
      </c>
      <c r="AV176">
        <v>-2.7</v>
      </c>
      <c r="AW176">
        <v>0.6</v>
      </c>
      <c r="AX176">
        <v>-2.1</v>
      </c>
      <c r="AY176">
        <v>-0.1</v>
      </c>
      <c r="AZ176" s="8">
        <v>0.30000000000000004</v>
      </c>
      <c r="BA176" s="8">
        <v>0.15538558674374486</v>
      </c>
      <c r="BB176" s="3">
        <v>0</v>
      </c>
    </row>
    <row r="177" spans="1:54" x14ac:dyDescent="0.25">
      <c r="A177" t="s">
        <v>436</v>
      </c>
      <c r="B177" s="2">
        <v>1782621</v>
      </c>
      <c r="C177" t="s">
        <v>65</v>
      </c>
      <c r="D177">
        <v>25</v>
      </c>
      <c r="E177" t="s">
        <v>100</v>
      </c>
      <c r="F177">
        <v>77</v>
      </c>
      <c r="G177">
        <v>21</v>
      </c>
      <c r="H177">
        <v>23.3</v>
      </c>
      <c r="I177">
        <v>3.2</v>
      </c>
      <c r="J177">
        <v>7.4</v>
      </c>
      <c r="K177">
        <v>0.433</v>
      </c>
      <c r="L177">
        <v>0.9</v>
      </c>
      <c r="M177">
        <v>2.8</v>
      </c>
      <c r="N177">
        <v>0.30299999999999999</v>
      </c>
      <c r="O177">
        <v>2.4</v>
      </c>
      <c r="P177">
        <v>4.5999999999999996</v>
      </c>
      <c r="Q177">
        <v>0.51300000000000001</v>
      </c>
      <c r="R177">
        <v>0.49</v>
      </c>
      <c r="S177">
        <v>1.8</v>
      </c>
      <c r="T177">
        <v>2.2999999999999998</v>
      </c>
      <c r="U177">
        <v>0.78900000000000003</v>
      </c>
      <c r="V177">
        <v>0.6</v>
      </c>
      <c r="W177">
        <v>3</v>
      </c>
      <c r="X177">
        <v>3.6</v>
      </c>
      <c r="Y177">
        <v>2.5</v>
      </c>
      <c r="Z177">
        <v>0.7</v>
      </c>
      <c r="AA177">
        <v>0.2</v>
      </c>
      <c r="AB177">
        <v>1.3</v>
      </c>
      <c r="AC177">
        <v>1.5</v>
      </c>
      <c r="AD177">
        <v>9.1</v>
      </c>
      <c r="AE177">
        <v>1792</v>
      </c>
      <c r="AF177">
        <v>11.4</v>
      </c>
      <c r="AG177">
        <v>0.53900000000000003</v>
      </c>
      <c r="AH177">
        <v>0.38200000000000001</v>
      </c>
      <c r="AI177">
        <v>0.30599999999999999</v>
      </c>
      <c r="AJ177">
        <v>3</v>
      </c>
      <c r="AK177">
        <v>14.6</v>
      </c>
      <c r="AL177">
        <v>8.8000000000000007</v>
      </c>
      <c r="AM177">
        <v>14.4</v>
      </c>
      <c r="AN177">
        <v>1.5</v>
      </c>
      <c r="AO177">
        <v>0.7</v>
      </c>
      <c r="AP177">
        <v>13</v>
      </c>
      <c r="AQ177">
        <v>17.8</v>
      </c>
      <c r="AR177">
        <v>0.5</v>
      </c>
      <c r="AS177">
        <v>2</v>
      </c>
      <c r="AT177">
        <v>2.5</v>
      </c>
      <c r="AU177">
        <v>6.8000000000000005E-2</v>
      </c>
      <c r="AV177">
        <v>-1.9</v>
      </c>
      <c r="AW177">
        <v>0</v>
      </c>
      <c r="AX177">
        <v>-1.9</v>
      </c>
      <c r="AY177">
        <v>0.1</v>
      </c>
      <c r="AZ177" s="8">
        <v>0.30000000000000004</v>
      </c>
      <c r="BA177" s="8">
        <v>0.16829152130486516</v>
      </c>
      <c r="BB177" s="3">
        <v>0</v>
      </c>
    </row>
    <row r="178" spans="1:54" x14ac:dyDescent="0.25">
      <c r="A178" t="s">
        <v>456</v>
      </c>
      <c r="B178" s="2">
        <v>1563518</v>
      </c>
      <c r="C178" t="s">
        <v>52</v>
      </c>
      <c r="D178">
        <v>24</v>
      </c>
      <c r="E178" t="s">
        <v>100</v>
      </c>
      <c r="F178">
        <v>61</v>
      </c>
      <c r="G178">
        <v>10</v>
      </c>
      <c r="H178">
        <v>21.5</v>
      </c>
      <c r="I178">
        <v>3.3</v>
      </c>
      <c r="J178">
        <v>8</v>
      </c>
      <c r="K178">
        <v>0.41099999999999998</v>
      </c>
      <c r="L178">
        <v>1.4</v>
      </c>
      <c r="M178">
        <v>4</v>
      </c>
      <c r="N178">
        <v>0.33600000000000002</v>
      </c>
      <c r="O178">
        <v>1.9</v>
      </c>
      <c r="P178">
        <v>4</v>
      </c>
      <c r="Q178">
        <v>0.48799999999999999</v>
      </c>
      <c r="R178">
        <v>0.496</v>
      </c>
      <c r="S178">
        <v>1.1000000000000001</v>
      </c>
      <c r="T178">
        <v>1.3</v>
      </c>
      <c r="U178">
        <v>0.81299999999999994</v>
      </c>
      <c r="V178">
        <v>0.5</v>
      </c>
      <c r="W178">
        <v>1.9</v>
      </c>
      <c r="X178">
        <v>2.2999999999999998</v>
      </c>
      <c r="Y178">
        <v>3</v>
      </c>
      <c r="Z178">
        <v>1.1000000000000001</v>
      </c>
      <c r="AA178">
        <v>0.2</v>
      </c>
      <c r="AB178">
        <v>1.3</v>
      </c>
      <c r="AC178">
        <v>2</v>
      </c>
      <c r="AD178">
        <v>9</v>
      </c>
      <c r="AE178">
        <v>1310</v>
      </c>
      <c r="AF178">
        <v>11.8</v>
      </c>
      <c r="AG178">
        <v>0.52500000000000002</v>
      </c>
      <c r="AH178">
        <v>0.505</v>
      </c>
      <c r="AI178">
        <v>0.16400000000000001</v>
      </c>
      <c r="AJ178">
        <v>2.4</v>
      </c>
      <c r="AK178">
        <v>9.8000000000000007</v>
      </c>
      <c r="AL178">
        <v>6.1</v>
      </c>
      <c r="AM178">
        <v>19.899999999999999</v>
      </c>
      <c r="AN178">
        <v>2.5</v>
      </c>
      <c r="AO178">
        <v>0.7</v>
      </c>
      <c r="AP178">
        <v>13.4</v>
      </c>
      <c r="AQ178">
        <v>19.8</v>
      </c>
      <c r="AR178">
        <v>0.1</v>
      </c>
      <c r="AS178">
        <v>1.7</v>
      </c>
      <c r="AT178">
        <v>1.8</v>
      </c>
      <c r="AU178">
        <v>6.6000000000000003E-2</v>
      </c>
      <c r="AV178">
        <v>-2</v>
      </c>
      <c r="AW178">
        <v>0.7</v>
      </c>
      <c r="AX178">
        <v>-1.2</v>
      </c>
      <c r="AY178">
        <v>0.3</v>
      </c>
      <c r="AZ178" s="8">
        <v>0.30000000000000004</v>
      </c>
      <c r="BA178" s="8">
        <v>0.19187498960677143</v>
      </c>
      <c r="BB178" s="3">
        <v>0</v>
      </c>
    </row>
    <row r="179" spans="1:54" x14ac:dyDescent="0.25">
      <c r="A179" t="s">
        <v>383</v>
      </c>
      <c r="B179" s="2">
        <v>2201520</v>
      </c>
      <c r="C179" t="s">
        <v>52</v>
      </c>
      <c r="D179">
        <v>22</v>
      </c>
      <c r="E179" t="s">
        <v>55</v>
      </c>
      <c r="F179">
        <v>56</v>
      </c>
      <c r="G179">
        <v>1</v>
      </c>
      <c r="H179">
        <v>19.399999999999999</v>
      </c>
      <c r="I179">
        <v>4.0999999999999996</v>
      </c>
      <c r="J179">
        <v>10.199999999999999</v>
      </c>
      <c r="K179">
        <v>0.39900000000000002</v>
      </c>
      <c r="L179">
        <v>2.1</v>
      </c>
      <c r="M179">
        <v>5.6</v>
      </c>
      <c r="N179">
        <v>0.371</v>
      </c>
      <c r="O179">
        <v>2</v>
      </c>
      <c r="P179">
        <v>4.5999999999999996</v>
      </c>
      <c r="Q179">
        <v>0.434</v>
      </c>
      <c r="R179">
        <v>0.502</v>
      </c>
      <c r="S179">
        <v>1.5</v>
      </c>
      <c r="T179">
        <v>1.8</v>
      </c>
      <c r="U179">
        <v>0.84299999999999997</v>
      </c>
      <c r="V179">
        <v>0.4</v>
      </c>
      <c r="W179">
        <v>2.1</v>
      </c>
      <c r="X179">
        <v>2.4</v>
      </c>
      <c r="Y179">
        <v>3.1</v>
      </c>
      <c r="Z179">
        <v>0.7</v>
      </c>
      <c r="AA179">
        <v>0.3</v>
      </c>
      <c r="AB179">
        <v>1.5</v>
      </c>
      <c r="AC179">
        <v>1.7</v>
      </c>
      <c r="AD179">
        <v>11.8</v>
      </c>
      <c r="AE179">
        <v>1085</v>
      </c>
      <c r="AF179">
        <v>14.9</v>
      </c>
      <c r="AG179">
        <v>0.53500000000000003</v>
      </c>
      <c r="AH179">
        <v>0.55200000000000005</v>
      </c>
      <c r="AI179">
        <v>0.17899999999999999</v>
      </c>
      <c r="AJ179">
        <v>2.1</v>
      </c>
      <c r="AK179">
        <v>11.8</v>
      </c>
      <c r="AL179">
        <v>7.1</v>
      </c>
      <c r="AM179">
        <v>23.4</v>
      </c>
      <c r="AN179">
        <v>1.8</v>
      </c>
      <c r="AO179">
        <v>1.2</v>
      </c>
      <c r="AP179">
        <v>11.7</v>
      </c>
      <c r="AQ179">
        <v>28</v>
      </c>
      <c r="AR179">
        <v>0.3</v>
      </c>
      <c r="AS179">
        <v>1.1000000000000001</v>
      </c>
      <c r="AT179">
        <v>1.4</v>
      </c>
      <c r="AU179">
        <v>6.2E-2</v>
      </c>
      <c r="AV179">
        <v>0.4</v>
      </c>
      <c r="AW179">
        <v>-1.2</v>
      </c>
      <c r="AX179">
        <v>-0.8</v>
      </c>
      <c r="AY179">
        <v>0.3</v>
      </c>
      <c r="AZ179" s="8">
        <v>0.29999999999999993</v>
      </c>
      <c r="BA179" s="8">
        <v>0.1362694865365747</v>
      </c>
      <c r="BB179" s="3">
        <v>0</v>
      </c>
    </row>
    <row r="180" spans="1:54" x14ac:dyDescent="0.25">
      <c r="A180" t="s">
        <v>421</v>
      </c>
      <c r="B180" s="2">
        <v>1878720</v>
      </c>
      <c r="C180" t="s">
        <v>75</v>
      </c>
      <c r="D180">
        <v>25</v>
      </c>
      <c r="E180" t="s">
        <v>58</v>
      </c>
      <c r="F180">
        <v>68</v>
      </c>
      <c r="G180">
        <v>2</v>
      </c>
      <c r="H180">
        <v>15.1</v>
      </c>
      <c r="I180">
        <v>2.2999999999999998</v>
      </c>
      <c r="J180">
        <v>3.8</v>
      </c>
      <c r="K180">
        <v>0.59599999999999997</v>
      </c>
      <c r="L180">
        <v>0.1</v>
      </c>
      <c r="M180">
        <v>0.5</v>
      </c>
      <c r="N180">
        <v>0.27800000000000002</v>
      </c>
      <c r="O180">
        <v>2.1</v>
      </c>
      <c r="P180">
        <v>3.3</v>
      </c>
      <c r="Q180">
        <v>0.64700000000000002</v>
      </c>
      <c r="R180">
        <v>0.61499999999999999</v>
      </c>
      <c r="S180">
        <v>0.8</v>
      </c>
      <c r="T180">
        <v>1.2</v>
      </c>
      <c r="U180">
        <v>0.61899999999999999</v>
      </c>
      <c r="V180">
        <v>1.7</v>
      </c>
      <c r="W180">
        <v>2.5</v>
      </c>
      <c r="X180">
        <v>4.2</v>
      </c>
      <c r="Y180">
        <v>0.5</v>
      </c>
      <c r="Z180">
        <v>0.4</v>
      </c>
      <c r="AA180">
        <v>0.5</v>
      </c>
      <c r="AB180">
        <v>0.7</v>
      </c>
      <c r="AC180">
        <v>2.1</v>
      </c>
      <c r="AD180">
        <v>5.5</v>
      </c>
      <c r="AE180">
        <v>1024</v>
      </c>
      <c r="AF180">
        <v>14.4</v>
      </c>
      <c r="AG180">
        <v>0.626</v>
      </c>
      <c r="AH180">
        <v>0.13800000000000001</v>
      </c>
      <c r="AI180">
        <v>0.32300000000000001</v>
      </c>
      <c r="AJ180">
        <v>12.6</v>
      </c>
      <c r="AK180">
        <v>17.2</v>
      </c>
      <c r="AL180">
        <v>15</v>
      </c>
      <c r="AM180">
        <v>4.8</v>
      </c>
      <c r="AN180">
        <v>1.2</v>
      </c>
      <c r="AO180">
        <v>2.9</v>
      </c>
      <c r="AP180">
        <v>13.4</v>
      </c>
      <c r="AQ180">
        <v>14.1</v>
      </c>
      <c r="AR180">
        <v>1.5</v>
      </c>
      <c r="AS180">
        <v>1.3</v>
      </c>
      <c r="AT180">
        <v>2.8</v>
      </c>
      <c r="AU180">
        <v>0.13200000000000001</v>
      </c>
      <c r="AV180">
        <v>-2.2999999999999998</v>
      </c>
      <c r="AW180">
        <v>0.1</v>
      </c>
      <c r="AX180">
        <v>-2.2000000000000002</v>
      </c>
      <c r="AY180">
        <v>-0.1</v>
      </c>
      <c r="AZ180" s="8">
        <v>0.29999999999999982</v>
      </c>
      <c r="BA180" s="8">
        <v>0.15968318855390895</v>
      </c>
      <c r="BB180" s="3">
        <v>0</v>
      </c>
    </row>
    <row r="181" spans="1:54" x14ac:dyDescent="0.25">
      <c r="A181" t="s">
        <v>458</v>
      </c>
      <c r="B181" s="2">
        <v>1563518</v>
      </c>
      <c r="C181" t="s">
        <v>62</v>
      </c>
      <c r="D181">
        <v>24</v>
      </c>
      <c r="E181" t="s">
        <v>109</v>
      </c>
      <c r="F181">
        <v>70</v>
      </c>
      <c r="G181">
        <v>14</v>
      </c>
      <c r="H181">
        <v>18.5</v>
      </c>
      <c r="I181">
        <v>2.7</v>
      </c>
      <c r="J181">
        <v>5.2</v>
      </c>
      <c r="K181">
        <v>0.51200000000000001</v>
      </c>
      <c r="L181">
        <v>0.7</v>
      </c>
      <c r="M181">
        <v>1.7</v>
      </c>
      <c r="N181">
        <v>0.39300000000000002</v>
      </c>
      <c r="O181">
        <v>2</v>
      </c>
      <c r="P181">
        <v>3.4</v>
      </c>
      <c r="Q181">
        <v>0.57299999999999995</v>
      </c>
      <c r="R181">
        <v>0.57899999999999996</v>
      </c>
      <c r="S181">
        <v>0.8</v>
      </c>
      <c r="T181">
        <v>1</v>
      </c>
      <c r="U181">
        <v>0.83099999999999996</v>
      </c>
      <c r="V181">
        <v>1</v>
      </c>
      <c r="W181">
        <v>2</v>
      </c>
      <c r="X181">
        <v>3</v>
      </c>
      <c r="Y181">
        <v>1.1000000000000001</v>
      </c>
      <c r="Z181">
        <v>0.6</v>
      </c>
      <c r="AA181">
        <v>0.2</v>
      </c>
      <c r="AB181">
        <v>0.8</v>
      </c>
      <c r="AC181">
        <v>1.6</v>
      </c>
      <c r="AD181">
        <v>6.8</v>
      </c>
      <c r="AE181">
        <v>1297</v>
      </c>
      <c r="AF181">
        <v>12.2</v>
      </c>
      <c r="AG181">
        <v>0.60699999999999998</v>
      </c>
      <c r="AH181">
        <v>0.33600000000000002</v>
      </c>
      <c r="AI181">
        <v>0.19600000000000001</v>
      </c>
      <c r="AJ181">
        <v>5.5</v>
      </c>
      <c r="AK181">
        <v>12</v>
      </c>
      <c r="AL181">
        <v>8.6999999999999993</v>
      </c>
      <c r="AM181">
        <v>8.3000000000000007</v>
      </c>
      <c r="AN181">
        <v>1.4</v>
      </c>
      <c r="AO181">
        <v>1.1000000000000001</v>
      </c>
      <c r="AP181">
        <v>12.2</v>
      </c>
      <c r="AQ181">
        <v>14.5</v>
      </c>
      <c r="AR181">
        <v>1.4</v>
      </c>
      <c r="AS181">
        <v>1.2</v>
      </c>
      <c r="AT181">
        <v>2.6</v>
      </c>
      <c r="AU181">
        <v>9.7000000000000003E-2</v>
      </c>
      <c r="AV181">
        <v>-1.5</v>
      </c>
      <c r="AW181">
        <v>-0.5</v>
      </c>
      <c r="AX181">
        <v>-2.1</v>
      </c>
      <c r="AY181">
        <v>0</v>
      </c>
      <c r="AZ181" s="8">
        <v>0.25</v>
      </c>
      <c r="BA181" s="8">
        <v>0.15989582467230951</v>
      </c>
      <c r="BB181" s="3">
        <v>0</v>
      </c>
    </row>
    <row r="182" spans="1:54" x14ac:dyDescent="0.25">
      <c r="A182" t="s">
        <v>142</v>
      </c>
      <c r="B182" s="2">
        <v>19568360</v>
      </c>
      <c r="C182" t="s">
        <v>62</v>
      </c>
      <c r="D182">
        <v>34</v>
      </c>
      <c r="E182" t="s">
        <v>55</v>
      </c>
      <c r="F182">
        <v>69</v>
      </c>
      <c r="G182">
        <v>58</v>
      </c>
      <c r="H182">
        <v>28.5</v>
      </c>
      <c r="I182">
        <v>4.2</v>
      </c>
      <c r="J182">
        <v>9.5</v>
      </c>
      <c r="K182">
        <v>0.44600000000000001</v>
      </c>
      <c r="L182">
        <v>1.9</v>
      </c>
      <c r="M182">
        <v>5.2</v>
      </c>
      <c r="N182">
        <v>0.371</v>
      </c>
      <c r="O182">
        <v>2.2999999999999998</v>
      </c>
      <c r="P182">
        <v>4.3</v>
      </c>
      <c r="Q182">
        <v>0.53500000000000003</v>
      </c>
      <c r="R182">
        <v>0.54700000000000004</v>
      </c>
      <c r="S182">
        <v>2.1</v>
      </c>
      <c r="T182">
        <v>2.5</v>
      </c>
      <c r="U182">
        <v>0.82099999999999995</v>
      </c>
      <c r="V182">
        <v>0.2</v>
      </c>
      <c r="W182">
        <v>1.7</v>
      </c>
      <c r="X182">
        <v>1.9</v>
      </c>
      <c r="Y182">
        <v>2.7</v>
      </c>
      <c r="Z182">
        <v>0.6</v>
      </c>
      <c r="AA182">
        <v>0.4</v>
      </c>
      <c r="AB182">
        <v>1.5</v>
      </c>
      <c r="AC182">
        <v>1.1000000000000001</v>
      </c>
      <c r="AD182">
        <v>12.4</v>
      </c>
      <c r="AE182">
        <v>1965</v>
      </c>
      <c r="AF182">
        <v>11.8</v>
      </c>
      <c r="AG182">
        <v>0.58699999999999997</v>
      </c>
      <c r="AH182">
        <v>0.54500000000000004</v>
      </c>
      <c r="AI182">
        <v>0.26500000000000001</v>
      </c>
      <c r="AJ182">
        <v>0.9</v>
      </c>
      <c r="AK182">
        <v>6.7</v>
      </c>
      <c r="AL182">
        <v>3.8</v>
      </c>
      <c r="AM182">
        <v>13.4</v>
      </c>
      <c r="AN182">
        <v>1.1000000000000001</v>
      </c>
      <c r="AO182">
        <v>1.2</v>
      </c>
      <c r="AP182">
        <v>12.5</v>
      </c>
      <c r="AQ182">
        <v>17.8</v>
      </c>
      <c r="AR182">
        <v>1.8</v>
      </c>
      <c r="AS182">
        <v>0.5</v>
      </c>
      <c r="AT182">
        <v>2.2999999999999998</v>
      </c>
      <c r="AU182">
        <v>5.6000000000000001E-2</v>
      </c>
      <c r="AV182">
        <v>-0.5</v>
      </c>
      <c r="AW182">
        <v>-1.4</v>
      </c>
      <c r="AX182">
        <v>-1.9</v>
      </c>
      <c r="AY182">
        <v>0.1</v>
      </c>
      <c r="AZ182" s="8">
        <v>0.19999999999999996</v>
      </c>
      <c r="BA182" s="8">
        <v>1.0220580569858688E-2</v>
      </c>
      <c r="BB182" s="3">
        <v>0</v>
      </c>
    </row>
    <row r="183" spans="1:54" x14ac:dyDescent="0.25">
      <c r="A183" t="s">
        <v>248</v>
      </c>
      <c r="B183" s="2">
        <v>6922320</v>
      </c>
      <c r="C183" t="s">
        <v>62</v>
      </c>
      <c r="D183">
        <v>21</v>
      </c>
      <c r="E183" t="s">
        <v>152</v>
      </c>
      <c r="F183">
        <v>53</v>
      </c>
      <c r="G183">
        <v>19</v>
      </c>
      <c r="H183">
        <v>23.5</v>
      </c>
      <c r="I183">
        <v>3.5</v>
      </c>
      <c r="J183">
        <v>8.4</v>
      </c>
      <c r="K183">
        <v>0.41899999999999998</v>
      </c>
      <c r="L183">
        <v>1.2</v>
      </c>
      <c r="M183">
        <v>3.8</v>
      </c>
      <c r="N183">
        <v>0.32700000000000001</v>
      </c>
      <c r="O183">
        <v>2.2999999999999998</v>
      </c>
      <c r="P183">
        <v>4.5999999999999996</v>
      </c>
      <c r="Q183">
        <v>0.496</v>
      </c>
      <c r="R183">
        <v>0.49299999999999999</v>
      </c>
      <c r="S183">
        <v>1.6</v>
      </c>
      <c r="T183">
        <v>2.2000000000000002</v>
      </c>
      <c r="U183">
        <v>0.72299999999999998</v>
      </c>
      <c r="V183">
        <v>1</v>
      </c>
      <c r="W183">
        <v>2</v>
      </c>
      <c r="X183">
        <v>3</v>
      </c>
      <c r="Y183">
        <v>2.9</v>
      </c>
      <c r="Z183">
        <v>1.3</v>
      </c>
      <c r="AA183">
        <v>0.5</v>
      </c>
      <c r="AB183">
        <v>1.8</v>
      </c>
      <c r="AC183">
        <v>2.2999999999999998</v>
      </c>
      <c r="AD183">
        <v>9.9</v>
      </c>
      <c r="AE183">
        <v>1246</v>
      </c>
      <c r="AF183">
        <v>12.5</v>
      </c>
      <c r="AG183">
        <v>0.52800000000000002</v>
      </c>
      <c r="AH183">
        <v>0.45500000000000002</v>
      </c>
      <c r="AI183">
        <v>0.26800000000000002</v>
      </c>
      <c r="AJ183">
        <v>5</v>
      </c>
      <c r="AK183">
        <v>9.6</v>
      </c>
      <c r="AL183">
        <v>7.3</v>
      </c>
      <c r="AM183">
        <v>18</v>
      </c>
      <c r="AN183">
        <v>2.6</v>
      </c>
      <c r="AO183">
        <v>2.1</v>
      </c>
      <c r="AP183">
        <v>15.9</v>
      </c>
      <c r="AQ183">
        <v>20.3</v>
      </c>
      <c r="AR183">
        <v>-0.2</v>
      </c>
      <c r="AS183">
        <v>1.5</v>
      </c>
      <c r="AT183">
        <v>1.4</v>
      </c>
      <c r="AU183">
        <v>5.2999999999999999E-2</v>
      </c>
      <c r="AV183">
        <v>-1.8</v>
      </c>
      <c r="AW183">
        <v>0.8</v>
      </c>
      <c r="AX183">
        <v>-1</v>
      </c>
      <c r="AY183">
        <v>0.3</v>
      </c>
      <c r="AZ183" s="8">
        <v>0.19999999999999996</v>
      </c>
      <c r="BA183" s="8">
        <v>2.8892047752776519E-2</v>
      </c>
      <c r="BB183" s="3">
        <v>0</v>
      </c>
    </row>
    <row r="184" spans="1:54" x14ac:dyDescent="0.25">
      <c r="A184" t="s">
        <v>451</v>
      </c>
      <c r="B184" s="2">
        <v>1563518</v>
      </c>
      <c r="C184" t="s">
        <v>62</v>
      </c>
      <c r="D184">
        <v>23</v>
      </c>
      <c r="E184" t="s">
        <v>87</v>
      </c>
      <c r="F184">
        <v>80</v>
      </c>
      <c r="G184">
        <v>51</v>
      </c>
      <c r="H184">
        <v>26.2</v>
      </c>
      <c r="I184">
        <v>3.5</v>
      </c>
      <c r="J184">
        <v>7.1</v>
      </c>
      <c r="K184">
        <v>0.49299999999999999</v>
      </c>
      <c r="L184">
        <v>0.7</v>
      </c>
      <c r="M184">
        <v>2.4</v>
      </c>
      <c r="N184">
        <v>0.312</v>
      </c>
      <c r="O184">
        <v>2.8</v>
      </c>
      <c r="P184">
        <v>4.8</v>
      </c>
      <c r="Q184">
        <v>0.58299999999999996</v>
      </c>
      <c r="R184">
        <v>0.54500000000000004</v>
      </c>
      <c r="S184">
        <v>0.8</v>
      </c>
      <c r="T184">
        <v>1</v>
      </c>
      <c r="U184">
        <v>0.80500000000000005</v>
      </c>
      <c r="V184">
        <v>0.6</v>
      </c>
      <c r="W184">
        <v>2.2000000000000002</v>
      </c>
      <c r="X184">
        <v>2.8</v>
      </c>
      <c r="Y184">
        <v>2.6</v>
      </c>
      <c r="Z184">
        <v>0.8</v>
      </c>
      <c r="AA184">
        <v>0.3</v>
      </c>
      <c r="AB184">
        <v>1.2</v>
      </c>
      <c r="AC184">
        <v>2.2999999999999998</v>
      </c>
      <c r="AD184">
        <v>8.6</v>
      </c>
      <c r="AE184">
        <v>2098</v>
      </c>
      <c r="AF184">
        <v>10.199999999999999</v>
      </c>
      <c r="AG184">
        <v>0.56699999999999995</v>
      </c>
      <c r="AH184">
        <v>0.33200000000000002</v>
      </c>
      <c r="AI184">
        <v>0.14399999999999999</v>
      </c>
      <c r="AJ184">
        <v>2.5</v>
      </c>
      <c r="AK184">
        <v>9.3000000000000007</v>
      </c>
      <c r="AL184">
        <v>5.9</v>
      </c>
      <c r="AM184">
        <v>13.2</v>
      </c>
      <c r="AN184">
        <v>1.4</v>
      </c>
      <c r="AO184">
        <v>1.2</v>
      </c>
      <c r="AP184">
        <v>14</v>
      </c>
      <c r="AQ184">
        <v>14.9</v>
      </c>
      <c r="AR184">
        <v>0.7</v>
      </c>
      <c r="AS184">
        <v>2.2000000000000002</v>
      </c>
      <c r="AT184">
        <v>2.9</v>
      </c>
      <c r="AU184">
        <v>6.7000000000000004E-2</v>
      </c>
      <c r="AV184">
        <v>-3</v>
      </c>
      <c r="AW184">
        <v>0.6</v>
      </c>
      <c r="AX184">
        <v>-2.5</v>
      </c>
      <c r="AY184">
        <v>-0.2</v>
      </c>
      <c r="AZ184" s="8">
        <v>0.19999999999999996</v>
      </c>
      <c r="BA184" s="8">
        <v>0.12791665973784755</v>
      </c>
      <c r="BB184" s="3">
        <v>0</v>
      </c>
    </row>
    <row r="185" spans="1:54" x14ac:dyDescent="0.25">
      <c r="A185" t="s">
        <v>178</v>
      </c>
      <c r="B185" s="2">
        <v>13340000</v>
      </c>
      <c r="C185" t="s">
        <v>62</v>
      </c>
      <c r="D185">
        <v>30</v>
      </c>
      <c r="E185" t="s">
        <v>130</v>
      </c>
      <c r="F185">
        <v>61</v>
      </c>
      <c r="G185">
        <v>61</v>
      </c>
      <c r="H185">
        <v>32.6</v>
      </c>
      <c r="I185">
        <v>7.5</v>
      </c>
      <c r="J185">
        <v>16.899999999999999</v>
      </c>
      <c r="K185">
        <v>0.44400000000000001</v>
      </c>
      <c r="L185">
        <v>2.5</v>
      </c>
      <c r="M185">
        <v>7.5</v>
      </c>
      <c r="N185">
        <v>0.33800000000000002</v>
      </c>
      <c r="O185">
        <v>5</v>
      </c>
      <c r="P185">
        <v>9.4</v>
      </c>
      <c r="Q185">
        <v>0.53</v>
      </c>
      <c r="R185">
        <v>0.51900000000000002</v>
      </c>
      <c r="S185">
        <v>3.3</v>
      </c>
      <c r="T185">
        <v>4</v>
      </c>
      <c r="U185">
        <v>0.81599999999999995</v>
      </c>
      <c r="V185">
        <v>1.2</v>
      </c>
      <c r="W185">
        <v>2.9</v>
      </c>
      <c r="X185">
        <v>4</v>
      </c>
      <c r="Y185">
        <v>4.4000000000000004</v>
      </c>
      <c r="Z185">
        <v>0.5</v>
      </c>
      <c r="AA185">
        <v>0.2</v>
      </c>
      <c r="AB185">
        <v>3</v>
      </c>
      <c r="AC185">
        <v>2</v>
      </c>
      <c r="AD185">
        <v>20.8</v>
      </c>
      <c r="AE185">
        <v>1988</v>
      </c>
      <c r="AF185">
        <v>14.7</v>
      </c>
      <c r="AG185">
        <v>0.55800000000000005</v>
      </c>
      <c r="AH185">
        <v>0.44500000000000001</v>
      </c>
      <c r="AI185">
        <v>0.23799999999999999</v>
      </c>
      <c r="AJ185">
        <v>4</v>
      </c>
      <c r="AK185">
        <v>9.3000000000000007</v>
      </c>
      <c r="AL185">
        <v>6.7</v>
      </c>
      <c r="AM185">
        <v>20.9</v>
      </c>
      <c r="AN185">
        <v>0.8</v>
      </c>
      <c r="AO185">
        <v>0.6</v>
      </c>
      <c r="AP185">
        <v>14</v>
      </c>
      <c r="AQ185">
        <v>27.8</v>
      </c>
      <c r="AR185">
        <v>0.9</v>
      </c>
      <c r="AS185">
        <v>0.8</v>
      </c>
      <c r="AT185">
        <v>1.7</v>
      </c>
      <c r="AU185">
        <v>4.2000000000000003E-2</v>
      </c>
      <c r="AV185">
        <v>1</v>
      </c>
      <c r="AW185">
        <v>-2.4</v>
      </c>
      <c r="AX185">
        <v>-1.4</v>
      </c>
      <c r="AY185">
        <v>0.3</v>
      </c>
      <c r="AZ185" s="8">
        <v>0.15000000000000002</v>
      </c>
      <c r="BA185" s="8">
        <v>1.1244377811094455E-2</v>
      </c>
      <c r="BB185" s="3">
        <v>0</v>
      </c>
    </row>
    <row r="186" spans="1:54" x14ac:dyDescent="0.25">
      <c r="A186" t="s">
        <v>278</v>
      </c>
      <c r="B186" s="2">
        <v>5155500</v>
      </c>
      <c r="C186" t="s">
        <v>52</v>
      </c>
      <c r="D186">
        <v>31</v>
      </c>
      <c r="E186" t="s">
        <v>201</v>
      </c>
      <c r="F186">
        <v>62</v>
      </c>
      <c r="G186">
        <v>2</v>
      </c>
      <c r="H186">
        <v>19.8</v>
      </c>
      <c r="I186">
        <v>2.4</v>
      </c>
      <c r="J186">
        <v>5.7</v>
      </c>
      <c r="K186">
        <v>0.42699999999999999</v>
      </c>
      <c r="L186">
        <v>1.1000000000000001</v>
      </c>
      <c r="M186">
        <v>2.9</v>
      </c>
      <c r="N186">
        <v>0.38900000000000001</v>
      </c>
      <c r="O186">
        <v>1.3</v>
      </c>
      <c r="P186">
        <v>2.8</v>
      </c>
      <c r="Q186">
        <v>0.46800000000000003</v>
      </c>
      <c r="R186">
        <v>0.52700000000000002</v>
      </c>
      <c r="S186">
        <v>0.9</v>
      </c>
      <c r="T186">
        <v>1.2</v>
      </c>
      <c r="U186">
        <v>0.79200000000000004</v>
      </c>
      <c r="V186">
        <v>0.3</v>
      </c>
      <c r="W186">
        <v>1.4</v>
      </c>
      <c r="X186">
        <v>1.7</v>
      </c>
      <c r="Y186">
        <v>3.5</v>
      </c>
      <c r="Z186">
        <v>0.5</v>
      </c>
      <c r="AA186">
        <v>0.1</v>
      </c>
      <c r="AB186">
        <v>0.9</v>
      </c>
      <c r="AC186">
        <v>1.4</v>
      </c>
      <c r="AD186">
        <v>6.9</v>
      </c>
      <c r="AE186">
        <v>1227</v>
      </c>
      <c r="AF186">
        <v>12.1</v>
      </c>
      <c r="AG186">
        <v>0.55800000000000005</v>
      </c>
      <c r="AH186">
        <v>0.51300000000000001</v>
      </c>
      <c r="AI186">
        <v>0.20499999999999999</v>
      </c>
      <c r="AJ186">
        <v>1.8</v>
      </c>
      <c r="AK186">
        <v>7.9</v>
      </c>
      <c r="AL186">
        <v>4.8</v>
      </c>
      <c r="AM186">
        <v>25.4</v>
      </c>
      <c r="AN186">
        <v>1.3</v>
      </c>
      <c r="AO186">
        <v>0.6</v>
      </c>
      <c r="AP186">
        <v>12.8</v>
      </c>
      <c r="AQ186">
        <v>15.2</v>
      </c>
      <c r="AR186">
        <v>1.5</v>
      </c>
      <c r="AS186">
        <v>0.3</v>
      </c>
      <c r="AT186">
        <v>1.8</v>
      </c>
      <c r="AU186">
        <v>7.0000000000000007E-2</v>
      </c>
      <c r="AV186">
        <v>-0.7</v>
      </c>
      <c r="AW186">
        <v>-0.8</v>
      </c>
      <c r="AX186">
        <v>-1.5</v>
      </c>
      <c r="AY186">
        <v>0.2</v>
      </c>
      <c r="AZ186" s="8">
        <v>0.15000000000000002</v>
      </c>
      <c r="BA186" s="8">
        <v>2.9095141111434394E-2</v>
      </c>
      <c r="BB186" s="3">
        <v>0</v>
      </c>
    </row>
    <row r="187" spans="1:54" x14ac:dyDescent="0.25">
      <c r="A187" t="s">
        <v>460</v>
      </c>
      <c r="B187" s="2">
        <v>1563518</v>
      </c>
      <c r="C187" t="s">
        <v>28</v>
      </c>
      <c r="D187">
        <v>22</v>
      </c>
      <c r="E187" t="s">
        <v>70</v>
      </c>
      <c r="F187">
        <v>62</v>
      </c>
      <c r="G187">
        <v>12</v>
      </c>
      <c r="H187">
        <v>19.100000000000001</v>
      </c>
      <c r="I187">
        <v>2.9</v>
      </c>
      <c r="J187">
        <v>5.2</v>
      </c>
      <c r="K187">
        <v>0.56000000000000005</v>
      </c>
      <c r="L187">
        <v>0.4</v>
      </c>
      <c r="M187">
        <v>1</v>
      </c>
      <c r="N187">
        <v>0.39100000000000001</v>
      </c>
      <c r="O187">
        <v>2.5</v>
      </c>
      <c r="P187">
        <v>4.2</v>
      </c>
      <c r="Q187">
        <v>0.60199999999999998</v>
      </c>
      <c r="R187">
        <v>0.59899999999999998</v>
      </c>
      <c r="S187">
        <v>1.2</v>
      </c>
      <c r="T187">
        <v>1.6</v>
      </c>
      <c r="U187">
        <v>0.72</v>
      </c>
      <c r="V187">
        <v>0.7</v>
      </c>
      <c r="W187">
        <v>3.2</v>
      </c>
      <c r="X187">
        <v>3.8</v>
      </c>
      <c r="Y187">
        <v>2.1</v>
      </c>
      <c r="Z187">
        <v>0.5</v>
      </c>
      <c r="AA187">
        <v>0.2</v>
      </c>
      <c r="AB187">
        <v>1.1000000000000001</v>
      </c>
      <c r="AC187">
        <v>1.9</v>
      </c>
      <c r="AD187">
        <v>7.4</v>
      </c>
      <c r="AE187">
        <v>1182</v>
      </c>
      <c r="AF187">
        <v>13.6</v>
      </c>
      <c r="AG187">
        <v>0.625</v>
      </c>
      <c r="AH187">
        <v>0.19800000000000001</v>
      </c>
      <c r="AI187">
        <v>0.31</v>
      </c>
      <c r="AJ187">
        <v>4.0999999999999996</v>
      </c>
      <c r="AK187">
        <v>19.2</v>
      </c>
      <c r="AL187">
        <v>11.6</v>
      </c>
      <c r="AM187">
        <v>16</v>
      </c>
      <c r="AN187">
        <v>1.3</v>
      </c>
      <c r="AO187">
        <v>0.9</v>
      </c>
      <c r="AP187">
        <v>16.2</v>
      </c>
      <c r="AQ187">
        <v>16.100000000000001</v>
      </c>
      <c r="AR187">
        <v>1.3</v>
      </c>
      <c r="AS187">
        <v>0.7</v>
      </c>
      <c r="AT187">
        <v>2.1</v>
      </c>
      <c r="AU187">
        <v>8.4000000000000005E-2</v>
      </c>
      <c r="AV187">
        <v>-1.4</v>
      </c>
      <c r="AW187">
        <v>-0.4</v>
      </c>
      <c r="AX187">
        <v>-1.8</v>
      </c>
      <c r="AY187">
        <v>0.1</v>
      </c>
      <c r="AZ187" s="8">
        <v>0.15000000000000002</v>
      </c>
      <c r="BA187" s="8">
        <v>9.5937494803385717E-2</v>
      </c>
      <c r="BB187" s="3">
        <v>0</v>
      </c>
    </row>
    <row r="188" spans="1:54" x14ac:dyDescent="0.25">
      <c r="A188" t="s">
        <v>333</v>
      </c>
      <c r="B188" s="2">
        <v>3098400</v>
      </c>
      <c r="C188" t="s">
        <v>62</v>
      </c>
      <c r="D188">
        <v>22</v>
      </c>
      <c r="E188" t="s">
        <v>73</v>
      </c>
      <c r="F188">
        <v>60</v>
      </c>
      <c r="G188">
        <v>21</v>
      </c>
      <c r="H188">
        <v>25.7</v>
      </c>
      <c r="I188">
        <v>3.4</v>
      </c>
      <c r="J188">
        <v>6.4</v>
      </c>
      <c r="K188">
        <v>0.53700000000000003</v>
      </c>
      <c r="L188">
        <v>1.1000000000000001</v>
      </c>
      <c r="M188">
        <v>2.8</v>
      </c>
      <c r="N188">
        <v>0.40200000000000002</v>
      </c>
      <c r="O188">
        <v>2.2999999999999998</v>
      </c>
      <c r="P188">
        <v>3.6</v>
      </c>
      <c r="Q188">
        <v>0.64300000000000002</v>
      </c>
      <c r="R188">
        <v>0.626</v>
      </c>
      <c r="S188">
        <v>1.1000000000000001</v>
      </c>
      <c r="T188">
        <v>1.6</v>
      </c>
      <c r="U188">
        <v>0.72299999999999998</v>
      </c>
      <c r="V188">
        <v>0.9</v>
      </c>
      <c r="W188">
        <v>2.1</v>
      </c>
      <c r="X188">
        <v>3</v>
      </c>
      <c r="Y188">
        <v>1.7</v>
      </c>
      <c r="Z188">
        <v>0.7</v>
      </c>
      <c r="AA188">
        <v>0.1</v>
      </c>
      <c r="AB188">
        <v>1.2</v>
      </c>
      <c r="AC188">
        <v>2.6</v>
      </c>
      <c r="AD188">
        <v>9.1</v>
      </c>
      <c r="AE188">
        <v>1539</v>
      </c>
      <c r="AF188">
        <v>11.2</v>
      </c>
      <c r="AG188">
        <v>0.64500000000000002</v>
      </c>
      <c r="AH188">
        <v>0.442</v>
      </c>
      <c r="AI188">
        <v>0.246</v>
      </c>
      <c r="AJ188">
        <v>4.0999999999999996</v>
      </c>
      <c r="AK188">
        <v>9.6999999999999993</v>
      </c>
      <c r="AL188">
        <v>6.9</v>
      </c>
      <c r="AM188">
        <v>9.6999999999999993</v>
      </c>
      <c r="AN188">
        <v>1.4</v>
      </c>
      <c r="AO188">
        <v>0.3</v>
      </c>
      <c r="AP188">
        <v>14.5</v>
      </c>
      <c r="AQ188">
        <v>14.6</v>
      </c>
      <c r="AR188">
        <v>1.7</v>
      </c>
      <c r="AS188">
        <v>0.9</v>
      </c>
      <c r="AT188">
        <v>2.6</v>
      </c>
      <c r="AU188">
        <v>8.2000000000000003E-2</v>
      </c>
      <c r="AV188">
        <v>-1.9</v>
      </c>
      <c r="AW188">
        <v>-0.6</v>
      </c>
      <c r="AX188">
        <v>-2.4</v>
      </c>
      <c r="AY188">
        <v>-0.2</v>
      </c>
      <c r="AZ188" s="8">
        <v>0.10000000000000009</v>
      </c>
      <c r="BA188" s="8">
        <v>3.227472243738707E-2</v>
      </c>
      <c r="BB188" s="3">
        <v>0</v>
      </c>
    </row>
    <row r="189" spans="1:54" x14ac:dyDescent="0.25">
      <c r="A189" t="s">
        <v>206</v>
      </c>
      <c r="B189" s="2">
        <v>10012800</v>
      </c>
      <c r="C189" t="s">
        <v>65</v>
      </c>
      <c r="D189">
        <v>31</v>
      </c>
      <c r="E189" t="s">
        <v>73</v>
      </c>
      <c r="F189">
        <v>78</v>
      </c>
      <c r="G189">
        <v>55</v>
      </c>
      <c r="H189">
        <v>30.3</v>
      </c>
      <c r="I189">
        <v>2.5</v>
      </c>
      <c r="J189">
        <v>6</v>
      </c>
      <c r="K189">
        <v>0.40899999999999997</v>
      </c>
      <c r="L189">
        <v>1.9</v>
      </c>
      <c r="M189">
        <v>5.0999999999999996</v>
      </c>
      <c r="N189">
        <v>0.38</v>
      </c>
      <c r="O189">
        <v>0.5</v>
      </c>
      <c r="P189">
        <v>0.9</v>
      </c>
      <c r="Q189">
        <v>0.56200000000000006</v>
      </c>
      <c r="R189">
        <v>0.56899999999999995</v>
      </c>
      <c r="S189">
        <v>0.3</v>
      </c>
      <c r="T189">
        <v>0.5</v>
      </c>
      <c r="U189">
        <v>0.70299999999999996</v>
      </c>
      <c r="V189">
        <v>0.4</v>
      </c>
      <c r="W189">
        <v>3.2</v>
      </c>
      <c r="X189">
        <v>3.6</v>
      </c>
      <c r="Y189">
        <v>1.4</v>
      </c>
      <c r="Z189">
        <v>0.7</v>
      </c>
      <c r="AA189">
        <v>0.2</v>
      </c>
      <c r="AB189">
        <v>0.5</v>
      </c>
      <c r="AC189">
        <v>2.1</v>
      </c>
      <c r="AD189">
        <v>7.2</v>
      </c>
      <c r="AE189">
        <v>2364</v>
      </c>
      <c r="AF189">
        <v>7.7</v>
      </c>
      <c r="AG189">
        <v>0.57699999999999996</v>
      </c>
      <c r="AH189">
        <v>0.84499999999999997</v>
      </c>
      <c r="AI189">
        <v>7.9000000000000001E-2</v>
      </c>
      <c r="AJ189">
        <v>1.6</v>
      </c>
      <c r="AK189">
        <v>12.5</v>
      </c>
      <c r="AL189">
        <v>7</v>
      </c>
      <c r="AM189">
        <v>6.2</v>
      </c>
      <c r="AN189">
        <v>1.1000000000000001</v>
      </c>
      <c r="AO189">
        <v>0.5</v>
      </c>
      <c r="AP189">
        <v>6.9</v>
      </c>
      <c r="AQ189">
        <v>10</v>
      </c>
      <c r="AR189">
        <v>1.3</v>
      </c>
      <c r="AS189">
        <v>1.4</v>
      </c>
      <c r="AT189">
        <v>2.8</v>
      </c>
      <c r="AU189">
        <v>5.6000000000000001E-2</v>
      </c>
      <c r="AV189">
        <v>-2.2999999999999998</v>
      </c>
      <c r="AW189">
        <v>-0.3</v>
      </c>
      <c r="AX189">
        <v>-2.6</v>
      </c>
      <c r="AY189">
        <v>-0.4</v>
      </c>
      <c r="AZ189" s="8">
        <v>9.9999999999999867E-2</v>
      </c>
      <c r="BA189" s="8">
        <v>9.987216363055277E-3</v>
      </c>
      <c r="BB189" s="3">
        <v>0</v>
      </c>
    </row>
    <row r="190" spans="1:54" x14ac:dyDescent="0.25">
      <c r="A190" t="s">
        <v>288</v>
      </c>
      <c r="B190" s="2">
        <v>4670160</v>
      </c>
      <c r="C190" t="s">
        <v>75</v>
      </c>
      <c r="D190">
        <v>22</v>
      </c>
      <c r="E190" t="s">
        <v>93</v>
      </c>
      <c r="F190">
        <v>68</v>
      </c>
      <c r="G190">
        <v>31</v>
      </c>
      <c r="H190">
        <v>18.8</v>
      </c>
      <c r="I190">
        <v>3.6</v>
      </c>
      <c r="J190">
        <v>7.5</v>
      </c>
      <c r="K190">
        <v>0.47599999999999998</v>
      </c>
      <c r="L190">
        <v>0.8</v>
      </c>
      <c r="M190">
        <v>2.8</v>
      </c>
      <c r="N190">
        <v>0.28299999999999997</v>
      </c>
      <c r="O190">
        <v>2.8</v>
      </c>
      <c r="P190">
        <v>4.7</v>
      </c>
      <c r="Q190">
        <v>0.59299999999999997</v>
      </c>
      <c r="R190">
        <v>0.53</v>
      </c>
      <c r="S190">
        <v>1.5</v>
      </c>
      <c r="T190">
        <v>2</v>
      </c>
      <c r="U190">
        <v>0.75900000000000001</v>
      </c>
      <c r="V190">
        <v>1.9</v>
      </c>
      <c r="W190">
        <v>3.9</v>
      </c>
      <c r="X190">
        <v>5.8</v>
      </c>
      <c r="Y190">
        <v>1</v>
      </c>
      <c r="Z190">
        <v>0.3</v>
      </c>
      <c r="AA190">
        <v>0.9</v>
      </c>
      <c r="AB190">
        <v>1.1000000000000001</v>
      </c>
      <c r="AC190">
        <v>2.2999999999999998</v>
      </c>
      <c r="AD190">
        <v>9.4</v>
      </c>
      <c r="AE190">
        <v>1279</v>
      </c>
      <c r="AF190">
        <v>15.9</v>
      </c>
      <c r="AG190">
        <v>0.56499999999999995</v>
      </c>
      <c r="AH190">
        <v>0.376</v>
      </c>
      <c r="AI190">
        <v>0.27</v>
      </c>
      <c r="AJ190">
        <v>11.2</v>
      </c>
      <c r="AK190">
        <v>22.9</v>
      </c>
      <c r="AL190">
        <v>17.100000000000001</v>
      </c>
      <c r="AM190">
        <v>7.6</v>
      </c>
      <c r="AN190">
        <v>0.8</v>
      </c>
      <c r="AO190">
        <v>4</v>
      </c>
      <c r="AP190">
        <v>11.2</v>
      </c>
      <c r="AQ190">
        <v>21</v>
      </c>
      <c r="AR190">
        <v>1.1000000000000001</v>
      </c>
      <c r="AS190">
        <v>1.1000000000000001</v>
      </c>
      <c r="AT190">
        <v>2.2999999999999998</v>
      </c>
      <c r="AU190">
        <v>8.5000000000000006E-2</v>
      </c>
      <c r="AV190">
        <v>-0.9</v>
      </c>
      <c r="AW190">
        <v>-1.1000000000000001</v>
      </c>
      <c r="AX190">
        <v>-2.1</v>
      </c>
      <c r="AY190">
        <v>0</v>
      </c>
      <c r="AZ190" s="8">
        <v>9.9999999999999867E-2</v>
      </c>
      <c r="BA190" s="8">
        <v>2.1412542610959769E-2</v>
      </c>
      <c r="BB190" s="3">
        <v>0</v>
      </c>
    </row>
    <row r="191" spans="1:54" x14ac:dyDescent="0.25">
      <c r="A191" t="s">
        <v>163</v>
      </c>
      <c r="B191" s="2">
        <v>16372093</v>
      </c>
      <c r="C191" t="s">
        <v>28</v>
      </c>
      <c r="D191">
        <v>33</v>
      </c>
      <c r="E191" t="s">
        <v>55</v>
      </c>
      <c r="F191">
        <v>65</v>
      </c>
      <c r="G191">
        <v>65</v>
      </c>
      <c r="H191">
        <v>28.1</v>
      </c>
      <c r="I191">
        <v>4.2</v>
      </c>
      <c r="J191">
        <v>9.9</v>
      </c>
      <c r="K191">
        <v>0.42599999999999999</v>
      </c>
      <c r="L191">
        <v>1.7</v>
      </c>
      <c r="M191">
        <v>4.7</v>
      </c>
      <c r="N191">
        <v>0.36399999999999999</v>
      </c>
      <c r="O191">
        <v>2.5</v>
      </c>
      <c r="P191">
        <v>5.2</v>
      </c>
      <c r="Q191">
        <v>0.48399999999999999</v>
      </c>
      <c r="R191">
        <v>0.51300000000000001</v>
      </c>
      <c r="S191">
        <v>1</v>
      </c>
      <c r="T191">
        <v>1.3</v>
      </c>
      <c r="U191">
        <v>0.78200000000000003</v>
      </c>
      <c r="V191">
        <v>0.4</v>
      </c>
      <c r="W191">
        <v>3.5</v>
      </c>
      <c r="X191">
        <v>4</v>
      </c>
      <c r="Y191">
        <v>1.8</v>
      </c>
      <c r="Z191">
        <v>0.6</v>
      </c>
      <c r="AA191">
        <v>0.3</v>
      </c>
      <c r="AB191">
        <v>0.9</v>
      </c>
      <c r="AC191">
        <v>2.1</v>
      </c>
      <c r="AD191">
        <v>11.2</v>
      </c>
      <c r="AE191">
        <v>1825</v>
      </c>
      <c r="AF191">
        <v>10.5</v>
      </c>
      <c r="AG191">
        <v>0.53400000000000003</v>
      </c>
      <c r="AH191">
        <v>0.47899999999999998</v>
      </c>
      <c r="AI191">
        <v>0.13500000000000001</v>
      </c>
      <c r="AJ191">
        <v>1.8</v>
      </c>
      <c r="AK191">
        <v>13.9</v>
      </c>
      <c r="AL191">
        <v>7.9</v>
      </c>
      <c r="AM191">
        <v>8.9</v>
      </c>
      <c r="AN191">
        <v>1.1000000000000001</v>
      </c>
      <c r="AO191">
        <v>1</v>
      </c>
      <c r="AP191">
        <v>7.6</v>
      </c>
      <c r="AQ191">
        <v>17.600000000000001</v>
      </c>
      <c r="AR191">
        <v>0.4</v>
      </c>
      <c r="AS191">
        <v>1.6</v>
      </c>
      <c r="AT191">
        <v>2</v>
      </c>
      <c r="AU191">
        <v>5.2999999999999999E-2</v>
      </c>
      <c r="AV191">
        <v>-1.8</v>
      </c>
      <c r="AW191">
        <v>-0.2</v>
      </c>
      <c r="AX191">
        <v>-1.9</v>
      </c>
      <c r="AY191">
        <v>0</v>
      </c>
      <c r="AZ191" s="8">
        <v>5.0000000000000044E-2</v>
      </c>
      <c r="BA191" s="8">
        <v>3.0539772770653115E-3</v>
      </c>
      <c r="BB191" s="3">
        <v>0</v>
      </c>
    </row>
    <row r="192" spans="1:54" x14ac:dyDescent="0.25">
      <c r="A192" t="s">
        <v>182</v>
      </c>
      <c r="B192" s="2">
        <v>12939848</v>
      </c>
      <c r="C192" t="s">
        <v>28</v>
      </c>
      <c r="D192">
        <v>29</v>
      </c>
      <c r="E192" t="s">
        <v>73</v>
      </c>
      <c r="F192">
        <v>66</v>
      </c>
      <c r="G192">
        <v>66</v>
      </c>
      <c r="H192">
        <v>30.4</v>
      </c>
      <c r="I192">
        <v>3</v>
      </c>
      <c r="J192">
        <v>7.6</v>
      </c>
      <c r="K192">
        <v>0.39100000000000001</v>
      </c>
      <c r="L192">
        <v>1.7</v>
      </c>
      <c r="M192">
        <v>5.0999999999999996</v>
      </c>
      <c r="N192">
        <v>0.33700000000000002</v>
      </c>
      <c r="O192">
        <v>1.2</v>
      </c>
      <c r="P192">
        <v>2.5</v>
      </c>
      <c r="Q192">
        <v>0.503</v>
      </c>
      <c r="R192">
        <v>0.505</v>
      </c>
      <c r="S192">
        <v>0.7</v>
      </c>
      <c r="T192">
        <v>0.9</v>
      </c>
      <c r="U192">
        <v>0.76300000000000001</v>
      </c>
      <c r="V192">
        <v>1.7</v>
      </c>
      <c r="W192">
        <v>3.1</v>
      </c>
      <c r="X192">
        <v>4.8</v>
      </c>
      <c r="Y192">
        <v>1.5</v>
      </c>
      <c r="Z192">
        <v>0.8</v>
      </c>
      <c r="AA192">
        <v>0.5</v>
      </c>
      <c r="AB192">
        <v>0.9</v>
      </c>
      <c r="AC192">
        <v>2.2000000000000002</v>
      </c>
      <c r="AD192">
        <v>8.3000000000000007</v>
      </c>
      <c r="AE192">
        <v>2009</v>
      </c>
      <c r="AF192">
        <v>9.1999999999999993</v>
      </c>
      <c r="AG192">
        <v>0.52300000000000002</v>
      </c>
      <c r="AH192">
        <v>0.67500000000000004</v>
      </c>
      <c r="AI192">
        <v>0.11799999999999999</v>
      </c>
      <c r="AJ192">
        <v>6.5</v>
      </c>
      <c r="AK192">
        <v>11.5</v>
      </c>
      <c r="AL192">
        <v>9</v>
      </c>
      <c r="AM192">
        <v>6.7</v>
      </c>
      <c r="AN192">
        <v>1.4</v>
      </c>
      <c r="AO192">
        <v>1.6</v>
      </c>
      <c r="AP192">
        <v>10.5</v>
      </c>
      <c r="AQ192">
        <v>13.2</v>
      </c>
      <c r="AR192">
        <v>0.6</v>
      </c>
      <c r="AS192">
        <v>1.6</v>
      </c>
      <c r="AT192">
        <v>2.1</v>
      </c>
      <c r="AU192">
        <v>5.0999999999999997E-2</v>
      </c>
      <c r="AV192">
        <v>-1.7</v>
      </c>
      <c r="AW192">
        <v>-0.3</v>
      </c>
      <c r="AX192">
        <v>-2</v>
      </c>
      <c r="AY192">
        <v>0</v>
      </c>
      <c r="AZ192" s="8">
        <v>5.0000000000000044E-2</v>
      </c>
      <c r="BA192" s="8">
        <v>3.8640330241900868E-3</v>
      </c>
      <c r="BB192" s="3">
        <v>0</v>
      </c>
    </row>
    <row r="193" spans="1:54" x14ac:dyDescent="0.25">
      <c r="A193" t="s">
        <v>284</v>
      </c>
      <c r="B193" s="2">
        <v>4916160</v>
      </c>
      <c r="C193" t="s">
        <v>65</v>
      </c>
      <c r="D193">
        <v>22</v>
      </c>
      <c r="E193" t="s">
        <v>63</v>
      </c>
      <c r="F193">
        <v>76</v>
      </c>
      <c r="G193">
        <v>40</v>
      </c>
      <c r="H193">
        <v>26.6</v>
      </c>
      <c r="I193">
        <v>3.3</v>
      </c>
      <c r="J193">
        <v>7.6</v>
      </c>
      <c r="K193">
        <v>0.437</v>
      </c>
      <c r="L193">
        <v>0.9</v>
      </c>
      <c r="M193">
        <v>3.1</v>
      </c>
      <c r="N193">
        <v>0.29699999999999999</v>
      </c>
      <c r="O193">
        <v>2.4</v>
      </c>
      <c r="P193">
        <v>4.5999999999999996</v>
      </c>
      <c r="Q193">
        <v>0.53</v>
      </c>
      <c r="R193">
        <v>0.497</v>
      </c>
      <c r="S193">
        <v>1.6</v>
      </c>
      <c r="T193">
        <v>2.2000000000000002</v>
      </c>
      <c r="U193">
        <v>0.73899999999999999</v>
      </c>
      <c r="V193">
        <v>1</v>
      </c>
      <c r="W193">
        <v>5.4</v>
      </c>
      <c r="X193">
        <v>6.4</v>
      </c>
      <c r="Y193">
        <v>2.8</v>
      </c>
      <c r="Z193">
        <v>0.9</v>
      </c>
      <c r="AA193">
        <v>0.4</v>
      </c>
      <c r="AB193">
        <v>1.6</v>
      </c>
      <c r="AC193">
        <v>2.8</v>
      </c>
      <c r="AD193">
        <v>9.1999999999999993</v>
      </c>
      <c r="AE193">
        <v>2020</v>
      </c>
      <c r="AF193">
        <v>11.2</v>
      </c>
      <c r="AG193">
        <v>0.53500000000000003</v>
      </c>
      <c r="AH193">
        <v>0.40100000000000002</v>
      </c>
      <c r="AI193">
        <v>0.28499999999999998</v>
      </c>
      <c r="AJ193">
        <v>4.2</v>
      </c>
      <c r="AK193">
        <v>21.9</v>
      </c>
      <c r="AL193">
        <v>13.4</v>
      </c>
      <c r="AM193">
        <v>13.9</v>
      </c>
      <c r="AN193">
        <v>1.6</v>
      </c>
      <c r="AO193">
        <v>1.2</v>
      </c>
      <c r="AP193">
        <v>15.9</v>
      </c>
      <c r="AQ193">
        <v>16.7</v>
      </c>
      <c r="AR193">
        <v>0</v>
      </c>
      <c r="AS193">
        <v>2.2999999999999998</v>
      </c>
      <c r="AT193">
        <v>2.2999999999999998</v>
      </c>
      <c r="AU193">
        <v>5.3999999999999999E-2</v>
      </c>
      <c r="AV193">
        <v>-2.8</v>
      </c>
      <c r="AW193">
        <v>0.5</v>
      </c>
      <c r="AX193">
        <v>-2.2999999999999998</v>
      </c>
      <c r="AY193">
        <v>-0.1</v>
      </c>
      <c r="AZ193" s="8">
        <v>0</v>
      </c>
      <c r="BA193" s="8">
        <v>0</v>
      </c>
      <c r="BB193" s="3">
        <v>0</v>
      </c>
    </row>
    <row r="194" spans="1:54" x14ac:dyDescent="0.25">
      <c r="B194" s="2"/>
    </row>
    <row r="195" spans="1:54" x14ac:dyDescent="0.25">
      <c r="B195" s="2"/>
    </row>
    <row r="196" spans="1:54" x14ac:dyDescent="0.25">
      <c r="B196" s="2"/>
    </row>
    <row r="197" spans="1:54" x14ac:dyDescent="0.25">
      <c r="B197" s="2"/>
    </row>
    <row r="198" spans="1:54" x14ac:dyDescent="0.25">
      <c r="B198" s="2"/>
    </row>
    <row r="199" spans="1:54" x14ac:dyDescent="0.25">
      <c r="B199" s="2"/>
    </row>
    <row r="200" spans="1:54" x14ac:dyDescent="0.25">
      <c r="B200" s="2"/>
    </row>
    <row r="201" spans="1:54" x14ac:dyDescent="0.25">
      <c r="B201" s="2"/>
    </row>
    <row r="202" spans="1:54" x14ac:dyDescent="0.25">
      <c r="B202" s="2"/>
    </row>
    <row r="203" spans="1:54" x14ac:dyDescent="0.25">
      <c r="B203" s="2"/>
    </row>
    <row r="204" spans="1:54" x14ac:dyDescent="0.25">
      <c r="B204" s="2"/>
    </row>
    <row r="205" spans="1:54" x14ac:dyDescent="0.25">
      <c r="B205" s="2"/>
    </row>
    <row r="206" spans="1:54" x14ac:dyDescent="0.25">
      <c r="B206" s="2"/>
    </row>
    <row r="207" spans="1:54" x14ac:dyDescent="0.25">
      <c r="B207" s="2"/>
    </row>
    <row r="208" spans="1:54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</sheetData>
  <autoFilter ref="A1:BB193" xr:uid="{CB862EB1-C512-4310-9273-B821048DD9A1}">
    <sortState xmlns:xlrd2="http://schemas.microsoft.com/office/spreadsheetml/2017/richdata2" ref="A2:BB193">
      <sortCondition descending="1" ref="BB2:BB193"/>
      <sortCondition descending="1" ref="AZ2:AZ19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A208-9975-49E0-BB8B-774699B647DE}">
  <dimension ref="A1:Q193"/>
  <sheetViews>
    <sheetView workbookViewId="0">
      <selection activeCell="J20" sqref="J20"/>
    </sheetView>
  </sheetViews>
  <sheetFormatPr defaultRowHeight="15" x14ac:dyDescent="0.25"/>
  <cols>
    <col min="1" max="1" width="24.28515625" bestFit="1" customWidth="1"/>
    <col min="2" max="2" width="15.28515625" bestFit="1" customWidth="1"/>
    <col min="6" max="6" width="18" bestFit="1" customWidth="1"/>
    <col min="10" max="10" width="19.28515625" bestFit="1" customWidth="1"/>
    <col min="11" max="11" width="16.28515625" bestFit="1" customWidth="1"/>
    <col min="12" max="12" width="11.28515625" bestFit="1" customWidth="1"/>
    <col min="13" max="14" width="10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7" t="s">
        <v>552</v>
      </c>
      <c r="E1" s="1" t="s">
        <v>565</v>
      </c>
      <c r="F1" s="1" t="s">
        <v>566</v>
      </c>
      <c r="J1" s="1" t="s">
        <v>563</v>
      </c>
      <c r="K1" s="1" t="s">
        <v>564</v>
      </c>
      <c r="M1" s="1" t="s">
        <v>558</v>
      </c>
      <c r="N1" s="1" t="s">
        <v>559</v>
      </c>
      <c r="O1" s="1" t="s">
        <v>560</v>
      </c>
      <c r="P1" s="1" t="s">
        <v>561</v>
      </c>
      <c r="Q1" s="1" t="s">
        <v>562</v>
      </c>
    </row>
    <row r="2" spans="1:17" x14ac:dyDescent="0.25">
      <c r="A2" s="6" t="s">
        <v>580</v>
      </c>
      <c r="B2" s="2">
        <v>37096500</v>
      </c>
      <c r="C2" t="s">
        <v>52</v>
      </c>
      <c r="D2" s="8">
        <v>10.149999999999999</v>
      </c>
      <c r="E2">
        <v>1</v>
      </c>
      <c r="F2" s="14">
        <f>B2</f>
        <v>37096500</v>
      </c>
      <c r="J2" s="12">
        <f>154000000</f>
        <v>154000000</v>
      </c>
      <c r="K2" s="4">
        <v>12</v>
      </c>
      <c r="M2" s="5" cm="1">
        <f t="array" ref="M2">SUMPRODUCT(E2:E193, --(C2:C193="PG"))</f>
        <v>1</v>
      </c>
      <c r="N2" s="5" cm="1">
        <f t="array" ref="N2">SUMPRODUCT(E2:E193, --(C2:C193="SG"))</f>
        <v>1</v>
      </c>
      <c r="O2" s="5" cm="1">
        <f t="array" ref="O2">SUMPRODUCT(E2:E193, --(C2:C193="SF"))</f>
        <v>0</v>
      </c>
      <c r="P2" s="5" cm="1">
        <f t="array" ref="P2">SUMPRODUCT(E2:E193, --(C2:C193="PF"))</f>
        <v>1</v>
      </c>
      <c r="Q2" s="5" cm="1">
        <f t="array" ref="Q2">SUMPRODUCT(E2:E193, --(C2:C193="C"))</f>
        <v>1</v>
      </c>
    </row>
    <row r="3" spans="1:17" x14ac:dyDescent="0.25">
      <c r="A3" s="6" t="s">
        <v>72</v>
      </c>
      <c r="B3" s="2">
        <v>38917057</v>
      </c>
      <c r="C3" t="s">
        <v>62</v>
      </c>
      <c r="D3" s="8">
        <v>5.75</v>
      </c>
      <c r="E3">
        <v>1</v>
      </c>
      <c r="F3" s="14">
        <f>F2 + B3</f>
        <v>76013557</v>
      </c>
    </row>
    <row r="4" spans="1:17" x14ac:dyDescent="0.25">
      <c r="A4" s="6" t="s">
        <v>98</v>
      </c>
      <c r="B4" s="2">
        <v>33616770</v>
      </c>
      <c r="C4" t="s">
        <v>75</v>
      </c>
      <c r="D4" s="8">
        <v>10.75</v>
      </c>
      <c r="E4">
        <f>IF(AND(F4&lt;=$J$2, COUNTIF($E$2:E3,1)&lt;$K$2),1,0)</f>
        <v>1</v>
      </c>
      <c r="F4" s="14">
        <f t="shared" ref="F4:F67" si="0">F3 + B4</f>
        <v>109630327</v>
      </c>
      <c r="J4" s="1" t="s">
        <v>567</v>
      </c>
      <c r="K4" s="1" t="s">
        <v>557</v>
      </c>
      <c r="L4" s="1" t="s">
        <v>568</v>
      </c>
    </row>
    <row r="5" spans="1:17" ht="13.9" customHeight="1" x14ac:dyDescent="0.25">
      <c r="A5" s="6" t="s">
        <v>79</v>
      </c>
      <c r="B5" s="2">
        <v>37653300</v>
      </c>
      <c r="C5" t="s">
        <v>28</v>
      </c>
      <c r="D5" s="8">
        <v>10.5</v>
      </c>
      <c r="E5">
        <f>IF(AND(F5&lt;=$J$2, COUNTIF($E$2:E4,1)&lt;$K$2),1,0)</f>
        <v>1</v>
      </c>
      <c r="F5" s="14">
        <f t="shared" si="0"/>
        <v>147283627</v>
      </c>
      <c r="J5" s="10">
        <f>SUMPRODUCT(D2:D193, E2:E193)</f>
        <v>37.15</v>
      </c>
      <c r="K5" s="15">
        <f>SUMPRODUCT(B2:B193, E2:E193)</f>
        <v>147283627</v>
      </c>
      <c r="L5" s="10">
        <f>SUM(E2:E193)</f>
        <v>4</v>
      </c>
    </row>
    <row r="6" spans="1:17" x14ac:dyDescent="0.25">
      <c r="A6" t="s">
        <v>108</v>
      </c>
      <c r="B6" s="2">
        <v>30913750</v>
      </c>
      <c r="C6" t="s">
        <v>52</v>
      </c>
      <c r="D6" s="8">
        <v>9.35</v>
      </c>
      <c r="E6">
        <f>IF(AND(F6&lt;=$J$2, COUNTIF($E$2:E5,1)&lt;$K$2),1,0)</f>
        <v>0</v>
      </c>
      <c r="F6" s="14">
        <f t="shared" si="0"/>
        <v>178197377</v>
      </c>
    </row>
    <row r="7" spans="1:17" x14ac:dyDescent="0.25">
      <c r="A7" t="s">
        <v>136</v>
      </c>
      <c r="B7" s="2">
        <v>21100000</v>
      </c>
      <c r="C7" t="s">
        <v>75</v>
      </c>
      <c r="D7" s="8">
        <v>9.1999999999999993</v>
      </c>
      <c r="E7">
        <f>IF(AND(F7&lt;=$J$2, COUNTIF($E$2:E6,1)&lt;$K$2),1,0)</f>
        <v>0</v>
      </c>
      <c r="F7" s="14">
        <f t="shared" si="0"/>
        <v>199297377</v>
      </c>
    </row>
    <row r="8" spans="1:17" x14ac:dyDescent="0.25">
      <c r="A8" t="s">
        <v>67</v>
      </c>
      <c r="B8" s="2">
        <v>42492492</v>
      </c>
      <c r="C8" t="s">
        <v>28</v>
      </c>
      <c r="D8" s="8">
        <v>8.5500000000000007</v>
      </c>
      <c r="E8">
        <f>IF(AND(F8&lt;=$J$2, COUNTIF($E$2:E7,1)&lt;$K$2),1,0)</f>
        <v>0</v>
      </c>
      <c r="F8" s="14">
        <f t="shared" si="0"/>
        <v>241789869</v>
      </c>
    </row>
    <row r="9" spans="1:17" x14ac:dyDescent="0.25">
      <c r="A9" t="s">
        <v>69</v>
      </c>
      <c r="B9" s="2">
        <v>42492492</v>
      </c>
      <c r="C9" t="s">
        <v>52</v>
      </c>
      <c r="D9" s="8">
        <v>8.0500000000000007</v>
      </c>
      <c r="E9">
        <f>IF(AND(F9&lt;=$J$2, COUNTIF($E$2:E8,1)&lt;$K$2),1,0)</f>
        <v>0</v>
      </c>
      <c r="F9" s="14">
        <f t="shared" si="0"/>
        <v>284282361</v>
      </c>
    </row>
    <row r="10" spans="1:17" x14ac:dyDescent="0.25">
      <c r="A10" t="s">
        <v>112</v>
      </c>
      <c r="B10" s="2">
        <v>30351780</v>
      </c>
      <c r="C10" t="s">
        <v>65</v>
      </c>
      <c r="D10" s="8">
        <v>8</v>
      </c>
      <c r="E10">
        <f>IF(AND(F10&lt;=$J$2, COUNTIF($E$2:E9,1)&lt;$K$2),1,0)</f>
        <v>0</v>
      </c>
      <c r="F10" s="14">
        <f t="shared" si="0"/>
        <v>314634141</v>
      </c>
    </row>
    <row r="11" spans="1:17" x14ac:dyDescent="0.25">
      <c r="A11" t="s">
        <v>78</v>
      </c>
      <c r="B11" s="2">
        <v>37980720</v>
      </c>
      <c r="C11" t="s">
        <v>75</v>
      </c>
      <c r="D11" s="8">
        <v>7.65</v>
      </c>
      <c r="E11">
        <f>IF(AND(F11&lt;=$J$2, COUNTIF($E$2:E10,1)&lt;$K$2),1,0)</f>
        <v>0</v>
      </c>
      <c r="F11" s="14">
        <f t="shared" si="0"/>
        <v>352614861</v>
      </c>
    </row>
    <row r="12" spans="1:17" x14ac:dyDescent="0.25">
      <c r="A12" t="s">
        <v>51</v>
      </c>
      <c r="B12" s="2">
        <v>48070014</v>
      </c>
      <c r="C12" t="s">
        <v>52</v>
      </c>
      <c r="D12" s="8">
        <v>7.65</v>
      </c>
      <c r="E12">
        <f>IF(AND(F12&lt;=$J$2, COUNTIF($E$2:E11,1)&lt;$K$2),1,0)</f>
        <v>0</v>
      </c>
      <c r="F12" s="14">
        <f t="shared" si="0"/>
        <v>400684875</v>
      </c>
    </row>
    <row r="13" spans="1:17" x14ac:dyDescent="0.25">
      <c r="A13" t="s">
        <v>106</v>
      </c>
      <c r="B13" s="2">
        <v>30913750</v>
      </c>
      <c r="C13" t="s">
        <v>62</v>
      </c>
      <c r="D13" s="8">
        <v>7.6</v>
      </c>
      <c r="E13">
        <f>IF(AND(F13&lt;=$J$2, COUNTIF($E$2:E12,1)&lt;$K$2),1,0)</f>
        <v>0</v>
      </c>
      <c r="F13" s="14">
        <f t="shared" si="0"/>
        <v>431598625</v>
      </c>
    </row>
    <row r="14" spans="1:17" x14ac:dyDescent="0.25">
      <c r="A14" t="s">
        <v>301</v>
      </c>
      <c r="B14" s="2">
        <v>4215120</v>
      </c>
      <c r="C14" t="s">
        <v>52</v>
      </c>
      <c r="D14" s="8">
        <v>7.4</v>
      </c>
      <c r="E14">
        <f>IF(AND(F14&lt;=$J$2, COUNTIF($E$2:E13,1)&lt;$K$2),1,0)</f>
        <v>0</v>
      </c>
      <c r="F14" s="14">
        <f t="shared" si="0"/>
        <v>435813745</v>
      </c>
    </row>
    <row r="15" spans="1:17" x14ac:dyDescent="0.25">
      <c r="A15" t="s">
        <v>59</v>
      </c>
      <c r="B15" s="2">
        <v>44119845</v>
      </c>
      <c r="C15" t="s">
        <v>28</v>
      </c>
      <c r="D15" s="8">
        <v>6.9499999999999993</v>
      </c>
      <c r="E15">
        <f>IF(AND(F15&lt;=$J$2, COUNTIF($E$2:E14,1)&lt;$K$2),1,0)</f>
        <v>0</v>
      </c>
      <c r="F15" s="14">
        <f t="shared" si="0"/>
        <v>479933590</v>
      </c>
    </row>
    <row r="16" spans="1:17" x14ac:dyDescent="0.25">
      <c r="A16" t="s">
        <v>101</v>
      </c>
      <c r="B16" s="2">
        <v>33000000</v>
      </c>
      <c r="C16" t="s">
        <v>52</v>
      </c>
      <c r="D16" s="8">
        <v>6.9</v>
      </c>
      <c r="E16">
        <f>IF(AND(F16&lt;=$J$2, COUNTIF($E$2:E15,1)&lt;$K$2),1,0)</f>
        <v>0</v>
      </c>
      <c r="F16" s="14">
        <f t="shared" si="0"/>
        <v>512933590</v>
      </c>
    </row>
    <row r="17" spans="1:6" x14ac:dyDescent="0.25">
      <c r="A17" t="s">
        <v>64</v>
      </c>
      <c r="B17" s="2">
        <v>42492492</v>
      </c>
      <c r="C17" t="s">
        <v>65</v>
      </c>
      <c r="D17" s="8">
        <v>6.6</v>
      </c>
      <c r="E17">
        <f>IF(AND(F17&lt;=$J$2, COUNTIF($E$2:E16,1)&lt;$K$2),1,0)</f>
        <v>0</v>
      </c>
      <c r="F17" s="14">
        <f t="shared" si="0"/>
        <v>555426082</v>
      </c>
    </row>
    <row r="18" spans="1:6" x14ac:dyDescent="0.25">
      <c r="A18" t="s">
        <v>122</v>
      </c>
      <c r="B18" s="2">
        <v>27733332</v>
      </c>
      <c r="C18" t="s">
        <v>52</v>
      </c>
      <c r="D18" s="8">
        <v>6.3</v>
      </c>
      <c r="E18">
        <f>IF(AND(F18&lt;=$J$2, COUNTIF($E$2:E17,1)&lt;$K$2),1,0)</f>
        <v>0</v>
      </c>
      <c r="F18" s="14">
        <f t="shared" si="0"/>
        <v>583159414</v>
      </c>
    </row>
    <row r="19" spans="1:6" x14ac:dyDescent="0.25">
      <c r="A19" t="s">
        <v>162</v>
      </c>
      <c r="B19" s="2">
        <v>16475454</v>
      </c>
      <c r="C19" t="s">
        <v>28</v>
      </c>
      <c r="D19" s="8">
        <v>6</v>
      </c>
      <c r="E19">
        <f>IF(AND(F19&lt;=$J$2, COUNTIF($E$2:E18,1)&lt;$K$2),1,0)</f>
        <v>0</v>
      </c>
      <c r="F19" s="14">
        <f t="shared" si="0"/>
        <v>599634868</v>
      </c>
    </row>
    <row r="20" spans="1:6" x14ac:dyDescent="0.25">
      <c r="A20" t="s">
        <v>140</v>
      </c>
      <c r="B20" s="2">
        <v>20000000</v>
      </c>
      <c r="C20" t="s">
        <v>75</v>
      </c>
      <c r="D20" s="8">
        <v>5.95</v>
      </c>
      <c r="E20">
        <f>IF(AND(F20&lt;=$J$2, COUNTIF($E$2:E19,1)&lt;$K$2),1,0)</f>
        <v>0</v>
      </c>
      <c r="F20" s="14">
        <f t="shared" si="0"/>
        <v>619634868</v>
      </c>
    </row>
    <row r="21" spans="1:6" x14ac:dyDescent="0.25">
      <c r="A21" t="s">
        <v>127</v>
      </c>
      <c r="B21" s="2">
        <v>23760000</v>
      </c>
      <c r="C21" t="s">
        <v>28</v>
      </c>
      <c r="D21" s="8">
        <v>5.9</v>
      </c>
      <c r="E21">
        <f>IF(AND(F21&lt;=$J$2, COUNTIF($E$2:E20,1)&lt;$K$2),1,0)</f>
        <v>0</v>
      </c>
      <c r="F21" s="14">
        <f t="shared" si="0"/>
        <v>643394868</v>
      </c>
    </row>
    <row r="22" spans="1:6" x14ac:dyDescent="0.25">
      <c r="A22" t="s">
        <v>187</v>
      </c>
      <c r="B22" s="2">
        <v>12119440</v>
      </c>
      <c r="C22" t="s">
        <v>52</v>
      </c>
      <c r="D22" s="8">
        <v>5.85</v>
      </c>
      <c r="E22">
        <f>IF(AND(F22&lt;=$J$2, COUNTIF($E$2:E21,1)&lt;$K$2),1,0)</f>
        <v>0</v>
      </c>
      <c r="F22" s="14">
        <f t="shared" si="0"/>
        <v>655514308</v>
      </c>
    </row>
    <row r="23" spans="1:6" x14ac:dyDescent="0.25">
      <c r="A23" t="s">
        <v>57</v>
      </c>
      <c r="B23" s="2">
        <v>44474988</v>
      </c>
      <c r="C23" t="s">
        <v>28</v>
      </c>
      <c r="D23" s="8">
        <v>5.85</v>
      </c>
      <c r="E23">
        <f>IF(AND(F23&lt;=$J$2, COUNTIF($E$2:E22,1)&lt;$K$2),1,0)</f>
        <v>0</v>
      </c>
      <c r="F23" s="14">
        <f t="shared" si="0"/>
        <v>699989296</v>
      </c>
    </row>
    <row r="24" spans="1:6" x14ac:dyDescent="0.25">
      <c r="A24" t="s">
        <v>90</v>
      </c>
      <c r="B24" s="2">
        <v>35448672</v>
      </c>
      <c r="C24" t="s">
        <v>28</v>
      </c>
      <c r="D24" s="8">
        <v>5.45</v>
      </c>
      <c r="E24">
        <f>IF(AND(F24&lt;=$J$2, COUNTIF($E$2:E23,1)&lt;$K$2),1,0)</f>
        <v>0</v>
      </c>
      <c r="F24" s="14">
        <f t="shared" si="0"/>
        <v>735437968</v>
      </c>
    </row>
    <row r="25" spans="1:6" x14ac:dyDescent="0.25">
      <c r="A25" t="s">
        <v>235</v>
      </c>
      <c r="B25" s="2">
        <v>8000000</v>
      </c>
      <c r="C25" t="s">
        <v>75</v>
      </c>
      <c r="D25" s="8">
        <v>5.3999999999999995</v>
      </c>
      <c r="E25">
        <f>IF(AND(F25&lt;=$J$2, COUNTIF($E$2:E24,1)&lt;$K$2),1,0)</f>
        <v>0</v>
      </c>
      <c r="F25" s="14">
        <f t="shared" si="0"/>
        <v>743437968</v>
      </c>
    </row>
    <row r="26" spans="1:6" x14ac:dyDescent="0.25">
      <c r="A26" t="s">
        <v>124</v>
      </c>
      <c r="B26" s="2">
        <v>27300000</v>
      </c>
      <c r="C26" t="s">
        <v>65</v>
      </c>
      <c r="D26" s="8">
        <v>5.25</v>
      </c>
      <c r="E26">
        <f>IF(AND(F26&lt;=$J$2, COUNTIF($E$2:E25,1)&lt;$K$2),1,0)</f>
        <v>0</v>
      </c>
      <c r="F26" s="14">
        <f t="shared" si="0"/>
        <v>770737968</v>
      </c>
    </row>
    <row r="27" spans="1:6" x14ac:dyDescent="0.25">
      <c r="A27" t="s">
        <v>96</v>
      </c>
      <c r="B27" s="2">
        <v>33833400</v>
      </c>
      <c r="C27" t="s">
        <v>62</v>
      </c>
      <c r="D27" s="8">
        <v>5.0999999999999996</v>
      </c>
      <c r="E27">
        <f>IF(AND(F27&lt;=$J$2, COUNTIF($E$2:E26,1)&lt;$K$2),1,0)</f>
        <v>0</v>
      </c>
      <c r="F27" s="14">
        <f t="shared" si="0"/>
        <v>804571368</v>
      </c>
    </row>
    <row r="28" spans="1:6" x14ac:dyDescent="0.25">
      <c r="A28" t="s">
        <v>229</v>
      </c>
      <c r="B28" s="2">
        <v>8478720</v>
      </c>
      <c r="C28" t="s">
        <v>28</v>
      </c>
      <c r="D28" s="8">
        <v>5.0999999999999996</v>
      </c>
      <c r="E28">
        <f>IF(AND(F28&lt;=$J$2, COUNTIF($E$2:E27,1)&lt;$K$2),1,0)</f>
        <v>0</v>
      </c>
      <c r="F28" s="14">
        <f t="shared" si="0"/>
        <v>813050088</v>
      </c>
    </row>
    <row r="29" spans="1:6" x14ac:dyDescent="0.25">
      <c r="A29" t="s">
        <v>218</v>
      </c>
      <c r="B29" s="2">
        <v>9080417</v>
      </c>
      <c r="C29" t="s">
        <v>75</v>
      </c>
      <c r="D29" s="8">
        <v>5.0500000000000007</v>
      </c>
      <c r="E29">
        <f>IF(AND(F29&lt;=$J$2, COUNTIF($E$2:E28,1)&lt;$K$2),1,0)</f>
        <v>0</v>
      </c>
      <c r="F29" s="14">
        <f t="shared" si="0"/>
        <v>822130505</v>
      </c>
    </row>
    <row r="30" spans="1:6" x14ac:dyDescent="0.25">
      <c r="A30" t="s">
        <v>172</v>
      </c>
      <c r="B30" s="2">
        <v>13906976</v>
      </c>
      <c r="C30" t="s">
        <v>75</v>
      </c>
      <c r="D30" s="8">
        <v>5.05</v>
      </c>
      <c r="E30">
        <f>IF(AND(F30&lt;=$J$2, COUNTIF($E$2:E29,1)&lt;$K$2),1,0)</f>
        <v>0</v>
      </c>
      <c r="F30" s="14">
        <f t="shared" si="0"/>
        <v>836037481</v>
      </c>
    </row>
    <row r="31" spans="1:6" x14ac:dyDescent="0.25">
      <c r="A31" t="s">
        <v>222</v>
      </c>
      <c r="B31" s="2">
        <v>8920794</v>
      </c>
      <c r="C31" t="s">
        <v>52</v>
      </c>
      <c r="D31" s="8">
        <v>5</v>
      </c>
      <c r="E31">
        <f>IF(AND(F31&lt;=$J$2, COUNTIF($E$2:E30,1)&lt;$K$2),1,0)</f>
        <v>0</v>
      </c>
      <c r="F31" s="14">
        <f t="shared" si="0"/>
        <v>844958275</v>
      </c>
    </row>
    <row r="32" spans="1:6" x14ac:dyDescent="0.25">
      <c r="A32" t="s">
        <v>84</v>
      </c>
      <c r="B32" s="2">
        <v>37096500</v>
      </c>
      <c r="C32" t="s">
        <v>52</v>
      </c>
      <c r="D32" s="8">
        <v>5</v>
      </c>
      <c r="E32">
        <f>IF(AND(F32&lt;=$J$2, COUNTIF($E$2:E31,1)&lt;$K$2),1,0)</f>
        <v>0</v>
      </c>
      <c r="F32" s="14">
        <f t="shared" si="0"/>
        <v>882054775</v>
      </c>
    </row>
    <row r="33" spans="1:6" x14ac:dyDescent="0.25">
      <c r="A33" t="s">
        <v>357</v>
      </c>
      <c r="B33" s="2">
        <v>2696400</v>
      </c>
      <c r="C33" t="s">
        <v>75</v>
      </c>
      <c r="D33" s="8">
        <v>5</v>
      </c>
      <c r="E33">
        <f>IF(AND(F33&lt;=$J$2, COUNTIF($E$2:E32,1)&lt;$K$2),1,0)</f>
        <v>0</v>
      </c>
      <c r="F33" s="14">
        <f t="shared" si="0"/>
        <v>884751175</v>
      </c>
    </row>
    <row r="34" spans="1:6" x14ac:dyDescent="0.25">
      <c r="A34" t="s">
        <v>115</v>
      </c>
      <c r="B34" s="2">
        <v>30351780</v>
      </c>
      <c r="C34" t="s">
        <v>52</v>
      </c>
      <c r="D34" s="8">
        <v>4.95</v>
      </c>
      <c r="E34">
        <f>IF(AND(F34&lt;=$J$2, COUNTIF($E$2:E33,1)&lt;$K$2),1,0)</f>
        <v>0</v>
      </c>
      <c r="F34" s="14">
        <f t="shared" si="0"/>
        <v>915102955</v>
      </c>
    </row>
    <row r="35" spans="1:6" x14ac:dyDescent="0.25">
      <c r="A35" t="s">
        <v>155</v>
      </c>
      <c r="B35" s="2">
        <v>17142857</v>
      </c>
      <c r="C35" t="s">
        <v>62</v>
      </c>
      <c r="D35" s="8">
        <v>4.9000000000000004</v>
      </c>
      <c r="E35">
        <f>IF(AND(F35&lt;=$J$2, COUNTIF($E$2:E34,1)&lt;$K$2),1,0)</f>
        <v>0</v>
      </c>
      <c r="F35" s="14">
        <f t="shared" si="0"/>
        <v>932245812</v>
      </c>
    </row>
    <row r="36" spans="1:6" x14ac:dyDescent="0.25">
      <c r="A36" t="s">
        <v>94</v>
      </c>
      <c r="B36" s="2">
        <v>34319520</v>
      </c>
      <c r="C36" t="s">
        <v>52</v>
      </c>
      <c r="D36" s="8">
        <v>4.9000000000000004</v>
      </c>
      <c r="E36">
        <f>IF(AND(F36&lt;=$J$2, COUNTIF($E$2:E35,1)&lt;$K$2),1,0)</f>
        <v>0</v>
      </c>
      <c r="F36" s="14">
        <f t="shared" si="0"/>
        <v>966565332</v>
      </c>
    </row>
    <row r="37" spans="1:6" x14ac:dyDescent="0.25">
      <c r="A37" t="s">
        <v>125</v>
      </c>
      <c r="B37" s="2">
        <v>26500000</v>
      </c>
      <c r="C37" t="s">
        <v>75</v>
      </c>
      <c r="D37" s="8">
        <v>4.8</v>
      </c>
      <c r="E37">
        <f>IF(AND(F37&lt;=$J$2, COUNTIF($E$2:E36,1)&lt;$K$2),1,0)</f>
        <v>0</v>
      </c>
      <c r="F37" s="14">
        <f t="shared" si="0"/>
        <v>993065332</v>
      </c>
    </row>
    <row r="38" spans="1:6" x14ac:dyDescent="0.25">
      <c r="A38" t="s">
        <v>120</v>
      </c>
      <c r="B38" s="2">
        <v>28400000</v>
      </c>
      <c r="C38" t="s">
        <v>52</v>
      </c>
      <c r="D38" s="8">
        <v>4.7</v>
      </c>
      <c r="E38">
        <f>IF(AND(F38&lt;=$J$2, COUNTIF($E$2:E37,1)&lt;$K$2),1,0)</f>
        <v>0</v>
      </c>
      <c r="F38" s="14">
        <f t="shared" si="0"/>
        <v>1021465332</v>
      </c>
    </row>
    <row r="39" spans="1:6" x14ac:dyDescent="0.25">
      <c r="A39" t="s">
        <v>147</v>
      </c>
      <c r="B39" s="2">
        <v>18206896</v>
      </c>
      <c r="C39" t="s">
        <v>75</v>
      </c>
      <c r="D39" s="8">
        <v>4.7</v>
      </c>
      <c r="E39">
        <f>IF(AND(F39&lt;=$J$2, COUNTIF($E$2:E38,1)&lt;$K$2),1,0)</f>
        <v>0</v>
      </c>
      <c r="F39" s="14">
        <f t="shared" si="0"/>
        <v>1039672228</v>
      </c>
    </row>
    <row r="40" spans="1:6" x14ac:dyDescent="0.25">
      <c r="A40" t="s">
        <v>394</v>
      </c>
      <c r="B40" s="2">
        <v>2130240</v>
      </c>
      <c r="C40" t="s">
        <v>62</v>
      </c>
      <c r="D40" s="8">
        <v>4.6500000000000004</v>
      </c>
      <c r="E40">
        <f>IF(AND(F40&lt;=$J$2, COUNTIF($E$2:E39,1)&lt;$K$2),1,0)</f>
        <v>0</v>
      </c>
      <c r="F40" s="14">
        <f t="shared" si="0"/>
        <v>1041802468</v>
      </c>
    </row>
    <row r="41" spans="1:6" x14ac:dyDescent="0.25">
      <c r="A41" t="s">
        <v>139</v>
      </c>
      <c r="B41" s="2">
        <v>20100000</v>
      </c>
      <c r="C41" t="s">
        <v>62</v>
      </c>
      <c r="D41" s="8">
        <v>4.5999999999999996</v>
      </c>
      <c r="E41">
        <f>IF(AND(F41&lt;=$J$2, COUNTIF($E$2:E40,1)&lt;$K$2),1,0)</f>
        <v>0</v>
      </c>
      <c r="F41" s="14">
        <f t="shared" si="0"/>
        <v>1061902468</v>
      </c>
    </row>
    <row r="42" spans="1:6" x14ac:dyDescent="0.25">
      <c r="A42" t="s">
        <v>134</v>
      </c>
      <c r="B42" s="2">
        <v>21250000</v>
      </c>
      <c r="C42" t="s">
        <v>52</v>
      </c>
      <c r="D42" s="8">
        <v>4.5</v>
      </c>
      <c r="E42">
        <f>IF(AND(F42&lt;=$J$2, COUNTIF($E$2:E41,1)&lt;$K$2),1,0)</f>
        <v>0</v>
      </c>
      <c r="F42" s="14">
        <f t="shared" si="0"/>
        <v>1083152468</v>
      </c>
    </row>
    <row r="43" spans="1:6" x14ac:dyDescent="0.25">
      <c r="A43" t="s">
        <v>86</v>
      </c>
      <c r="B43" s="2">
        <v>37096500</v>
      </c>
      <c r="C43" t="s">
        <v>62</v>
      </c>
      <c r="D43" s="8">
        <v>4.5</v>
      </c>
      <c r="E43">
        <f>IF(AND(F43&lt;=$J$2, COUNTIF($E$2:E42,1)&lt;$K$2),1,0)</f>
        <v>0</v>
      </c>
      <c r="F43" s="14">
        <f t="shared" si="0"/>
        <v>1120248968</v>
      </c>
    </row>
    <row r="44" spans="1:6" x14ac:dyDescent="0.25">
      <c r="A44" t="s">
        <v>138</v>
      </c>
      <c r="B44" s="2">
        <v>20690909</v>
      </c>
      <c r="C44" t="s">
        <v>28</v>
      </c>
      <c r="D44" s="8">
        <v>4.45</v>
      </c>
      <c r="E44">
        <f>IF(AND(F44&lt;=$J$2, COUNTIF($E$2:E43,1)&lt;$K$2),1,0)</f>
        <v>0</v>
      </c>
      <c r="F44" s="14">
        <f t="shared" si="0"/>
        <v>1140939877</v>
      </c>
    </row>
    <row r="45" spans="1:6" x14ac:dyDescent="0.25">
      <c r="A45" t="s">
        <v>114</v>
      </c>
      <c r="B45" s="2">
        <v>30351780</v>
      </c>
      <c r="C45" t="s">
        <v>75</v>
      </c>
      <c r="D45" s="8">
        <v>4.45</v>
      </c>
      <c r="E45">
        <f>IF(AND(F45&lt;=$J$2, COUNTIF($E$2:E44,1)&lt;$K$2),1,0)</f>
        <v>0</v>
      </c>
      <c r="F45" s="14">
        <f t="shared" si="0"/>
        <v>1171291657</v>
      </c>
    </row>
    <row r="46" spans="1:6" x14ac:dyDescent="0.25">
      <c r="A46" t="s">
        <v>157</v>
      </c>
      <c r="B46" s="2">
        <v>17045454</v>
      </c>
      <c r="C46" t="s">
        <v>75</v>
      </c>
      <c r="D46" s="8">
        <v>4.45</v>
      </c>
      <c r="E46">
        <f>IF(AND(F46&lt;=$J$2, COUNTIF($E$2:E45,1)&lt;$K$2),1,0)</f>
        <v>0</v>
      </c>
      <c r="F46" s="14">
        <f t="shared" si="0"/>
        <v>1188337111</v>
      </c>
    </row>
    <row r="47" spans="1:6" x14ac:dyDescent="0.25">
      <c r="A47" t="s">
        <v>131</v>
      </c>
      <c r="B47" s="2">
        <v>22600000</v>
      </c>
      <c r="C47" t="s">
        <v>52</v>
      </c>
      <c r="D47" s="8">
        <v>4.3</v>
      </c>
      <c r="E47">
        <f>IF(AND(F47&lt;=$J$2, COUNTIF($E$2:E46,1)&lt;$K$2),1,0)</f>
        <v>0</v>
      </c>
      <c r="F47" s="14">
        <f t="shared" si="0"/>
        <v>1210937111</v>
      </c>
    </row>
    <row r="48" spans="1:6" x14ac:dyDescent="0.25">
      <c r="A48" t="s">
        <v>74</v>
      </c>
      <c r="B48" s="2">
        <v>38172414</v>
      </c>
      <c r="C48" t="s">
        <v>75</v>
      </c>
      <c r="D48" s="8">
        <v>4.25</v>
      </c>
      <c r="E48">
        <f>IF(AND(F48&lt;=$J$2, COUNTIF($E$2:E47,1)&lt;$K$2),1,0)</f>
        <v>0</v>
      </c>
      <c r="F48" s="14">
        <f t="shared" si="0"/>
        <v>1249109525</v>
      </c>
    </row>
    <row r="49" spans="1:6" x14ac:dyDescent="0.25">
      <c r="A49" t="s">
        <v>374</v>
      </c>
      <c r="B49" s="2">
        <v>2316240</v>
      </c>
      <c r="C49" t="s">
        <v>62</v>
      </c>
      <c r="D49" s="8">
        <v>4.2</v>
      </c>
      <c r="E49">
        <f>IF(AND(F49&lt;=$J$2, COUNTIF($E$2:E48,1)&lt;$K$2),1,0)</f>
        <v>0</v>
      </c>
      <c r="F49" s="14">
        <f t="shared" si="0"/>
        <v>1251425765</v>
      </c>
    </row>
    <row r="50" spans="1:6" x14ac:dyDescent="0.25">
      <c r="A50" t="s">
        <v>214</v>
      </c>
      <c r="B50" s="2">
        <v>9398148</v>
      </c>
      <c r="C50" t="s">
        <v>75</v>
      </c>
      <c r="D50" s="8">
        <v>3.95</v>
      </c>
      <c r="E50">
        <f>IF(AND(F50&lt;=$J$2, COUNTIF($E$2:E49,1)&lt;$K$2),1,0)</f>
        <v>0</v>
      </c>
      <c r="F50" s="14">
        <f t="shared" si="0"/>
        <v>1260823913</v>
      </c>
    </row>
    <row r="51" spans="1:6" x14ac:dyDescent="0.25">
      <c r="A51" t="s">
        <v>255</v>
      </c>
      <c r="B51" s="2">
        <v>6395160</v>
      </c>
      <c r="C51" t="s">
        <v>75</v>
      </c>
      <c r="D51" s="8">
        <v>3.9499999999999997</v>
      </c>
      <c r="E51">
        <f>IF(AND(F51&lt;=$J$2, COUNTIF($E$2:E50,1)&lt;$K$2),1,0)</f>
        <v>0</v>
      </c>
      <c r="F51" s="14">
        <f t="shared" si="0"/>
        <v>1267219073</v>
      </c>
    </row>
    <row r="52" spans="1:6" x14ac:dyDescent="0.25">
      <c r="A52" t="s">
        <v>224</v>
      </c>
      <c r="B52" s="2">
        <v>8780488</v>
      </c>
      <c r="C52" t="s">
        <v>28</v>
      </c>
      <c r="D52" s="8">
        <v>3.8</v>
      </c>
      <c r="E52">
        <f>IF(AND(F52&lt;=$J$2, COUNTIF($E$2:E51,1)&lt;$K$2),1,0)</f>
        <v>0</v>
      </c>
      <c r="F52" s="14">
        <f t="shared" si="0"/>
        <v>1275999561</v>
      </c>
    </row>
    <row r="53" spans="1:6" x14ac:dyDescent="0.25">
      <c r="A53" t="s">
        <v>92</v>
      </c>
      <c r="B53" s="2">
        <v>35096500</v>
      </c>
      <c r="C53" t="s">
        <v>75</v>
      </c>
      <c r="D53" s="8">
        <v>3.75</v>
      </c>
      <c r="E53">
        <f>IF(AND(F53&lt;=$J$2, COUNTIF($E$2:E52,1)&lt;$K$2),1,0)</f>
        <v>0</v>
      </c>
      <c r="F53" s="14">
        <f t="shared" si="0"/>
        <v>1311096061</v>
      </c>
    </row>
    <row r="54" spans="1:6" x14ac:dyDescent="0.25">
      <c r="A54" t="s">
        <v>66</v>
      </c>
      <c r="B54" s="2">
        <v>42492492</v>
      </c>
      <c r="C54" t="s">
        <v>65</v>
      </c>
      <c r="D54" s="8">
        <v>3.6999999999999997</v>
      </c>
      <c r="E54">
        <f>IF(AND(F54&lt;=$J$2, COUNTIF($E$2:E53,1)&lt;$K$2),1,0)</f>
        <v>0</v>
      </c>
      <c r="F54" s="14">
        <f t="shared" si="0"/>
        <v>1353588553</v>
      </c>
    </row>
    <row r="55" spans="1:6" x14ac:dyDescent="0.25">
      <c r="A55" t="s">
        <v>167</v>
      </c>
      <c r="B55" s="2">
        <v>15000000</v>
      </c>
      <c r="C55" t="s">
        <v>52</v>
      </c>
      <c r="D55" s="8">
        <v>3.6500000000000004</v>
      </c>
      <c r="E55">
        <f>IF(AND(F55&lt;=$J$2, COUNTIF($E$2:E54,1)&lt;$K$2),1,0)</f>
        <v>0</v>
      </c>
      <c r="F55" s="14">
        <f t="shared" si="0"/>
        <v>1368588553</v>
      </c>
    </row>
    <row r="56" spans="1:6" x14ac:dyDescent="0.25">
      <c r="A56" t="s">
        <v>110</v>
      </c>
      <c r="B56" s="2">
        <v>30913750</v>
      </c>
      <c r="C56" t="s">
        <v>75</v>
      </c>
      <c r="D56" s="8">
        <v>3.5500000000000003</v>
      </c>
      <c r="E56">
        <f>IF(AND(F56&lt;=$J$2, COUNTIF($E$2:E55,1)&lt;$K$2),1,0)</f>
        <v>0</v>
      </c>
      <c r="F56" s="14">
        <f t="shared" si="0"/>
        <v>1399502303</v>
      </c>
    </row>
    <row r="57" spans="1:6" x14ac:dyDescent="0.25">
      <c r="A57" t="s">
        <v>417</v>
      </c>
      <c r="B57" s="2">
        <v>1930681</v>
      </c>
      <c r="C57" t="s">
        <v>75</v>
      </c>
      <c r="D57" s="8">
        <v>3.55</v>
      </c>
      <c r="E57">
        <f>IF(AND(F57&lt;=$J$2, COUNTIF($E$2:E56,1)&lt;$K$2),1,0)</f>
        <v>0</v>
      </c>
      <c r="F57" s="14">
        <f t="shared" si="0"/>
        <v>1401432984</v>
      </c>
    </row>
    <row r="58" spans="1:6" x14ac:dyDescent="0.25">
      <c r="A58" t="s">
        <v>237</v>
      </c>
      <c r="B58" s="2">
        <v>7804878</v>
      </c>
      <c r="C58" t="s">
        <v>52</v>
      </c>
      <c r="D58" s="8">
        <v>3.55</v>
      </c>
      <c r="E58">
        <f>IF(AND(F58&lt;=$J$2, COUNTIF($E$2:E57,1)&lt;$K$2),1,0)</f>
        <v>0</v>
      </c>
      <c r="F58" s="14">
        <f t="shared" si="0"/>
        <v>1409237862</v>
      </c>
    </row>
    <row r="59" spans="1:6" x14ac:dyDescent="0.25">
      <c r="A59" t="s">
        <v>297</v>
      </c>
      <c r="B59" s="2">
        <v>4343919</v>
      </c>
      <c r="C59" t="s">
        <v>28</v>
      </c>
      <c r="D59" s="8">
        <v>3.5</v>
      </c>
      <c r="E59">
        <f>IF(AND(F59&lt;=$J$2, COUNTIF($E$2:E58,1)&lt;$K$2),1,0)</f>
        <v>0</v>
      </c>
      <c r="F59" s="14">
        <f t="shared" si="0"/>
        <v>1413581781</v>
      </c>
    </row>
    <row r="60" spans="1:6" x14ac:dyDescent="0.25">
      <c r="A60" t="s">
        <v>143</v>
      </c>
      <c r="B60" s="2">
        <v>19500000</v>
      </c>
      <c r="C60" t="s">
        <v>52</v>
      </c>
      <c r="D60" s="8">
        <v>3.5</v>
      </c>
      <c r="E60">
        <f>IF(AND(F60&lt;=$J$2, COUNTIF($E$2:E59,1)&lt;$K$2),1,0)</f>
        <v>0</v>
      </c>
      <c r="F60" s="14">
        <f t="shared" si="0"/>
        <v>1433081781</v>
      </c>
    </row>
    <row r="61" spans="1:6" x14ac:dyDescent="0.25">
      <c r="A61" t="s">
        <v>181</v>
      </c>
      <c r="B61" s="2">
        <v>12960000</v>
      </c>
      <c r="C61" t="s">
        <v>65</v>
      </c>
      <c r="D61" s="8">
        <v>3.45</v>
      </c>
      <c r="E61">
        <f>IF(AND(F61&lt;=$J$2, COUNTIF($E$2:E60,1)&lt;$K$2),1,0)</f>
        <v>0</v>
      </c>
      <c r="F61" s="14">
        <f t="shared" si="0"/>
        <v>1446041781</v>
      </c>
    </row>
    <row r="62" spans="1:6" x14ac:dyDescent="0.25">
      <c r="A62" t="s">
        <v>81</v>
      </c>
      <c r="B62" s="2">
        <v>37633050</v>
      </c>
      <c r="C62" t="s">
        <v>65</v>
      </c>
      <c r="D62" s="8">
        <v>3.3000000000000003</v>
      </c>
      <c r="E62">
        <f>IF(AND(F62&lt;=$J$2, COUNTIF($E$2:E61,1)&lt;$K$2),1,0)</f>
        <v>0</v>
      </c>
      <c r="F62" s="14">
        <f t="shared" si="0"/>
        <v>1483674831</v>
      </c>
    </row>
    <row r="63" spans="1:6" x14ac:dyDescent="0.25">
      <c r="A63" t="s">
        <v>105</v>
      </c>
      <c r="B63" s="2">
        <v>31377750</v>
      </c>
      <c r="C63" t="s">
        <v>52</v>
      </c>
      <c r="D63" s="8">
        <v>3.3</v>
      </c>
      <c r="E63">
        <f>IF(AND(F63&lt;=$J$2, COUNTIF($E$2:E62,1)&lt;$K$2),1,0)</f>
        <v>0</v>
      </c>
      <c r="F63" s="14">
        <f t="shared" si="0"/>
        <v>1515052581</v>
      </c>
    </row>
    <row r="64" spans="1:6" x14ac:dyDescent="0.25">
      <c r="A64" t="s">
        <v>170</v>
      </c>
      <c r="B64" s="2">
        <v>14317459</v>
      </c>
      <c r="C64" t="s">
        <v>75</v>
      </c>
      <c r="D64" s="8">
        <v>3.25</v>
      </c>
      <c r="E64">
        <f>IF(AND(F64&lt;=$J$2, COUNTIF($E$2:E63,1)&lt;$K$2),1,0)</f>
        <v>0</v>
      </c>
      <c r="F64" s="14">
        <f t="shared" si="0"/>
        <v>1529370040</v>
      </c>
    </row>
    <row r="65" spans="1:6" x14ac:dyDescent="0.25">
      <c r="A65" t="s">
        <v>129</v>
      </c>
      <c r="B65" s="2">
        <v>22680000</v>
      </c>
      <c r="C65" t="s">
        <v>52</v>
      </c>
      <c r="D65" s="8">
        <v>3.2</v>
      </c>
      <c r="E65">
        <f>IF(AND(F65&lt;=$J$2, COUNTIF($E$2:E64,1)&lt;$K$2),1,0)</f>
        <v>0</v>
      </c>
      <c r="F65" s="14">
        <f t="shared" si="0"/>
        <v>1552050040</v>
      </c>
    </row>
    <row r="66" spans="1:6" x14ac:dyDescent="0.25">
      <c r="A66" t="s">
        <v>102</v>
      </c>
      <c r="B66" s="2">
        <v>31650600</v>
      </c>
      <c r="C66" t="s">
        <v>52</v>
      </c>
      <c r="D66" s="8">
        <v>3.1999999999999997</v>
      </c>
      <c r="E66">
        <f>IF(AND(F66&lt;=$J$2, COUNTIF($E$2:E65,1)&lt;$K$2),1,0)</f>
        <v>0</v>
      </c>
      <c r="F66" s="14">
        <f t="shared" si="0"/>
        <v>1583700640</v>
      </c>
    </row>
    <row r="67" spans="1:6" x14ac:dyDescent="0.25">
      <c r="A67" t="s">
        <v>135</v>
      </c>
      <c r="B67" s="2">
        <v>21177750</v>
      </c>
      <c r="C67" t="s">
        <v>65</v>
      </c>
      <c r="D67" s="8">
        <v>3.1500000000000004</v>
      </c>
      <c r="E67">
        <f>IF(AND(F67&lt;=$J$2, COUNTIF($E$2:E66,1)&lt;$K$2),1,0)</f>
        <v>0</v>
      </c>
      <c r="F67" s="14">
        <f t="shared" si="0"/>
        <v>1604878390</v>
      </c>
    </row>
    <row r="68" spans="1:6" x14ac:dyDescent="0.25">
      <c r="A68" t="s">
        <v>295</v>
      </c>
      <c r="B68" s="2">
        <v>4374000</v>
      </c>
      <c r="C68" t="s">
        <v>28</v>
      </c>
      <c r="D68" s="8">
        <v>3.1500000000000004</v>
      </c>
      <c r="E68">
        <f>IF(AND(F68&lt;=$J$2, COUNTIF($E$2:E67,1)&lt;$K$2),1,0)</f>
        <v>0</v>
      </c>
      <c r="F68" s="14">
        <f t="shared" ref="F68:F131" si="1">F67 + B68</f>
        <v>1609252390</v>
      </c>
    </row>
    <row r="69" spans="1:6" x14ac:dyDescent="0.25">
      <c r="A69" t="s">
        <v>119</v>
      </c>
      <c r="B69" s="2">
        <v>29776785</v>
      </c>
      <c r="C69" t="s">
        <v>65</v>
      </c>
      <c r="D69" s="8">
        <v>3.15</v>
      </c>
      <c r="E69">
        <f>IF(AND(F69&lt;=$J$2, COUNTIF($E$2:E68,1)&lt;$K$2),1,0)</f>
        <v>0</v>
      </c>
      <c r="F69" s="14">
        <f t="shared" si="1"/>
        <v>1639029175</v>
      </c>
    </row>
    <row r="70" spans="1:6" x14ac:dyDescent="0.25">
      <c r="A70" t="s">
        <v>455</v>
      </c>
      <c r="B70" s="2">
        <v>1563518</v>
      </c>
      <c r="C70" t="s">
        <v>62</v>
      </c>
      <c r="D70" s="8">
        <v>3.0500000000000003</v>
      </c>
      <c r="E70">
        <f>IF(AND(F70&lt;=$J$2, COUNTIF($E$2:E69,1)&lt;$K$2),1,0)</f>
        <v>0</v>
      </c>
      <c r="F70" s="14">
        <f t="shared" si="1"/>
        <v>1640592693</v>
      </c>
    </row>
    <row r="71" spans="1:6" x14ac:dyDescent="0.25">
      <c r="A71" t="s">
        <v>264</v>
      </c>
      <c r="B71" s="2">
        <v>5887899</v>
      </c>
      <c r="C71" t="s">
        <v>28</v>
      </c>
      <c r="D71" s="8">
        <v>3.05</v>
      </c>
      <c r="E71">
        <f>IF(AND(F71&lt;=$J$2, COUNTIF($E$2:E70,1)&lt;$K$2),1,0)</f>
        <v>0</v>
      </c>
      <c r="F71" s="14">
        <f t="shared" si="1"/>
        <v>1646480592</v>
      </c>
    </row>
    <row r="72" spans="1:6" x14ac:dyDescent="0.25">
      <c r="A72" t="s">
        <v>196</v>
      </c>
      <c r="B72" s="2">
        <v>10843350</v>
      </c>
      <c r="C72" t="s">
        <v>28</v>
      </c>
      <c r="D72" s="8">
        <v>3</v>
      </c>
      <c r="E72">
        <f>IF(AND(F72&lt;=$J$2, COUNTIF($E$2:E71,1)&lt;$K$2),1,0)</f>
        <v>0</v>
      </c>
      <c r="F72" s="14">
        <f t="shared" si="1"/>
        <v>1657323942</v>
      </c>
    </row>
    <row r="73" spans="1:6" x14ac:dyDescent="0.25">
      <c r="A73" t="s">
        <v>355</v>
      </c>
      <c r="B73" s="2">
        <v>2726880</v>
      </c>
      <c r="C73" t="s">
        <v>62</v>
      </c>
      <c r="D73" s="8">
        <v>3</v>
      </c>
      <c r="E73">
        <f>IF(AND(F73&lt;=$J$2, COUNTIF($E$2:E72,1)&lt;$K$2),1,0)</f>
        <v>0</v>
      </c>
      <c r="F73" s="14">
        <f t="shared" si="1"/>
        <v>1660050822</v>
      </c>
    </row>
    <row r="74" spans="1:6" x14ac:dyDescent="0.25">
      <c r="A74" t="s">
        <v>169</v>
      </c>
      <c r="B74" s="2">
        <v>14508929</v>
      </c>
      <c r="C74" t="s">
        <v>62</v>
      </c>
      <c r="D74" s="8">
        <v>2.95</v>
      </c>
      <c r="E74">
        <f>IF(AND(F74&lt;=$J$2, COUNTIF($E$2:E73,1)&lt;$K$2),1,0)</f>
        <v>0</v>
      </c>
      <c r="F74" s="14">
        <f t="shared" si="1"/>
        <v>1674559751</v>
      </c>
    </row>
    <row r="75" spans="1:6" x14ac:dyDescent="0.25">
      <c r="A75" t="s">
        <v>298</v>
      </c>
      <c r="B75" s="2">
        <v>4341480</v>
      </c>
      <c r="C75" t="s">
        <v>62</v>
      </c>
      <c r="D75" s="8">
        <v>2.9499999999999997</v>
      </c>
      <c r="E75">
        <f>IF(AND(F75&lt;=$J$2, COUNTIF($E$2:E74,1)&lt;$K$2),1,0)</f>
        <v>0</v>
      </c>
      <c r="F75" s="14">
        <f t="shared" si="1"/>
        <v>1678901231</v>
      </c>
    </row>
    <row r="76" spans="1:6" x14ac:dyDescent="0.25">
      <c r="A76" t="s">
        <v>205</v>
      </c>
      <c r="B76" s="2">
        <v>10123457</v>
      </c>
      <c r="C76" t="s">
        <v>75</v>
      </c>
      <c r="D76" s="8">
        <v>2.9</v>
      </c>
      <c r="E76">
        <f>IF(AND(F76&lt;=$J$2, COUNTIF($E$2:E75,1)&lt;$K$2),1,0)</f>
        <v>0</v>
      </c>
      <c r="F76" s="14">
        <f t="shared" si="1"/>
        <v>1689024688</v>
      </c>
    </row>
    <row r="77" spans="1:6" x14ac:dyDescent="0.25">
      <c r="A77" t="s">
        <v>156</v>
      </c>
      <c r="B77" s="2">
        <v>17071120</v>
      </c>
      <c r="C77" t="s">
        <v>62</v>
      </c>
      <c r="D77" s="8">
        <v>2.85</v>
      </c>
      <c r="E77">
        <f>IF(AND(F77&lt;=$J$2, COUNTIF($E$2:E76,1)&lt;$K$2),1,0)</f>
        <v>0</v>
      </c>
      <c r="F77" s="14">
        <f t="shared" si="1"/>
        <v>1706095808</v>
      </c>
    </row>
    <row r="78" spans="1:6" x14ac:dyDescent="0.25">
      <c r="A78" t="s">
        <v>126</v>
      </c>
      <c r="B78" s="2">
        <v>25806468</v>
      </c>
      <c r="C78" t="s">
        <v>28</v>
      </c>
      <c r="D78" s="8">
        <v>2.75</v>
      </c>
      <c r="E78">
        <f>IF(AND(F78&lt;=$J$2, COUNTIF($E$2:E77,1)&lt;$K$2),1,0)</f>
        <v>0</v>
      </c>
      <c r="F78" s="14">
        <f t="shared" si="1"/>
        <v>1731902276</v>
      </c>
    </row>
    <row r="79" spans="1:6" x14ac:dyDescent="0.25">
      <c r="A79" t="s">
        <v>146</v>
      </c>
      <c r="B79" s="2">
        <v>18352273</v>
      </c>
      <c r="C79" t="s">
        <v>28</v>
      </c>
      <c r="D79" s="8">
        <v>2.75</v>
      </c>
      <c r="E79">
        <f>IF(AND(F79&lt;=$J$2, COUNTIF($E$2:E78,1)&lt;$K$2),1,0)</f>
        <v>0</v>
      </c>
      <c r="F79" s="14">
        <f t="shared" si="1"/>
        <v>1750254549</v>
      </c>
    </row>
    <row r="80" spans="1:6" x14ac:dyDescent="0.25">
      <c r="A80" t="s">
        <v>239</v>
      </c>
      <c r="B80" s="2">
        <v>7644600</v>
      </c>
      <c r="C80" t="s">
        <v>65</v>
      </c>
      <c r="D80" s="8">
        <v>2.7</v>
      </c>
      <c r="E80">
        <f>IF(AND(F80&lt;=$J$2, COUNTIF($E$2:E79,1)&lt;$K$2),1,0)</f>
        <v>0</v>
      </c>
      <c r="F80" s="14">
        <f t="shared" si="1"/>
        <v>1757899149</v>
      </c>
    </row>
    <row r="81" spans="1:6" x14ac:dyDescent="0.25">
      <c r="A81" t="s">
        <v>275</v>
      </c>
      <c r="B81" s="2">
        <v>5258280</v>
      </c>
      <c r="C81" t="s">
        <v>65</v>
      </c>
      <c r="D81" s="8">
        <v>2.6500000000000004</v>
      </c>
      <c r="E81">
        <f>IF(AND(F81&lt;=$J$2, COUNTIF($E$2:E80,1)&lt;$K$2),1,0)</f>
        <v>0</v>
      </c>
      <c r="F81" s="14">
        <f t="shared" si="1"/>
        <v>1763157429</v>
      </c>
    </row>
    <row r="82" spans="1:6" x14ac:dyDescent="0.25">
      <c r="A82" t="s">
        <v>61</v>
      </c>
      <c r="B82" s="2">
        <v>43279250</v>
      </c>
      <c r="C82" t="s">
        <v>62</v>
      </c>
      <c r="D82" s="8">
        <v>2.6</v>
      </c>
      <c r="E82">
        <f>IF(AND(F82&lt;=$J$2, COUNTIF($E$2:E81,1)&lt;$K$2),1,0)</f>
        <v>0</v>
      </c>
      <c r="F82" s="14">
        <f t="shared" si="1"/>
        <v>1806436679</v>
      </c>
    </row>
    <row r="83" spans="1:6" x14ac:dyDescent="0.25">
      <c r="A83" t="s">
        <v>104</v>
      </c>
      <c r="B83" s="2">
        <v>31650600</v>
      </c>
      <c r="C83" t="s">
        <v>65</v>
      </c>
      <c r="D83" s="8">
        <v>2.6</v>
      </c>
      <c r="E83">
        <f>IF(AND(F83&lt;=$J$2, COUNTIF($E$2:E82,1)&lt;$K$2),1,0)</f>
        <v>0</v>
      </c>
      <c r="F83" s="14">
        <f t="shared" si="1"/>
        <v>1838087279</v>
      </c>
    </row>
    <row r="84" spans="1:6" x14ac:dyDescent="0.25">
      <c r="A84" t="s">
        <v>256</v>
      </c>
      <c r="B84" s="2">
        <v>6287400</v>
      </c>
      <c r="C84" t="s">
        <v>28</v>
      </c>
      <c r="D84" s="8">
        <v>2.6</v>
      </c>
      <c r="E84">
        <f>IF(AND(F84&lt;=$J$2, COUNTIF($E$2:E83,1)&lt;$K$2),1,0)</f>
        <v>0</v>
      </c>
      <c r="F84" s="14">
        <f t="shared" si="1"/>
        <v>1844374679</v>
      </c>
    </row>
    <row r="85" spans="1:6" x14ac:dyDescent="0.25">
      <c r="A85" t="s">
        <v>221</v>
      </c>
      <c r="B85" s="2">
        <v>8925000</v>
      </c>
      <c r="C85" t="s">
        <v>62</v>
      </c>
      <c r="D85" s="8">
        <v>2.5999999999999996</v>
      </c>
      <c r="E85">
        <f>IF(AND(F85&lt;=$J$2, COUNTIF($E$2:E84,1)&lt;$K$2),1,0)</f>
        <v>0</v>
      </c>
      <c r="F85" s="14">
        <f t="shared" si="1"/>
        <v>1853299679</v>
      </c>
    </row>
    <row r="86" spans="1:6" x14ac:dyDescent="0.25">
      <c r="A86" t="s">
        <v>232</v>
      </c>
      <c r="B86" s="2">
        <v>8250000</v>
      </c>
      <c r="C86" t="s">
        <v>62</v>
      </c>
      <c r="D86" s="8">
        <v>2.5500000000000003</v>
      </c>
      <c r="E86">
        <f>IF(AND(F86&lt;=$J$2, COUNTIF($E$2:E85,1)&lt;$K$2),1,0)</f>
        <v>0</v>
      </c>
      <c r="F86" s="14">
        <f t="shared" si="1"/>
        <v>1861549679</v>
      </c>
    </row>
    <row r="87" spans="1:6" x14ac:dyDescent="0.25">
      <c r="A87" t="s">
        <v>153</v>
      </c>
      <c r="B87" s="2">
        <v>17357143</v>
      </c>
      <c r="C87" t="s">
        <v>65</v>
      </c>
      <c r="D87" s="8">
        <v>2.5500000000000003</v>
      </c>
      <c r="E87">
        <f>IF(AND(F87&lt;=$J$2, COUNTIF($E$2:E86,1)&lt;$K$2),1,0)</f>
        <v>0</v>
      </c>
      <c r="F87" s="14">
        <f t="shared" si="1"/>
        <v>1878906822</v>
      </c>
    </row>
    <row r="88" spans="1:6" x14ac:dyDescent="0.25">
      <c r="A88" t="s">
        <v>99</v>
      </c>
      <c r="B88" s="2">
        <v>33333333</v>
      </c>
      <c r="C88" t="s">
        <v>62</v>
      </c>
      <c r="D88" s="8">
        <v>2.5499999999999998</v>
      </c>
      <c r="E88">
        <f>IF(AND(F88&lt;=$J$2, COUNTIF($E$2:E87,1)&lt;$K$2),1,0)</f>
        <v>0</v>
      </c>
      <c r="F88" s="14">
        <f t="shared" si="1"/>
        <v>1912240155</v>
      </c>
    </row>
    <row r="89" spans="1:6" x14ac:dyDescent="0.25">
      <c r="A89" t="s">
        <v>319</v>
      </c>
      <c r="B89" s="2">
        <v>3613680</v>
      </c>
      <c r="C89" t="s">
        <v>52</v>
      </c>
      <c r="D89" s="8">
        <v>2.5</v>
      </c>
      <c r="E89">
        <f>IF(AND(F89&lt;=$J$2, COUNTIF($E$2:E88,1)&lt;$K$2),1,0)</f>
        <v>0</v>
      </c>
      <c r="F89" s="14">
        <f t="shared" si="1"/>
        <v>1915853835</v>
      </c>
    </row>
    <row r="90" spans="1:6" x14ac:dyDescent="0.25">
      <c r="A90" t="s">
        <v>184</v>
      </c>
      <c r="B90" s="2">
        <v>12690000</v>
      </c>
      <c r="C90" t="s">
        <v>28</v>
      </c>
      <c r="D90" s="8">
        <v>2.4500000000000002</v>
      </c>
      <c r="E90">
        <f>IF(AND(F90&lt;=$J$2, COUNTIF($E$2:E89,1)&lt;$K$2),1,0)</f>
        <v>0</v>
      </c>
      <c r="F90" s="14">
        <f t="shared" si="1"/>
        <v>1928543835</v>
      </c>
    </row>
    <row r="91" spans="1:6" x14ac:dyDescent="0.25">
      <c r="A91" t="s">
        <v>292</v>
      </c>
      <c r="B91" s="2">
        <v>4500000</v>
      </c>
      <c r="C91" t="s">
        <v>62</v>
      </c>
      <c r="D91" s="8">
        <v>2.4500000000000002</v>
      </c>
      <c r="E91">
        <f>IF(AND(F91&lt;=$J$2, COUNTIF($E$2:E90,1)&lt;$K$2),1,0)</f>
        <v>0</v>
      </c>
      <c r="F91" s="14">
        <f t="shared" si="1"/>
        <v>1933043835</v>
      </c>
    </row>
    <row r="92" spans="1:6" x14ac:dyDescent="0.25">
      <c r="A92" t="s">
        <v>198</v>
      </c>
      <c r="B92" s="2">
        <v>10733400</v>
      </c>
      <c r="C92" t="s">
        <v>62</v>
      </c>
      <c r="D92" s="8">
        <v>2.4</v>
      </c>
      <c r="E92">
        <f>IF(AND(F92&lt;=$J$2, COUNTIF($E$2:E91,1)&lt;$K$2),1,0)</f>
        <v>0</v>
      </c>
      <c r="F92" s="14">
        <f t="shared" si="1"/>
        <v>1943777235</v>
      </c>
    </row>
    <row r="93" spans="1:6" x14ac:dyDescent="0.25">
      <c r="A93" t="s">
        <v>219</v>
      </c>
      <c r="B93" s="2">
        <v>9030000</v>
      </c>
      <c r="C93" t="s">
        <v>52</v>
      </c>
      <c r="D93" s="8">
        <v>2.35</v>
      </c>
      <c r="E93">
        <f>IF(AND(F93&lt;=$J$2, COUNTIF($E$2:E92,1)&lt;$K$2),1,0)</f>
        <v>0</v>
      </c>
      <c r="F93" s="14">
        <f t="shared" si="1"/>
        <v>1952807235</v>
      </c>
    </row>
    <row r="94" spans="1:6" x14ac:dyDescent="0.25">
      <c r="A94" t="s">
        <v>428</v>
      </c>
      <c r="B94" s="2">
        <v>1836090</v>
      </c>
      <c r="C94" t="s">
        <v>62</v>
      </c>
      <c r="D94" s="8">
        <v>2.35</v>
      </c>
      <c r="E94">
        <f>IF(AND(F94&lt;=$J$2, COUNTIF($E$2:E93,1)&lt;$K$2),1,0)</f>
        <v>0</v>
      </c>
      <c r="F94" s="14">
        <f t="shared" si="1"/>
        <v>1954643325</v>
      </c>
    </row>
    <row r="95" spans="1:6" x14ac:dyDescent="0.25">
      <c r="A95" t="s">
        <v>183</v>
      </c>
      <c r="B95" s="2">
        <v>12804878</v>
      </c>
      <c r="C95" t="s">
        <v>75</v>
      </c>
      <c r="D95" s="8">
        <v>2.35</v>
      </c>
      <c r="E95">
        <f>IF(AND(F95&lt;=$J$2, COUNTIF($E$2:E94,1)&lt;$K$2),1,0)</f>
        <v>0</v>
      </c>
      <c r="F95" s="14">
        <f t="shared" si="1"/>
        <v>1967448203</v>
      </c>
    </row>
    <row r="96" spans="1:6" x14ac:dyDescent="0.25">
      <c r="A96" t="s">
        <v>217</v>
      </c>
      <c r="B96" s="2">
        <v>9125000</v>
      </c>
      <c r="C96" t="s">
        <v>52</v>
      </c>
      <c r="D96" s="8">
        <v>2.35</v>
      </c>
      <c r="E96">
        <f>IF(AND(F96&lt;=$J$2, COUNTIF($E$2:E95,1)&lt;$K$2),1,0)</f>
        <v>0</v>
      </c>
      <c r="F96" s="14">
        <f t="shared" si="1"/>
        <v>1976573203</v>
      </c>
    </row>
    <row r="97" spans="1:6" x14ac:dyDescent="0.25">
      <c r="A97" t="s">
        <v>379</v>
      </c>
      <c r="B97" s="2">
        <v>2277000</v>
      </c>
      <c r="C97" t="s">
        <v>62</v>
      </c>
      <c r="D97" s="8">
        <v>2.35</v>
      </c>
      <c r="E97">
        <f>IF(AND(F97&lt;=$J$2, COUNTIF($E$2:E96,1)&lt;$K$2),1,0)</f>
        <v>0</v>
      </c>
      <c r="F97" s="14">
        <f t="shared" si="1"/>
        <v>1978850203</v>
      </c>
    </row>
    <row r="98" spans="1:6" x14ac:dyDescent="0.25">
      <c r="A98" t="s">
        <v>409</v>
      </c>
      <c r="B98" s="2">
        <v>1968175</v>
      </c>
      <c r="C98" t="s">
        <v>75</v>
      </c>
      <c r="D98" s="8">
        <v>2.3499999999999996</v>
      </c>
      <c r="E98">
        <f>IF(AND(F98&lt;=$J$2, COUNTIF($E$2:E97,1)&lt;$K$2),1,0)</f>
        <v>0</v>
      </c>
      <c r="F98" s="14">
        <f t="shared" si="1"/>
        <v>1980818378</v>
      </c>
    </row>
    <row r="99" spans="1:6" x14ac:dyDescent="0.25">
      <c r="A99" t="s">
        <v>411</v>
      </c>
      <c r="B99" s="2">
        <v>1968175</v>
      </c>
      <c r="C99" t="s">
        <v>75</v>
      </c>
      <c r="D99" s="8">
        <v>2.25</v>
      </c>
      <c r="E99">
        <f>IF(AND(F99&lt;=$J$2, COUNTIF($E$2:E98,1)&lt;$K$2),1,0)</f>
        <v>0</v>
      </c>
      <c r="F99" s="14">
        <f t="shared" si="1"/>
        <v>1982786553</v>
      </c>
    </row>
    <row r="100" spans="1:6" x14ac:dyDescent="0.25">
      <c r="A100" t="s">
        <v>445</v>
      </c>
      <c r="B100" s="2">
        <v>1637966</v>
      </c>
      <c r="C100" t="s">
        <v>65</v>
      </c>
      <c r="D100" s="8">
        <v>2.2000000000000002</v>
      </c>
      <c r="E100">
        <f>IF(AND(F100&lt;=$J$2, COUNTIF($E$2:E99,1)&lt;$K$2),1,0)</f>
        <v>0</v>
      </c>
      <c r="F100" s="14">
        <f t="shared" si="1"/>
        <v>1984424519</v>
      </c>
    </row>
    <row r="101" spans="1:6" x14ac:dyDescent="0.25">
      <c r="A101" t="s">
        <v>223</v>
      </c>
      <c r="B101" s="2">
        <v>8854879</v>
      </c>
      <c r="C101" t="s">
        <v>75</v>
      </c>
      <c r="D101" s="8">
        <v>2.15</v>
      </c>
      <c r="E101">
        <f>IF(AND(F101&lt;=$J$2, COUNTIF($E$2:E100,1)&lt;$K$2),1,0)</f>
        <v>0</v>
      </c>
      <c r="F101" s="14">
        <f t="shared" si="1"/>
        <v>1993279398</v>
      </c>
    </row>
    <row r="102" spans="1:6" x14ac:dyDescent="0.25">
      <c r="A102" t="s">
        <v>144</v>
      </c>
      <c r="B102" s="2">
        <v>18796296</v>
      </c>
      <c r="C102" t="s">
        <v>62</v>
      </c>
      <c r="D102" s="8">
        <v>2.1</v>
      </c>
      <c r="E102">
        <f>IF(AND(F102&lt;=$J$2, COUNTIF($E$2:E101,1)&lt;$K$2),1,0)</f>
        <v>0</v>
      </c>
      <c r="F102" s="14">
        <f t="shared" si="1"/>
        <v>2012075694</v>
      </c>
    </row>
    <row r="103" spans="1:6" x14ac:dyDescent="0.25">
      <c r="A103" t="s">
        <v>227</v>
      </c>
      <c r="B103" s="2">
        <v>8623920</v>
      </c>
      <c r="C103" t="s">
        <v>52</v>
      </c>
      <c r="D103" s="8">
        <v>2.1</v>
      </c>
      <c r="E103">
        <f>IF(AND(F103&lt;=$J$2, COUNTIF($E$2:E102,1)&lt;$K$2),1,0)</f>
        <v>0</v>
      </c>
      <c r="F103" s="14">
        <f t="shared" si="1"/>
        <v>2020699614</v>
      </c>
    </row>
    <row r="104" spans="1:6" x14ac:dyDescent="0.25">
      <c r="A104" t="s">
        <v>161</v>
      </c>
      <c r="B104" s="2">
        <v>16500000</v>
      </c>
      <c r="C104" t="s">
        <v>52</v>
      </c>
      <c r="D104" s="8">
        <v>2.1</v>
      </c>
      <c r="E104">
        <f>IF(AND(F104&lt;=$J$2, COUNTIF($E$2:E103,1)&lt;$K$2),1,0)</f>
        <v>0</v>
      </c>
      <c r="F104" s="14">
        <f t="shared" si="1"/>
        <v>2037199614</v>
      </c>
    </row>
    <row r="105" spans="1:6" x14ac:dyDescent="0.25">
      <c r="A105" t="s">
        <v>141</v>
      </c>
      <c r="B105" s="2">
        <v>19700319</v>
      </c>
      <c r="C105" t="s">
        <v>28</v>
      </c>
      <c r="D105" s="8">
        <v>2.0499999999999998</v>
      </c>
      <c r="E105">
        <f>IF(AND(F105&lt;=$J$2, COUNTIF($E$2:E104,1)&lt;$K$2),1,0)</f>
        <v>0</v>
      </c>
      <c r="F105" s="14">
        <f t="shared" si="1"/>
        <v>2056899933</v>
      </c>
    </row>
    <row r="106" spans="1:6" x14ac:dyDescent="0.25">
      <c r="A106" t="s">
        <v>413</v>
      </c>
      <c r="B106" s="2">
        <v>1930681</v>
      </c>
      <c r="C106" t="s">
        <v>62</v>
      </c>
      <c r="D106" s="8">
        <v>2.0499999999999998</v>
      </c>
      <c r="E106">
        <f>IF(AND(F106&lt;=$J$2, COUNTIF($E$2:E105,1)&lt;$K$2),1,0)</f>
        <v>0</v>
      </c>
      <c r="F106" s="14">
        <f t="shared" si="1"/>
        <v>2058830614</v>
      </c>
    </row>
    <row r="107" spans="1:6" x14ac:dyDescent="0.25">
      <c r="A107" t="s">
        <v>269</v>
      </c>
      <c r="B107" s="2">
        <v>5722116</v>
      </c>
      <c r="C107" t="s">
        <v>62</v>
      </c>
      <c r="D107" s="8">
        <v>2.0499999999999998</v>
      </c>
      <c r="E107">
        <f>IF(AND(F107&lt;=$J$2, COUNTIF($E$2:E106,1)&lt;$K$2),1,0)</f>
        <v>0</v>
      </c>
      <c r="F107" s="14">
        <f t="shared" si="1"/>
        <v>2064552730</v>
      </c>
    </row>
    <row r="108" spans="1:6" x14ac:dyDescent="0.25">
      <c r="A108" t="s">
        <v>375</v>
      </c>
      <c r="B108" s="2">
        <v>2300000</v>
      </c>
      <c r="C108" t="s">
        <v>65</v>
      </c>
      <c r="D108" s="8">
        <v>2</v>
      </c>
      <c r="E108">
        <f>IF(AND(F108&lt;=$J$2, COUNTIF($E$2:E107,1)&lt;$K$2),1,0)</f>
        <v>0</v>
      </c>
      <c r="F108" s="14">
        <f t="shared" si="1"/>
        <v>2066852730</v>
      </c>
    </row>
    <row r="109" spans="1:6" x14ac:dyDescent="0.25">
      <c r="A109" t="s">
        <v>423</v>
      </c>
      <c r="B109" s="2">
        <v>1878720</v>
      </c>
      <c r="C109" t="s">
        <v>75</v>
      </c>
      <c r="D109" s="8">
        <v>2</v>
      </c>
      <c r="E109">
        <f>IF(AND(F109&lt;=$J$2, COUNTIF($E$2:E108,1)&lt;$K$2),1,0)</f>
        <v>0</v>
      </c>
      <c r="F109" s="14">
        <f t="shared" si="1"/>
        <v>2068731450</v>
      </c>
    </row>
    <row r="110" spans="1:6" x14ac:dyDescent="0.25">
      <c r="A110" t="s">
        <v>415</v>
      </c>
      <c r="B110" s="2">
        <v>1930681</v>
      </c>
      <c r="C110" t="s">
        <v>75</v>
      </c>
      <c r="D110" s="8">
        <v>2</v>
      </c>
      <c r="E110">
        <f>IF(AND(F110&lt;=$J$2, COUNTIF($E$2:E109,1)&lt;$K$2),1,0)</f>
        <v>0</v>
      </c>
      <c r="F110" s="14">
        <f t="shared" si="1"/>
        <v>2070662131</v>
      </c>
    </row>
    <row r="111" spans="1:6" x14ac:dyDescent="0.25">
      <c r="A111" t="s">
        <v>149</v>
      </c>
      <c r="B111" s="2">
        <v>17926829</v>
      </c>
      <c r="C111" t="s">
        <v>75</v>
      </c>
      <c r="D111" s="8">
        <v>2</v>
      </c>
      <c r="E111">
        <f>IF(AND(F111&lt;=$J$2, COUNTIF($E$2:E110,1)&lt;$K$2),1,0)</f>
        <v>0</v>
      </c>
      <c r="F111" s="14">
        <f t="shared" si="1"/>
        <v>2088588960</v>
      </c>
    </row>
    <row r="112" spans="1:6" x14ac:dyDescent="0.25">
      <c r="A112" t="s">
        <v>246</v>
      </c>
      <c r="B112" s="2">
        <v>7040880</v>
      </c>
      <c r="C112" t="s">
        <v>65</v>
      </c>
      <c r="D112" s="8">
        <v>1.9500000000000002</v>
      </c>
      <c r="E112">
        <f>IF(AND(F112&lt;=$J$2, COUNTIF($E$2:E111,1)&lt;$K$2),1,0)</f>
        <v>0</v>
      </c>
      <c r="F112" s="14">
        <f t="shared" si="1"/>
        <v>2095629840</v>
      </c>
    </row>
    <row r="113" spans="1:6" x14ac:dyDescent="0.25">
      <c r="A113" t="s">
        <v>176</v>
      </c>
      <c r="B113" s="2">
        <v>13745455</v>
      </c>
      <c r="C113" t="s">
        <v>62</v>
      </c>
      <c r="D113" s="8">
        <v>1.95</v>
      </c>
      <c r="E113">
        <f>IF(AND(F113&lt;=$J$2, COUNTIF($E$2:E112,1)&lt;$K$2),1,0)</f>
        <v>0</v>
      </c>
      <c r="F113" s="14">
        <f t="shared" si="1"/>
        <v>2109375295</v>
      </c>
    </row>
    <row r="114" spans="1:6" x14ac:dyDescent="0.25">
      <c r="A114" t="s">
        <v>193</v>
      </c>
      <c r="B114" s="2">
        <v>11080125</v>
      </c>
      <c r="C114" t="s">
        <v>75</v>
      </c>
      <c r="D114" s="8">
        <v>1.9499999999999997</v>
      </c>
      <c r="E114">
        <f>IF(AND(F114&lt;=$J$2, COUNTIF($E$2:E113,1)&lt;$K$2),1,0)</f>
        <v>0</v>
      </c>
      <c r="F114" s="14">
        <f t="shared" si="1"/>
        <v>2120455420</v>
      </c>
    </row>
    <row r="115" spans="1:6" x14ac:dyDescent="0.25">
      <c r="A115" t="s">
        <v>137</v>
      </c>
      <c r="B115" s="2">
        <v>20955000</v>
      </c>
      <c r="C115" t="s">
        <v>28</v>
      </c>
      <c r="D115" s="8">
        <v>1.9499999999999997</v>
      </c>
      <c r="E115">
        <f>IF(AND(F115&lt;=$J$2, COUNTIF($E$2:E114,1)&lt;$K$2),1,0)</f>
        <v>0</v>
      </c>
      <c r="F115" s="14">
        <f t="shared" si="1"/>
        <v>2141410420</v>
      </c>
    </row>
    <row r="116" spans="1:6" x14ac:dyDescent="0.25">
      <c r="A116" t="s">
        <v>252</v>
      </c>
      <c r="B116" s="2">
        <v>6479000</v>
      </c>
      <c r="C116" t="s">
        <v>65</v>
      </c>
      <c r="D116" s="8">
        <v>1.9</v>
      </c>
      <c r="E116">
        <f>IF(AND(F116&lt;=$J$2, COUNTIF($E$2:E115,1)&lt;$K$2),1,0)</f>
        <v>0</v>
      </c>
      <c r="F116" s="14">
        <f t="shared" si="1"/>
        <v>2147889420</v>
      </c>
    </row>
    <row r="117" spans="1:6" x14ac:dyDescent="0.25">
      <c r="A117" t="s">
        <v>402</v>
      </c>
      <c r="B117" s="2">
        <v>2000000</v>
      </c>
      <c r="C117" t="s">
        <v>28</v>
      </c>
      <c r="D117" s="8">
        <v>1.9</v>
      </c>
      <c r="E117">
        <f>IF(AND(F117&lt;=$J$2, COUNTIF($E$2:E116,1)&lt;$K$2),1,0)</f>
        <v>0</v>
      </c>
      <c r="F117" s="14">
        <f t="shared" si="1"/>
        <v>2149889420</v>
      </c>
    </row>
    <row r="118" spans="1:6" x14ac:dyDescent="0.25">
      <c r="A118" t="s">
        <v>159</v>
      </c>
      <c r="B118" s="2">
        <v>16758621</v>
      </c>
      <c r="C118" t="s">
        <v>62</v>
      </c>
      <c r="D118" s="8">
        <v>1.9</v>
      </c>
      <c r="E118">
        <f>IF(AND(F118&lt;=$J$2, COUNTIF($E$2:E117,1)&lt;$K$2),1,0)</f>
        <v>0</v>
      </c>
      <c r="F118" s="14">
        <f t="shared" si="1"/>
        <v>2166648041</v>
      </c>
    </row>
    <row r="119" spans="1:6" x14ac:dyDescent="0.25">
      <c r="A119" t="s">
        <v>207</v>
      </c>
      <c r="B119" s="2">
        <v>10012800</v>
      </c>
      <c r="C119" t="s">
        <v>62</v>
      </c>
      <c r="D119" s="8">
        <v>1.85</v>
      </c>
      <c r="E119">
        <f>IF(AND(F119&lt;=$J$2, COUNTIF($E$2:E118,1)&lt;$K$2),1,0)</f>
        <v>0</v>
      </c>
      <c r="F119" s="14">
        <f t="shared" si="1"/>
        <v>2176660841</v>
      </c>
    </row>
    <row r="120" spans="1:6" x14ac:dyDescent="0.25">
      <c r="A120" t="s">
        <v>303</v>
      </c>
      <c r="B120" s="2">
        <v>4124280</v>
      </c>
      <c r="C120" t="s">
        <v>75</v>
      </c>
      <c r="D120" s="8">
        <v>1.85</v>
      </c>
      <c r="E120">
        <f>IF(AND(F120&lt;=$J$2, COUNTIF($E$2:E119,1)&lt;$K$2),1,0)</f>
        <v>0</v>
      </c>
      <c r="F120" s="14">
        <f t="shared" si="1"/>
        <v>2180785121</v>
      </c>
    </row>
    <row r="121" spans="1:6" x14ac:dyDescent="0.25">
      <c r="A121" t="s">
        <v>234</v>
      </c>
      <c r="B121" s="2">
        <v>8008440</v>
      </c>
      <c r="C121" t="s">
        <v>65</v>
      </c>
      <c r="D121" s="8">
        <v>1.8499999999999999</v>
      </c>
      <c r="E121">
        <f>IF(AND(F121&lt;=$J$2, COUNTIF($E$2:E120,1)&lt;$K$2),1,0)</f>
        <v>0</v>
      </c>
      <c r="F121" s="14">
        <f t="shared" si="1"/>
        <v>2188793561</v>
      </c>
    </row>
    <row r="122" spans="1:6" x14ac:dyDescent="0.25">
      <c r="A122" t="s">
        <v>121</v>
      </c>
      <c r="B122" s="2">
        <v>28333334</v>
      </c>
      <c r="C122" t="s">
        <v>52</v>
      </c>
      <c r="D122" s="8">
        <v>1.8</v>
      </c>
      <c r="E122">
        <f>IF(AND(F122&lt;=$J$2, COUNTIF($E$2:E121,1)&lt;$K$2),1,0)</f>
        <v>0</v>
      </c>
      <c r="F122" s="14">
        <f t="shared" si="1"/>
        <v>2217126895</v>
      </c>
    </row>
    <row r="123" spans="1:6" x14ac:dyDescent="0.25">
      <c r="A123" t="s">
        <v>337</v>
      </c>
      <c r="B123" s="2">
        <v>2959080</v>
      </c>
      <c r="C123" t="s">
        <v>65</v>
      </c>
      <c r="D123" s="8">
        <v>1.8</v>
      </c>
      <c r="E123">
        <f>IF(AND(F123&lt;=$J$2, COUNTIF($E$2:E122,1)&lt;$K$2),1,0)</f>
        <v>0</v>
      </c>
      <c r="F123" s="14">
        <f t="shared" si="1"/>
        <v>2220085975</v>
      </c>
    </row>
    <row r="124" spans="1:6" x14ac:dyDescent="0.25">
      <c r="A124" t="s">
        <v>171</v>
      </c>
      <c r="B124" s="2">
        <v>14004703</v>
      </c>
      <c r="C124" t="s">
        <v>62</v>
      </c>
      <c r="D124" s="8">
        <v>1.75</v>
      </c>
      <c r="E124">
        <f>IF(AND(F124&lt;=$J$2, COUNTIF($E$2:E123,1)&lt;$K$2),1,0)</f>
        <v>0</v>
      </c>
      <c r="F124" s="14">
        <f t="shared" si="1"/>
        <v>2234090678</v>
      </c>
    </row>
    <row r="125" spans="1:6" x14ac:dyDescent="0.25">
      <c r="A125" t="s">
        <v>211</v>
      </c>
      <c r="B125" s="2">
        <v>9472219</v>
      </c>
      <c r="C125" t="s">
        <v>62</v>
      </c>
      <c r="D125" s="8">
        <v>1.75</v>
      </c>
      <c r="E125">
        <f>IF(AND(F125&lt;=$J$2, COUNTIF($E$2:E124,1)&lt;$K$2),1,0)</f>
        <v>0</v>
      </c>
      <c r="F125" s="14">
        <f t="shared" si="1"/>
        <v>2243562897</v>
      </c>
    </row>
    <row r="126" spans="1:6" x14ac:dyDescent="0.25">
      <c r="A126" t="s">
        <v>280</v>
      </c>
      <c r="B126" s="2">
        <v>5121951</v>
      </c>
      <c r="C126" t="s">
        <v>28</v>
      </c>
      <c r="D126" s="8">
        <v>1.7</v>
      </c>
      <c r="E126">
        <f>IF(AND(F126&lt;=$J$2, COUNTIF($E$2:E125,1)&lt;$K$2),1,0)</f>
        <v>0</v>
      </c>
      <c r="F126" s="14">
        <f t="shared" si="1"/>
        <v>2248684848</v>
      </c>
    </row>
    <row r="127" spans="1:6" x14ac:dyDescent="0.25">
      <c r="A127" t="s">
        <v>299</v>
      </c>
      <c r="B127" s="2">
        <v>4306281</v>
      </c>
      <c r="C127" t="s">
        <v>28</v>
      </c>
      <c r="D127" s="8">
        <v>1.6500000000000001</v>
      </c>
      <c r="E127">
        <f>IF(AND(F127&lt;=$J$2, COUNTIF($E$2:E126,1)&lt;$K$2),1,0)</f>
        <v>0</v>
      </c>
      <c r="F127" s="14">
        <f t="shared" si="1"/>
        <v>2252991129</v>
      </c>
    </row>
    <row r="128" spans="1:6" x14ac:dyDescent="0.25">
      <c r="A128" t="s">
        <v>387</v>
      </c>
      <c r="B128" s="2">
        <v>2161440</v>
      </c>
      <c r="C128" t="s">
        <v>65</v>
      </c>
      <c r="D128" s="8">
        <v>1.6</v>
      </c>
      <c r="E128">
        <f>IF(AND(F128&lt;=$J$2, COUNTIF($E$2:E127,1)&lt;$K$2),1,0)</f>
        <v>0</v>
      </c>
      <c r="F128" s="14">
        <f t="shared" si="1"/>
        <v>2255152569</v>
      </c>
    </row>
    <row r="129" spans="1:6" x14ac:dyDescent="0.25">
      <c r="A129" t="s">
        <v>111</v>
      </c>
      <c r="B129" s="2">
        <v>30556968</v>
      </c>
      <c r="C129" t="s">
        <v>28</v>
      </c>
      <c r="D129" s="8">
        <v>1.6</v>
      </c>
      <c r="E129">
        <f>IF(AND(F129&lt;=$J$2, COUNTIF($E$2:E128,1)&lt;$K$2),1,0)</f>
        <v>0</v>
      </c>
      <c r="F129" s="14">
        <f t="shared" si="1"/>
        <v>2285709537</v>
      </c>
    </row>
    <row r="130" spans="1:6" x14ac:dyDescent="0.25">
      <c r="A130" t="s">
        <v>128</v>
      </c>
      <c r="B130" s="2">
        <v>23500000</v>
      </c>
      <c r="C130" t="s">
        <v>28</v>
      </c>
      <c r="D130" s="8">
        <v>1.4500000000000002</v>
      </c>
      <c r="E130">
        <f>IF(AND(F130&lt;=$J$2, COUNTIF($E$2:E129,1)&lt;$K$2),1,0)</f>
        <v>0</v>
      </c>
      <c r="F130" s="14">
        <f t="shared" si="1"/>
        <v>2309209537</v>
      </c>
    </row>
    <row r="131" spans="1:6" x14ac:dyDescent="0.25">
      <c r="A131" t="s">
        <v>464</v>
      </c>
      <c r="B131" s="2">
        <v>1280206</v>
      </c>
      <c r="C131" t="s">
        <v>52</v>
      </c>
      <c r="D131" s="8">
        <v>1.4500000000000002</v>
      </c>
      <c r="E131">
        <f>IF(AND(F131&lt;=$J$2, COUNTIF($E$2:E130,1)&lt;$K$2),1,0)</f>
        <v>0</v>
      </c>
      <c r="F131" s="14">
        <f t="shared" si="1"/>
        <v>2310489743</v>
      </c>
    </row>
    <row r="132" spans="1:6" x14ac:dyDescent="0.25">
      <c r="A132" t="s">
        <v>434</v>
      </c>
      <c r="B132" s="2">
        <v>1782621</v>
      </c>
      <c r="C132" t="s">
        <v>75</v>
      </c>
      <c r="D132" s="8">
        <v>1.4500000000000002</v>
      </c>
      <c r="E132">
        <f>IF(AND(F132&lt;=$J$2, COUNTIF($E$2:E131,1)&lt;$K$2),1,0)</f>
        <v>0</v>
      </c>
      <c r="F132" s="14">
        <f t="shared" ref="F132:F193" si="2">F131 + B132</f>
        <v>2312272364</v>
      </c>
    </row>
    <row r="133" spans="1:6" x14ac:dyDescent="0.25">
      <c r="A133" t="s">
        <v>259</v>
      </c>
      <c r="B133" s="2">
        <v>6025000</v>
      </c>
      <c r="C133" t="s">
        <v>52</v>
      </c>
      <c r="D133" s="8">
        <v>1.45</v>
      </c>
      <c r="E133">
        <f>IF(AND(F133&lt;=$J$2, COUNTIF($E$2:E132,1)&lt;$K$2),1,0)</f>
        <v>0</v>
      </c>
      <c r="F133" s="14">
        <f t="shared" si="2"/>
        <v>2318297364</v>
      </c>
    </row>
    <row r="134" spans="1:6" x14ac:dyDescent="0.25">
      <c r="A134" t="s">
        <v>71</v>
      </c>
      <c r="B134" s="2">
        <v>40600080</v>
      </c>
      <c r="C134" t="s">
        <v>65</v>
      </c>
      <c r="D134" s="8">
        <v>1.4000000000000001</v>
      </c>
      <c r="E134">
        <f>IF(AND(F134&lt;=$J$2, COUNTIF($E$2:E133,1)&lt;$K$2),1,0)</f>
        <v>0</v>
      </c>
      <c r="F134" s="14">
        <f t="shared" si="2"/>
        <v>2358897444</v>
      </c>
    </row>
    <row r="135" spans="1:6" x14ac:dyDescent="0.25">
      <c r="A135" t="s">
        <v>154</v>
      </c>
      <c r="B135" s="2">
        <v>17207142</v>
      </c>
      <c r="C135" t="s">
        <v>52</v>
      </c>
      <c r="D135" s="8">
        <v>1.35</v>
      </c>
      <c r="E135">
        <f>IF(AND(F135&lt;=$J$2, COUNTIF($E$2:E134,1)&lt;$K$2),1,0)</f>
        <v>0</v>
      </c>
      <c r="F135" s="14">
        <f t="shared" si="2"/>
        <v>2376104586</v>
      </c>
    </row>
    <row r="136" spans="1:6" x14ac:dyDescent="0.25">
      <c r="A136" t="s">
        <v>88</v>
      </c>
      <c r="B136" s="2">
        <v>35448672</v>
      </c>
      <c r="C136" t="s">
        <v>52</v>
      </c>
      <c r="D136" s="8">
        <v>1.3</v>
      </c>
      <c r="E136">
        <f>IF(AND(F136&lt;=$J$2, COUNTIF($E$2:E135,1)&lt;$K$2),1,0)</f>
        <v>0</v>
      </c>
      <c r="F136" s="14">
        <f t="shared" si="2"/>
        <v>2411553258</v>
      </c>
    </row>
    <row r="137" spans="1:6" x14ac:dyDescent="0.25">
      <c r="A137" t="s">
        <v>240</v>
      </c>
      <c r="B137" s="2">
        <v>7426088</v>
      </c>
      <c r="C137" t="s">
        <v>65</v>
      </c>
      <c r="D137" s="8">
        <v>1.2999999999999998</v>
      </c>
      <c r="E137">
        <f>IF(AND(F137&lt;=$J$2, COUNTIF($E$2:E136,1)&lt;$K$2),1,0)</f>
        <v>0</v>
      </c>
      <c r="F137" s="14">
        <f t="shared" si="2"/>
        <v>2418979346</v>
      </c>
    </row>
    <row r="138" spans="1:6" x14ac:dyDescent="0.25">
      <c r="A138" t="s">
        <v>410</v>
      </c>
      <c r="B138" s="2">
        <v>1968175</v>
      </c>
      <c r="C138" t="s">
        <v>62</v>
      </c>
      <c r="D138" s="8">
        <v>1.2999999999999998</v>
      </c>
      <c r="E138">
        <f>IF(AND(F138&lt;=$J$2, COUNTIF($E$2:E137,1)&lt;$K$2),1,0)</f>
        <v>0</v>
      </c>
      <c r="F138" s="14">
        <f t="shared" si="2"/>
        <v>2420947521</v>
      </c>
    </row>
    <row r="139" spans="1:6" x14ac:dyDescent="0.25">
      <c r="A139" t="s">
        <v>253</v>
      </c>
      <c r="B139" s="2">
        <v>6479000</v>
      </c>
      <c r="C139" t="s">
        <v>65</v>
      </c>
      <c r="D139" s="8">
        <v>1.25</v>
      </c>
      <c r="E139">
        <f>IF(AND(F139&lt;=$J$2, COUNTIF($E$2:E138,1)&lt;$K$2),1,0)</f>
        <v>0</v>
      </c>
      <c r="F139" s="14">
        <f t="shared" si="2"/>
        <v>2427426521</v>
      </c>
    </row>
    <row r="140" spans="1:6" x14ac:dyDescent="0.25">
      <c r="A140" t="s">
        <v>354</v>
      </c>
      <c r="B140" s="2">
        <v>2792640</v>
      </c>
      <c r="C140" t="s">
        <v>65</v>
      </c>
      <c r="D140" s="8">
        <v>1.2</v>
      </c>
      <c r="E140">
        <f>IF(AND(F140&lt;=$J$2, COUNTIF($E$2:E139,1)&lt;$K$2),1,0)</f>
        <v>0</v>
      </c>
      <c r="F140" s="14">
        <f t="shared" si="2"/>
        <v>2430219161</v>
      </c>
    </row>
    <row r="141" spans="1:6" x14ac:dyDescent="0.25">
      <c r="A141" t="s">
        <v>438</v>
      </c>
      <c r="B141" s="2">
        <v>1782621</v>
      </c>
      <c r="C141" t="s">
        <v>52</v>
      </c>
      <c r="D141" s="8">
        <v>1.2</v>
      </c>
      <c r="E141">
        <f>IF(AND(F141&lt;=$J$2, COUNTIF($E$2:E140,1)&lt;$K$2),1,0)</f>
        <v>0</v>
      </c>
      <c r="F141" s="14">
        <f t="shared" si="2"/>
        <v>2432001782</v>
      </c>
    </row>
    <row r="142" spans="1:6" x14ac:dyDescent="0.25">
      <c r="A142" t="s">
        <v>241</v>
      </c>
      <c r="B142" s="2">
        <v>7413955</v>
      </c>
      <c r="C142" t="s">
        <v>62</v>
      </c>
      <c r="D142" s="8">
        <v>1.1499999999999999</v>
      </c>
      <c r="E142">
        <f>IF(AND(F142&lt;=$J$2, COUNTIF($E$2:E141,1)&lt;$K$2),1,0)</f>
        <v>0</v>
      </c>
      <c r="F142" s="14">
        <f t="shared" si="2"/>
        <v>2439415737</v>
      </c>
    </row>
    <row r="143" spans="1:6" x14ac:dyDescent="0.25">
      <c r="A143" t="s">
        <v>320</v>
      </c>
      <c r="B143" s="2">
        <v>3552840</v>
      </c>
      <c r="C143" t="s">
        <v>65</v>
      </c>
      <c r="D143" s="8">
        <v>1.1499999999999999</v>
      </c>
      <c r="E143">
        <f>IF(AND(F143&lt;=$J$2, COUNTIF($E$2:E142,1)&lt;$K$2),1,0)</f>
        <v>0</v>
      </c>
      <c r="F143" s="14">
        <f t="shared" si="2"/>
        <v>2442968577</v>
      </c>
    </row>
    <row r="144" spans="1:6" x14ac:dyDescent="0.25">
      <c r="A144" t="s">
        <v>238</v>
      </c>
      <c r="B144" s="2">
        <v>7775400</v>
      </c>
      <c r="C144" t="s">
        <v>28</v>
      </c>
      <c r="D144" s="8">
        <v>1.1000000000000001</v>
      </c>
      <c r="E144">
        <f>IF(AND(F144&lt;=$J$2, COUNTIF($E$2:E143,1)&lt;$K$2),1,0)</f>
        <v>0</v>
      </c>
      <c r="F144" s="14">
        <f t="shared" si="2"/>
        <v>2450743977</v>
      </c>
    </row>
    <row r="145" spans="1:6" x14ac:dyDescent="0.25">
      <c r="A145" t="s">
        <v>424</v>
      </c>
      <c r="B145" s="2">
        <v>1878720</v>
      </c>
      <c r="C145" t="s">
        <v>28</v>
      </c>
      <c r="D145" s="8">
        <v>1.05</v>
      </c>
      <c r="E145">
        <f>IF(AND(F145&lt;=$J$2, COUNTIF($E$2:E144,1)&lt;$K$2),1,0)</f>
        <v>0</v>
      </c>
      <c r="F145" s="14">
        <f t="shared" si="2"/>
        <v>2452622697</v>
      </c>
    </row>
    <row r="146" spans="1:6" x14ac:dyDescent="0.25">
      <c r="A146" t="s">
        <v>56</v>
      </c>
      <c r="B146" s="2">
        <v>47080179</v>
      </c>
      <c r="C146" t="s">
        <v>52</v>
      </c>
      <c r="D146" s="8">
        <v>1.05</v>
      </c>
      <c r="E146">
        <f>IF(AND(F146&lt;=$J$2, COUNTIF($E$2:E145,1)&lt;$K$2),1,0)</f>
        <v>0</v>
      </c>
      <c r="F146" s="14">
        <f t="shared" si="2"/>
        <v>2499702876</v>
      </c>
    </row>
    <row r="147" spans="1:6" x14ac:dyDescent="0.25">
      <c r="A147" t="s">
        <v>242</v>
      </c>
      <c r="B147" s="2">
        <v>7350000</v>
      </c>
      <c r="C147" t="s">
        <v>75</v>
      </c>
      <c r="D147" s="8">
        <v>1</v>
      </c>
      <c r="E147">
        <f>IF(AND(F147&lt;=$J$2, COUNTIF($E$2:E146,1)&lt;$K$2),1,0)</f>
        <v>0</v>
      </c>
      <c r="F147" s="14">
        <f t="shared" si="2"/>
        <v>2507052876</v>
      </c>
    </row>
    <row r="148" spans="1:6" x14ac:dyDescent="0.25">
      <c r="A148" t="s">
        <v>364</v>
      </c>
      <c r="B148" s="2">
        <v>2573760</v>
      </c>
      <c r="C148" t="s">
        <v>75</v>
      </c>
      <c r="D148" s="8">
        <v>0.95000000000000007</v>
      </c>
      <c r="E148">
        <f>IF(AND(F148&lt;=$J$2, COUNTIF($E$2:E147,1)&lt;$K$2),1,0)</f>
        <v>0</v>
      </c>
      <c r="F148" s="14">
        <f t="shared" si="2"/>
        <v>2509626636</v>
      </c>
    </row>
    <row r="149" spans="1:6" x14ac:dyDescent="0.25">
      <c r="A149" t="s">
        <v>173</v>
      </c>
      <c r="B149" s="2">
        <v>13801614</v>
      </c>
      <c r="C149" t="s">
        <v>52</v>
      </c>
      <c r="D149" s="8">
        <v>0.9</v>
      </c>
      <c r="E149">
        <f>IF(AND(F149&lt;=$J$2, COUNTIF($E$2:E148,1)&lt;$K$2),1,0)</f>
        <v>0</v>
      </c>
      <c r="F149" s="14">
        <f t="shared" si="2"/>
        <v>2523428250</v>
      </c>
    </row>
    <row r="150" spans="1:6" x14ac:dyDescent="0.25">
      <c r="A150" t="s">
        <v>97</v>
      </c>
      <c r="B150" s="2">
        <v>33616770</v>
      </c>
      <c r="C150" t="s">
        <v>65</v>
      </c>
      <c r="D150" s="8">
        <v>0.89999999999999991</v>
      </c>
      <c r="E150">
        <f>IF(AND(F150&lt;=$J$2, COUNTIF($E$2:E149,1)&lt;$K$2),1,0)</f>
        <v>0</v>
      </c>
      <c r="F150" s="14">
        <f t="shared" si="2"/>
        <v>2557045020</v>
      </c>
    </row>
    <row r="151" spans="1:6" x14ac:dyDescent="0.25">
      <c r="A151" t="s">
        <v>216</v>
      </c>
      <c r="B151" s="2">
        <v>9200000</v>
      </c>
      <c r="C151" t="s">
        <v>65</v>
      </c>
      <c r="D151" s="8">
        <v>0.89999999999999991</v>
      </c>
      <c r="E151">
        <f>IF(AND(F151&lt;=$J$2, COUNTIF($E$2:E150,1)&lt;$K$2),1,0)</f>
        <v>0</v>
      </c>
      <c r="F151" s="14">
        <f t="shared" si="2"/>
        <v>2566245020</v>
      </c>
    </row>
    <row r="152" spans="1:6" x14ac:dyDescent="0.25">
      <c r="A152" t="s">
        <v>433</v>
      </c>
      <c r="B152" s="2">
        <v>1815677</v>
      </c>
      <c r="C152" t="s">
        <v>65</v>
      </c>
      <c r="D152" s="8">
        <v>0.85</v>
      </c>
      <c r="E152">
        <f>IF(AND(F152&lt;=$J$2, COUNTIF($E$2:E151,1)&lt;$K$2),1,0)</f>
        <v>0</v>
      </c>
      <c r="F152" s="14">
        <f t="shared" si="2"/>
        <v>2568060697</v>
      </c>
    </row>
    <row r="153" spans="1:6" x14ac:dyDescent="0.25">
      <c r="A153" t="s">
        <v>293</v>
      </c>
      <c r="B153" s="2">
        <v>4437000</v>
      </c>
      <c r="C153" t="s">
        <v>62</v>
      </c>
      <c r="D153" s="8">
        <v>0.8</v>
      </c>
      <c r="E153">
        <f>IF(AND(F153&lt;=$J$2, COUNTIF($E$2:E152,1)&lt;$K$2),1,0)</f>
        <v>0</v>
      </c>
      <c r="F153" s="14">
        <f t="shared" si="2"/>
        <v>2572497697</v>
      </c>
    </row>
    <row r="154" spans="1:6" x14ac:dyDescent="0.25">
      <c r="A154" t="s">
        <v>294</v>
      </c>
      <c r="B154" s="2">
        <v>4379526</v>
      </c>
      <c r="C154" t="s">
        <v>62</v>
      </c>
      <c r="D154" s="8">
        <v>0.8</v>
      </c>
      <c r="E154">
        <f>IF(AND(F154&lt;=$J$2, COUNTIF($E$2:E153,1)&lt;$K$2),1,0)</f>
        <v>0</v>
      </c>
      <c r="F154" s="14">
        <f t="shared" si="2"/>
        <v>2576877223</v>
      </c>
    </row>
    <row r="155" spans="1:6" x14ac:dyDescent="0.25">
      <c r="A155" t="s">
        <v>274</v>
      </c>
      <c r="B155" s="2">
        <v>5348280</v>
      </c>
      <c r="C155" t="s">
        <v>28</v>
      </c>
      <c r="D155" s="8">
        <v>0.8</v>
      </c>
      <c r="E155">
        <f>IF(AND(F155&lt;=$J$2, COUNTIF($E$2:E154,1)&lt;$K$2),1,0)</f>
        <v>0</v>
      </c>
      <c r="F155" s="14">
        <f t="shared" si="2"/>
        <v>2582225503</v>
      </c>
    </row>
    <row r="156" spans="1:6" x14ac:dyDescent="0.25">
      <c r="A156" t="s">
        <v>361</v>
      </c>
      <c r="B156" s="2">
        <v>2625000</v>
      </c>
      <c r="C156" t="s">
        <v>28</v>
      </c>
      <c r="D156" s="8">
        <v>0.8</v>
      </c>
      <c r="E156">
        <f>IF(AND(F156&lt;=$J$2, COUNTIF($E$2:E155,1)&lt;$K$2),1,0)</f>
        <v>0</v>
      </c>
      <c r="F156" s="14">
        <f t="shared" si="2"/>
        <v>2584850503</v>
      </c>
    </row>
    <row r="157" spans="1:6" x14ac:dyDescent="0.25">
      <c r="A157" t="s">
        <v>179</v>
      </c>
      <c r="B157" s="2">
        <v>13000000</v>
      </c>
      <c r="C157" t="s">
        <v>62</v>
      </c>
      <c r="D157" s="8">
        <v>0.79999999999999993</v>
      </c>
      <c r="E157">
        <f>IF(AND(F157&lt;=$J$2, COUNTIF($E$2:E156,1)&lt;$K$2),1,0)</f>
        <v>0</v>
      </c>
      <c r="F157" s="14">
        <f t="shared" si="2"/>
        <v>2597850503</v>
      </c>
    </row>
    <row r="158" spans="1:6" x14ac:dyDescent="0.25">
      <c r="A158" t="s">
        <v>254</v>
      </c>
      <c r="B158" s="2">
        <v>6479000</v>
      </c>
      <c r="C158" t="s">
        <v>65</v>
      </c>
      <c r="D158" s="8">
        <v>0.79999999999999993</v>
      </c>
      <c r="E158">
        <f>IF(AND(F158&lt;=$J$2, COUNTIF($E$2:E157,1)&lt;$K$2),1,0)</f>
        <v>0</v>
      </c>
      <c r="F158" s="14">
        <f t="shared" si="2"/>
        <v>2604329503</v>
      </c>
    </row>
    <row r="159" spans="1:6" x14ac:dyDescent="0.25">
      <c r="A159" t="s">
        <v>145</v>
      </c>
      <c r="B159" s="2">
        <v>18642857</v>
      </c>
      <c r="C159" t="s">
        <v>65</v>
      </c>
      <c r="D159" s="8">
        <v>0.75</v>
      </c>
      <c r="E159">
        <f>IF(AND(F159&lt;=$J$2, COUNTIF($E$2:E158,1)&lt;$K$2),1,0)</f>
        <v>0</v>
      </c>
      <c r="F159" s="14">
        <f t="shared" si="2"/>
        <v>2622972360</v>
      </c>
    </row>
    <row r="160" spans="1:6" x14ac:dyDescent="0.25">
      <c r="A160" t="s">
        <v>268</v>
      </c>
      <c r="B160" s="2">
        <v>5728393</v>
      </c>
      <c r="C160" t="s">
        <v>65</v>
      </c>
      <c r="D160" s="8">
        <v>0.75</v>
      </c>
      <c r="E160">
        <f>IF(AND(F160&lt;=$J$2, COUNTIF($E$2:E159,1)&lt;$K$2),1,0)</f>
        <v>0</v>
      </c>
      <c r="F160" s="14">
        <f t="shared" si="2"/>
        <v>2628700753</v>
      </c>
    </row>
    <row r="161" spans="1:6" x14ac:dyDescent="0.25">
      <c r="A161" t="s">
        <v>321</v>
      </c>
      <c r="B161" s="2">
        <v>3536160</v>
      </c>
      <c r="C161" t="s">
        <v>65</v>
      </c>
      <c r="D161" s="8">
        <v>0.70000000000000007</v>
      </c>
      <c r="E161">
        <f>IF(AND(F161&lt;=$J$2, COUNTIF($E$2:E160,1)&lt;$K$2),1,0)</f>
        <v>0</v>
      </c>
      <c r="F161" s="14">
        <f t="shared" si="2"/>
        <v>2632236913</v>
      </c>
    </row>
    <row r="162" spans="1:6" x14ac:dyDescent="0.25">
      <c r="A162" t="s">
        <v>132</v>
      </c>
      <c r="B162" s="2">
        <v>22321429</v>
      </c>
      <c r="C162" t="s">
        <v>62</v>
      </c>
      <c r="D162" s="8">
        <v>0.7</v>
      </c>
      <c r="E162">
        <f>IF(AND(F162&lt;=$J$2, COUNTIF($E$2:E161,1)&lt;$K$2),1,0)</f>
        <v>0</v>
      </c>
      <c r="F162" s="14">
        <f t="shared" si="2"/>
        <v>2654558342</v>
      </c>
    </row>
    <row r="163" spans="1:6" x14ac:dyDescent="0.25">
      <c r="A163" t="s">
        <v>384</v>
      </c>
      <c r="B163" s="2">
        <v>2200000</v>
      </c>
      <c r="C163" t="s">
        <v>28</v>
      </c>
      <c r="D163" s="8">
        <v>0.7</v>
      </c>
      <c r="E163">
        <f>IF(AND(F163&lt;=$J$2, COUNTIF($E$2:E162,1)&lt;$K$2),1,0)</f>
        <v>0</v>
      </c>
      <c r="F163" s="14">
        <f t="shared" si="2"/>
        <v>2656758342</v>
      </c>
    </row>
    <row r="164" spans="1:6" x14ac:dyDescent="0.25">
      <c r="A164" t="s">
        <v>313</v>
      </c>
      <c r="B164" s="2">
        <v>3901399</v>
      </c>
      <c r="C164" t="s">
        <v>52</v>
      </c>
      <c r="D164" s="8">
        <v>0.65000000000000013</v>
      </c>
      <c r="E164">
        <f>IF(AND(F164&lt;=$J$2, COUNTIF($E$2:E163,1)&lt;$K$2),1,0)</f>
        <v>0</v>
      </c>
      <c r="F164" s="14">
        <f t="shared" si="2"/>
        <v>2660659741</v>
      </c>
    </row>
    <row r="165" spans="1:6" x14ac:dyDescent="0.25">
      <c r="A165" t="s">
        <v>485</v>
      </c>
      <c r="B165" s="2">
        <v>694878</v>
      </c>
      <c r="C165" t="s">
        <v>65</v>
      </c>
      <c r="D165" s="8">
        <v>0.64999999999999991</v>
      </c>
      <c r="E165">
        <f>IF(AND(F165&lt;=$J$2, COUNTIF($E$2:E164,1)&lt;$K$2),1,0)</f>
        <v>0</v>
      </c>
      <c r="F165" s="14">
        <f t="shared" si="2"/>
        <v>2661354619</v>
      </c>
    </row>
    <row r="166" spans="1:6" x14ac:dyDescent="0.25">
      <c r="A166" t="s">
        <v>160</v>
      </c>
      <c r="B166" s="2">
        <v>16700000</v>
      </c>
      <c r="C166" t="s">
        <v>52</v>
      </c>
      <c r="D166" s="8">
        <v>0.6</v>
      </c>
      <c r="E166">
        <f>IF(AND(F166&lt;=$J$2, COUNTIF($E$2:E165,1)&lt;$K$2),1,0)</f>
        <v>0</v>
      </c>
      <c r="F166" s="14">
        <f t="shared" si="2"/>
        <v>2678054619</v>
      </c>
    </row>
    <row r="167" spans="1:6" x14ac:dyDescent="0.25">
      <c r="A167" t="s">
        <v>323</v>
      </c>
      <c r="B167" s="2">
        <v>3465000</v>
      </c>
      <c r="C167" t="s">
        <v>28</v>
      </c>
      <c r="D167" s="8">
        <v>0.55000000000000004</v>
      </c>
      <c r="E167">
        <f>IF(AND(F167&lt;=$J$2, COUNTIF($E$2:E166,1)&lt;$K$2),1,0)</f>
        <v>0</v>
      </c>
      <c r="F167" s="14">
        <f t="shared" si="2"/>
        <v>2681519619</v>
      </c>
    </row>
    <row r="168" spans="1:6" x14ac:dyDescent="0.25">
      <c r="A168" t="s">
        <v>133</v>
      </c>
      <c r="B168" s="2">
        <v>21486316</v>
      </c>
      <c r="C168" t="s">
        <v>62</v>
      </c>
      <c r="D168" s="8">
        <v>0.55000000000000004</v>
      </c>
      <c r="E168">
        <f>IF(AND(F168&lt;=$J$2, COUNTIF($E$2:E167,1)&lt;$K$2),1,0)</f>
        <v>0</v>
      </c>
      <c r="F168" s="14">
        <f t="shared" si="2"/>
        <v>2703005935</v>
      </c>
    </row>
    <row r="169" spans="1:6" x14ac:dyDescent="0.25">
      <c r="A169" t="s">
        <v>392</v>
      </c>
      <c r="B169" s="2">
        <v>2133278</v>
      </c>
      <c r="C169" t="s">
        <v>62</v>
      </c>
      <c r="D169" s="8">
        <v>0.45000000000000007</v>
      </c>
      <c r="E169">
        <f>IF(AND(F169&lt;=$J$2, COUNTIF($E$2:E168,1)&lt;$K$2),1,0)</f>
        <v>0</v>
      </c>
      <c r="F169" s="14">
        <f t="shared" si="2"/>
        <v>2705139213</v>
      </c>
    </row>
    <row r="170" spans="1:6" x14ac:dyDescent="0.25">
      <c r="A170" t="s">
        <v>327</v>
      </c>
      <c r="B170" s="2">
        <v>3359160</v>
      </c>
      <c r="C170" t="s">
        <v>28</v>
      </c>
      <c r="D170" s="8">
        <v>0.45000000000000007</v>
      </c>
      <c r="E170">
        <f>IF(AND(F170&lt;=$J$2, COUNTIF($E$2:E169,1)&lt;$K$2),1,0)</f>
        <v>0</v>
      </c>
      <c r="F170" s="14">
        <f t="shared" si="2"/>
        <v>2708498373</v>
      </c>
    </row>
    <row r="171" spans="1:6" x14ac:dyDescent="0.25">
      <c r="A171" t="s">
        <v>194</v>
      </c>
      <c r="B171" s="2">
        <v>11055120</v>
      </c>
      <c r="C171" t="s">
        <v>28</v>
      </c>
      <c r="D171" s="8">
        <v>0.44999999999999996</v>
      </c>
      <c r="E171">
        <f>IF(AND(F171&lt;=$J$2, COUNTIF($E$2:E170,1)&lt;$K$2),1,0)</f>
        <v>0</v>
      </c>
      <c r="F171" s="14">
        <f t="shared" si="2"/>
        <v>2719553493</v>
      </c>
    </row>
    <row r="172" spans="1:6" x14ac:dyDescent="0.25">
      <c r="A172" t="s">
        <v>404</v>
      </c>
      <c r="B172" s="2">
        <v>1997718</v>
      </c>
      <c r="C172" t="s">
        <v>62</v>
      </c>
      <c r="D172" s="8">
        <v>0.44999999999999996</v>
      </c>
      <c r="E172">
        <f>IF(AND(F172&lt;=$J$2, COUNTIF($E$2:E171,1)&lt;$K$2),1,0)</f>
        <v>0</v>
      </c>
      <c r="F172" s="14">
        <f t="shared" si="2"/>
        <v>2721551211</v>
      </c>
    </row>
    <row r="173" spans="1:6" x14ac:dyDescent="0.25">
      <c r="A173" t="s">
        <v>267</v>
      </c>
      <c r="B173" s="2">
        <v>5739840</v>
      </c>
      <c r="C173" t="s">
        <v>28</v>
      </c>
      <c r="D173" s="8">
        <v>0.35</v>
      </c>
      <c r="E173">
        <f>IF(AND(F173&lt;=$J$2, COUNTIF($E$2:E172,1)&lt;$K$2),1,0)</f>
        <v>0</v>
      </c>
      <c r="F173" s="14">
        <f t="shared" si="2"/>
        <v>2727291051</v>
      </c>
    </row>
    <row r="174" spans="1:6" x14ac:dyDescent="0.25">
      <c r="A174" t="s">
        <v>117</v>
      </c>
      <c r="B174" s="2">
        <v>30075000</v>
      </c>
      <c r="C174" t="s">
        <v>65</v>
      </c>
      <c r="D174" s="8">
        <v>0.30000000000000004</v>
      </c>
      <c r="E174">
        <f>IF(AND(F174&lt;=$J$2, COUNTIF($E$2:E173,1)&lt;$K$2),1,0)</f>
        <v>0</v>
      </c>
      <c r="F174" s="14">
        <f t="shared" si="2"/>
        <v>2757366051</v>
      </c>
    </row>
    <row r="175" spans="1:6" x14ac:dyDescent="0.25">
      <c r="A175" t="s">
        <v>416</v>
      </c>
      <c r="B175" s="2">
        <v>1930681</v>
      </c>
      <c r="C175" t="s">
        <v>65</v>
      </c>
      <c r="D175" s="8">
        <v>0.30000000000000004</v>
      </c>
      <c r="E175">
        <f>IF(AND(F175&lt;=$J$2, COUNTIF($E$2:E174,1)&lt;$K$2),1,0)</f>
        <v>0</v>
      </c>
      <c r="F175" s="14">
        <f t="shared" si="2"/>
        <v>2759296732</v>
      </c>
    </row>
    <row r="176" spans="1:6" x14ac:dyDescent="0.25">
      <c r="A176" t="s">
        <v>456</v>
      </c>
      <c r="B176" s="2">
        <v>1563518</v>
      </c>
      <c r="C176" t="s">
        <v>52</v>
      </c>
      <c r="D176" s="8">
        <v>0.30000000000000004</v>
      </c>
      <c r="E176">
        <f>IF(AND(F176&lt;=$J$2, COUNTIF($E$2:E175,1)&lt;$K$2),1,0)</f>
        <v>0</v>
      </c>
      <c r="F176" s="14">
        <f t="shared" si="2"/>
        <v>2760860250</v>
      </c>
    </row>
    <row r="177" spans="1:6" x14ac:dyDescent="0.25">
      <c r="A177" t="s">
        <v>186</v>
      </c>
      <c r="B177" s="2">
        <v>12196094</v>
      </c>
      <c r="C177" t="s">
        <v>62</v>
      </c>
      <c r="D177" s="8">
        <v>0.30000000000000004</v>
      </c>
      <c r="E177">
        <f>IF(AND(F177&lt;=$J$2, COUNTIF($E$2:E176,1)&lt;$K$2),1,0)</f>
        <v>0</v>
      </c>
      <c r="F177" s="14">
        <f t="shared" si="2"/>
        <v>2773056344</v>
      </c>
    </row>
    <row r="178" spans="1:6" x14ac:dyDescent="0.25">
      <c r="A178" t="s">
        <v>436</v>
      </c>
      <c r="B178" s="2">
        <v>1782621</v>
      </c>
      <c r="C178" t="s">
        <v>65</v>
      </c>
      <c r="D178" s="8">
        <v>0.30000000000000004</v>
      </c>
      <c r="E178">
        <f>IF(AND(F178&lt;=$J$2, COUNTIF($E$2:E177,1)&lt;$K$2),1,0)</f>
        <v>0</v>
      </c>
      <c r="F178" s="14">
        <f t="shared" si="2"/>
        <v>2774838965</v>
      </c>
    </row>
    <row r="179" spans="1:6" x14ac:dyDescent="0.25">
      <c r="A179" t="s">
        <v>383</v>
      </c>
      <c r="B179" s="2">
        <v>2201520</v>
      </c>
      <c r="C179" t="s">
        <v>52</v>
      </c>
      <c r="D179" s="8">
        <v>0.29999999999999993</v>
      </c>
      <c r="E179">
        <f>IF(AND(F179&lt;=$J$2, COUNTIF($E$2:E178,1)&lt;$K$2),1,0)</f>
        <v>0</v>
      </c>
      <c r="F179" s="14">
        <f t="shared" si="2"/>
        <v>2777040485</v>
      </c>
    </row>
    <row r="180" spans="1:6" x14ac:dyDescent="0.25">
      <c r="A180" t="s">
        <v>421</v>
      </c>
      <c r="B180" s="2">
        <v>1878720</v>
      </c>
      <c r="C180" t="s">
        <v>75</v>
      </c>
      <c r="D180" s="8">
        <v>0.29999999999999982</v>
      </c>
      <c r="E180">
        <f>IF(AND(F180&lt;=$J$2, COUNTIF($E$2:E179,1)&lt;$K$2),1,0)</f>
        <v>0</v>
      </c>
      <c r="F180" s="14">
        <f t="shared" si="2"/>
        <v>2778919205</v>
      </c>
    </row>
    <row r="181" spans="1:6" x14ac:dyDescent="0.25">
      <c r="A181" t="s">
        <v>458</v>
      </c>
      <c r="B181" s="2">
        <v>1563518</v>
      </c>
      <c r="C181" t="s">
        <v>62</v>
      </c>
      <c r="D181" s="8">
        <v>0.25</v>
      </c>
      <c r="E181">
        <f>IF(AND(F181&lt;=$J$2, COUNTIF($E$2:E180,1)&lt;$K$2),1,0)</f>
        <v>0</v>
      </c>
      <c r="F181" s="14">
        <f t="shared" si="2"/>
        <v>2780482723</v>
      </c>
    </row>
    <row r="182" spans="1:6" x14ac:dyDescent="0.25">
      <c r="A182" t="s">
        <v>451</v>
      </c>
      <c r="B182" s="2">
        <v>1563518</v>
      </c>
      <c r="C182" t="s">
        <v>62</v>
      </c>
      <c r="D182" s="8">
        <v>0.19999999999999996</v>
      </c>
      <c r="E182">
        <f>IF(AND(F182&lt;=$J$2, COUNTIF($E$2:E181,1)&lt;$K$2),1,0)</f>
        <v>0</v>
      </c>
      <c r="F182" s="14">
        <f t="shared" si="2"/>
        <v>2782046241</v>
      </c>
    </row>
    <row r="183" spans="1:6" x14ac:dyDescent="0.25">
      <c r="A183" t="s">
        <v>142</v>
      </c>
      <c r="B183" s="2">
        <v>19568360</v>
      </c>
      <c r="C183" t="s">
        <v>62</v>
      </c>
      <c r="D183" s="8">
        <v>0.19999999999999996</v>
      </c>
      <c r="E183">
        <f>IF(AND(F183&lt;=$J$2, COUNTIF($E$2:E182,1)&lt;$K$2),1,0)</f>
        <v>0</v>
      </c>
      <c r="F183" s="14">
        <f t="shared" si="2"/>
        <v>2801614601</v>
      </c>
    </row>
    <row r="184" spans="1:6" x14ac:dyDescent="0.25">
      <c r="A184" t="s">
        <v>248</v>
      </c>
      <c r="B184" s="2">
        <v>6922320</v>
      </c>
      <c r="C184" t="s">
        <v>62</v>
      </c>
      <c r="D184" s="8">
        <v>0.19999999999999996</v>
      </c>
      <c r="E184">
        <f>IF(AND(F184&lt;=$J$2, COUNTIF($E$2:E183,1)&lt;$K$2),1,0)</f>
        <v>0</v>
      </c>
      <c r="F184" s="14">
        <f t="shared" si="2"/>
        <v>2808536921</v>
      </c>
    </row>
    <row r="185" spans="1:6" x14ac:dyDescent="0.25">
      <c r="A185" t="s">
        <v>278</v>
      </c>
      <c r="B185" s="2">
        <v>5155500</v>
      </c>
      <c r="C185" t="s">
        <v>52</v>
      </c>
      <c r="D185" s="8">
        <v>0.15000000000000002</v>
      </c>
      <c r="E185">
        <f>IF(AND(F185&lt;=$J$2, COUNTIF($E$2:E184,1)&lt;$K$2),1,0)</f>
        <v>0</v>
      </c>
      <c r="F185" s="14">
        <f t="shared" si="2"/>
        <v>2813692421</v>
      </c>
    </row>
    <row r="186" spans="1:6" x14ac:dyDescent="0.25">
      <c r="A186" t="s">
        <v>178</v>
      </c>
      <c r="B186" s="2">
        <v>13340000</v>
      </c>
      <c r="C186" t="s">
        <v>62</v>
      </c>
      <c r="D186" s="8">
        <v>0.15000000000000002</v>
      </c>
      <c r="E186">
        <f>IF(AND(F186&lt;=$J$2, COUNTIF($E$2:E185,1)&lt;$K$2),1,0)</f>
        <v>0</v>
      </c>
      <c r="F186" s="14">
        <f t="shared" si="2"/>
        <v>2827032421</v>
      </c>
    </row>
    <row r="187" spans="1:6" x14ac:dyDescent="0.25">
      <c r="A187" t="s">
        <v>460</v>
      </c>
      <c r="B187" s="2">
        <v>1563518</v>
      </c>
      <c r="C187" t="s">
        <v>28</v>
      </c>
      <c r="D187" s="8">
        <v>0.15000000000000002</v>
      </c>
      <c r="E187">
        <f>IF(AND(F187&lt;=$J$2, COUNTIF($E$2:E186,1)&lt;$K$2),1,0)</f>
        <v>0</v>
      </c>
      <c r="F187" s="14">
        <f t="shared" si="2"/>
        <v>2828595939</v>
      </c>
    </row>
    <row r="188" spans="1:6" x14ac:dyDescent="0.25">
      <c r="A188" t="s">
        <v>333</v>
      </c>
      <c r="B188" s="2">
        <v>3098400</v>
      </c>
      <c r="C188" t="s">
        <v>62</v>
      </c>
      <c r="D188" s="8">
        <v>0.10000000000000009</v>
      </c>
      <c r="E188">
        <f>IF(AND(F188&lt;=$J$2, COUNTIF($E$2:E187,1)&lt;$K$2),1,0)</f>
        <v>0</v>
      </c>
      <c r="F188" s="14">
        <f t="shared" si="2"/>
        <v>2831694339</v>
      </c>
    </row>
    <row r="189" spans="1:6" x14ac:dyDescent="0.25">
      <c r="A189" t="s">
        <v>288</v>
      </c>
      <c r="B189" s="2">
        <v>4670160</v>
      </c>
      <c r="C189" t="s">
        <v>75</v>
      </c>
      <c r="D189" s="8">
        <v>9.9999999999999867E-2</v>
      </c>
      <c r="E189">
        <f>IF(AND(F189&lt;=$J$2, COUNTIF($E$2:E188,1)&lt;$K$2),1,0)</f>
        <v>0</v>
      </c>
      <c r="F189" s="14">
        <f t="shared" si="2"/>
        <v>2836364499</v>
      </c>
    </row>
    <row r="190" spans="1:6" x14ac:dyDescent="0.25">
      <c r="A190" t="s">
        <v>206</v>
      </c>
      <c r="B190" s="2">
        <v>10012800</v>
      </c>
      <c r="C190" t="s">
        <v>65</v>
      </c>
      <c r="D190" s="8">
        <v>9.9999999999999867E-2</v>
      </c>
      <c r="E190">
        <f>IF(AND(F190&lt;=$J$2, COUNTIF($E$2:E189,1)&lt;$K$2),1,0)</f>
        <v>0</v>
      </c>
      <c r="F190" s="14">
        <f t="shared" si="2"/>
        <v>2846377299</v>
      </c>
    </row>
    <row r="191" spans="1:6" x14ac:dyDescent="0.25">
      <c r="A191" t="s">
        <v>182</v>
      </c>
      <c r="B191" s="2">
        <v>12939848</v>
      </c>
      <c r="C191" t="s">
        <v>28</v>
      </c>
      <c r="D191" s="8">
        <v>5.0000000000000044E-2</v>
      </c>
      <c r="E191">
        <f>IF(AND(F191&lt;=$J$2, COUNTIF($E$2:E190,1)&lt;$K$2),1,0)</f>
        <v>0</v>
      </c>
      <c r="F191" s="14">
        <f t="shared" si="2"/>
        <v>2859317147</v>
      </c>
    </row>
    <row r="192" spans="1:6" x14ac:dyDescent="0.25">
      <c r="A192" t="s">
        <v>163</v>
      </c>
      <c r="B192" s="2">
        <v>16372093</v>
      </c>
      <c r="C192" t="s">
        <v>28</v>
      </c>
      <c r="D192" s="8">
        <v>5.0000000000000044E-2</v>
      </c>
      <c r="E192">
        <f>IF(AND(F192&lt;=$J$2, COUNTIF($E$2:E191,1)&lt;$K$2),1,0)</f>
        <v>0</v>
      </c>
      <c r="F192" s="14">
        <f t="shared" si="2"/>
        <v>2875689240</v>
      </c>
    </row>
    <row r="193" spans="1:6" x14ac:dyDescent="0.25">
      <c r="A193" t="s">
        <v>284</v>
      </c>
      <c r="B193" s="2">
        <v>4916160</v>
      </c>
      <c r="C193" t="s">
        <v>65</v>
      </c>
      <c r="D193" s="8">
        <v>0</v>
      </c>
      <c r="E193">
        <f>IF(AND(F193&lt;=$J$2, COUNTIF($E$2:E192,1)&lt;$K$2),1,0)</f>
        <v>0</v>
      </c>
      <c r="F193" s="14">
        <f t="shared" si="2"/>
        <v>2880605400</v>
      </c>
    </row>
  </sheetData>
  <sortState xmlns:xlrd2="http://schemas.microsoft.com/office/spreadsheetml/2017/richdata2" ref="A4:F193">
    <sortCondition descending="1" ref="D4:D1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0B66-8670-403C-8CBE-FA598DFE39DD}">
  <dimension ref="A1:Q193"/>
  <sheetViews>
    <sheetView workbookViewId="0">
      <selection activeCell="I15" sqref="I15"/>
    </sheetView>
  </sheetViews>
  <sheetFormatPr defaultRowHeight="15" x14ac:dyDescent="0.25"/>
  <cols>
    <col min="1" max="1" width="24.28515625" bestFit="1" customWidth="1"/>
    <col min="2" max="2" width="15.28515625" bestFit="1" customWidth="1"/>
    <col min="5" max="5" width="13.5703125" bestFit="1" customWidth="1"/>
    <col min="7" max="7" width="18" bestFit="1" customWidth="1"/>
    <col min="10" max="10" width="20" bestFit="1" customWidth="1"/>
    <col min="11" max="11" width="13.7109375" bestFit="1" customWidth="1"/>
    <col min="12" max="12" width="12" bestFit="1" customWidth="1"/>
    <col min="13" max="14" width="10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7" t="s">
        <v>552</v>
      </c>
      <c r="E1" s="7" t="s">
        <v>553</v>
      </c>
      <c r="F1" s="1" t="s">
        <v>565</v>
      </c>
      <c r="G1" s="1" t="s">
        <v>566</v>
      </c>
      <c r="J1" s="1" t="s">
        <v>563</v>
      </c>
      <c r="K1" s="1" t="s">
        <v>564</v>
      </c>
      <c r="M1" s="1" t="s">
        <v>558</v>
      </c>
      <c r="N1" s="1" t="s">
        <v>559</v>
      </c>
      <c r="O1" s="1" t="s">
        <v>560</v>
      </c>
      <c r="P1" s="1" t="s">
        <v>561</v>
      </c>
      <c r="Q1" s="1" t="s">
        <v>562</v>
      </c>
    </row>
    <row r="2" spans="1:17" x14ac:dyDescent="0.25">
      <c r="A2" s="6" t="s">
        <v>580</v>
      </c>
      <c r="B2" s="2">
        <v>37096500</v>
      </c>
      <c r="C2" t="s">
        <v>52</v>
      </c>
      <c r="D2" s="8">
        <v>10.149999999999999</v>
      </c>
      <c r="E2" s="8">
        <v>0.27361071799226339</v>
      </c>
      <c r="F2">
        <v>1</v>
      </c>
      <c r="G2" s="14">
        <f>B2</f>
        <v>37096500</v>
      </c>
      <c r="J2" s="12">
        <f>154000000</f>
        <v>154000000</v>
      </c>
      <c r="K2" s="4">
        <v>12</v>
      </c>
      <c r="M2" s="5" cm="1">
        <f t="array" ref="M2">SUMPRODUCT(F2:F193, --(C2:C193="PG"))</f>
        <v>2</v>
      </c>
      <c r="N2" s="5" cm="1">
        <f t="array" ref="N2">SUMPRODUCT(F2:F193, --(C2:C193="SG"))</f>
        <v>5</v>
      </c>
      <c r="O2" s="5" cm="1">
        <f t="array" ref="O2">SUMPRODUCT(F2:F193, --(C2:C193="SF"))</f>
        <v>1</v>
      </c>
      <c r="P2" s="5" cm="1">
        <f t="array" ref="P2">SUMPRODUCT(F2:F193, --(C2:C193="PF"))</f>
        <v>0</v>
      </c>
      <c r="Q2" s="5" cm="1">
        <f t="array" ref="Q2">SUMPRODUCT(F2:F193, --(C2:C193="C"))</f>
        <v>4</v>
      </c>
    </row>
    <row r="3" spans="1:17" x14ac:dyDescent="0.25">
      <c r="A3" s="6" t="s">
        <v>72</v>
      </c>
      <c r="B3" s="2">
        <v>38917057</v>
      </c>
      <c r="C3" t="s">
        <v>62</v>
      </c>
      <c r="D3" s="8">
        <v>5.75</v>
      </c>
      <c r="E3" s="8">
        <v>0.1477501240651368</v>
      </c>
      <c r="F3">
        <v>1</v>
      </c>
      <c r="G3" s="14">
        <f t="shared" ref="G3:G34" si="0">B3+G2</f>
        <v>76013557</v>
      </c>
    </row>
    <row r="4" spans="1:17" x14ac:dyDescent="0.25">
      <c r="A4" s="6" t="s">
        <v>394</v>
      </c>
      <c r="B4" s="2">
        <v>2130240</v>
      </c>
      <c r="C4" t="s">
        <v>62</v>
      </c>
      <c r="D4" s="8">
        <v>4.6500000000000004</v>
      </c>
      <c r="E4" s="8">
        <v>2.1828526363226679</v>
      </c>
      <c r="F4">
        <f>IF(AND(G4&lt;=$J$2, COUNTIF($F$2:F3,1)&lt;$K$2),1,0)</f>
        <v>1</v>
      </c>
      <c r="G4" s="14">
        <f t="shared" si="0"/>
        <v>78143797</v>
      </c>
      <c r="J4" s="1" t="s">
        <v>567</v>
      </c>
      <c r="K4" s="1" t="s">
        <v>557</v>
      </c>
      <c r="L4" s="1" t="s">
        <v>568</v>
      </c>
    </row>
    <row r="5" spans="1:17" x14ac:dyDescent="0.25">
      <c r="A5" s="6" t="s">
        <v>455</v>
      </c>
      <c r="B5" s="2">
        <v>1563518</v>
      </c>
      <c r="C5" t="s">
        <v>62</v>
      </c>
      <c r="D5" s="8">
        <v>3.0500000000000003</v>
      </c>
      <c r="E5" s="8">
        <v>1.9507290610021761</v>
      </c>
      <c r="F5">
        <f>IF(AND(G5&lt;=$J$2, COUNTIF($F$2:F4,1)&lt;$K$2),1,0)</f>
        <v>1</v>
      </c>
      <c r="G5" s="14">
        <f t="shared" si="0"/>
        <v>79707315</v>
      </c>
      <c r="J5" s="10">
        <f>SUMPRODUCT(D2:D193, F2:F193)</f>
        <v>52.900000000000006</v>
      </c>
      <c r="K5" s="15">
        <f>SUMPRODUCT(B2:B193, F2:F193)</f>
        <v>98276162</v>
      </c>
      <c r="L5" s="10">
        <f>SUM(F2:F193)</f>
        <v>12</v>
      </c>
    </row>
    <row r="6" spans="1:17" x14ac:dyDescent="0.25">
      <c r="A6" s="6" t="s">
        <v>357</v>
      </c>
      <c r="B6" s="2">
        <v>2696400</v>
      </c>
      <c r="C6" t="s">
        <v>75</v>
      </c>
      <c r="D6" s="8">
        <v>5</v>
      </c>
      <c r="E6" s="8">
        <v>1.8543242842308263</v>
      </c>
      <c r="F6">
        <f>IF(AND(G6&lt;=$J$2, COUNTIF($F$2:F5,1)&lt;$K$2),1,0)</f>
        <v>1</v>
      </c>
      <c r="G6" s="14">
        <f t="shared" si="0"/>
        <v>82403715</v>
      </c>
    </row>
    <row r="7" spans="1:17" x14ac:dyDescent="0.25">
      <c r="A7" s="6" t="s">
        <v>417</v>
      </c>
      <c r="B7" s="2">
        <v>1930681</v>
      </c>
      <c r="C7" t="s">
        <v>75</v>
      </c>
      <c r="D7" s="8">
        <v>3.55</v>
      </c>
      <c r="E7" s="8">
        <v>1.8387294431343137</v>
      </c>
      <c r="F7">
        <f>IF(AND(G7&lt;=$J$2, COUNTIF($F$2:F6,1)&lt;$K$2),1,0)</f>
        <v>1</v>
      </c>
      <c r="G7" s="14">
        <f t="shared" si="0"/>
        <v>84334396</v>
      </c>
    </row>
    <row r="8" spans="1:17" x14ac:dyDescent="0.25">
      <c r="A8" s="6" t="s">
        <v>374</v>
      </c>
      <c r="B8" s="2">
        <v>2316240</v>
      </c>
      <c r="C8" t="s">
        <v>62</v>
      </c>
      <c r="D8" s="8">
        <v>4.2</v>
      </c>
      <c r="E8" s="8">
        <v>1.8132835975546575</v>
      </c>
      <c r="F8">
        <f>IF(AND(G8&lt;=$J$2, COUNTIF($F$2:F7,1)&lt;$K$2),1,0)</f>
        <v>1</v>
      </c>
      <c r="G8" s="14">
        <f t="shared" si="0"/>
        <v>86650636</v>
      </c>
    </row>
    <row r="9" spans="1:17" x14ac:dyDescent="0.25">
      <c r="A9" s="6" t="s">
        <v>301</v>
      </c>
      <c r="B9" s="2">
        <v>4215120</v>
      </c>
      <c r="C9" t="s">
        <v>52</v>
      </c>
      <c r="D9" s="8">
        <v>7.4</v>
      </c>
      <c r="E9" s="8">
        <v>1.7555846571390612</v>
      </c>
      <c r="F9">
        <f>IF(AND(G9&lt;=$J$2, COUNTIF($F$2:F8,1)&lt;$K$2),1,0)</f>
        <v>1</v>
      </c>
      <c r="G9" s="14">
        <f t="shared" si="0"/>
        <v>90865756</v>
      </c>
    </row>
    <row r="10" spans="1:17" x14ac:dyDescent="0.25">
      <c r="A10" s="6" t="s">
        <v>445</v>
      </c>
      <c r="B10" s="2">
        <v>1637966</v>
      </c>
      <c r="C10" t="s">
        <v>65</v>
      </c>
      <c r="D10" s="8">
        <v>2.2000000000000002</v>
      </c>
      <c r="E10" s="8">
        <v>1.3431292224624931</v>
      </c>
      <c r="F10">
        <f>IF(AND(G10&lt;=$J$2, COUNTIF($F$2:F9,1)&lt;$K$2),1,0)</f>
        <v>1</v>
      </c>
      <c r="G10" s="14">
        <f t="shared" si="0"/>
        <v>92503722</v>
      </c>
    </row>
    <row r="11" spans="1:17" x14ac:dyDescent="0.25">
      <c r="A11" s="6" t="s">
        <v>428</v>
      </c>
      <c r="B11" s="2">
        <v>1836090</v>
      </c>
      <c r="C11" t="s">
        <v>62</v>
      </c>
      <c r="D11" s="8">
        <v>2.35</v>
      </c>
      <c r="E11" s="8">
        <v>1.2798936871286266</v>
      </c>
      <c r="F11">
        <f>IF(AND(G11&lt;=$J$2, COUNTIF($F$2:F10,1)&lt;$K$2),1,0)</f>
        <v>1</v>
      </c>
      <c r="G11" s="14">
        <f t="shared" si="0"/>
        <v>94339812</v>
      </c>
    </row>
    <row r="12" spans="1:17" x14ac:dyDescent="0.25">
      <c r="A12" s="6" t="s">
        <v>409</v>
      </c>
      <c r="B12" s="2">
        <v>1968175</v>
      </c>
      <c r="C12" t="s">
        <v>75</v>
      </c>
      <c r="D12" s="8">
        <v>2.3499999999999996</v>
      </c>
      <c r="E12" s="8">
        <v>1.1939995173193438</v>
      </c>
      <c r="F12">
        <f>IF(AND(G12&lt;=$J$2, COUNTIF($F$2:F11,1)&lt;$K$2),1,0)</f>
        <v>1</v>
      </c>
      <c r="G12" s="14">
        <f t="shared" si="0"/>
        <v>96307987</v>
      </c>
    </row>
    <row r="13" spans="1:17" x14ac:dyDescent="0.25">
      <c r="A13" s="6" t="s">
        <v>411</v>
      </c>
      <c r="B13" s="2">
        <v>1968175</v>
      </c>
      <c r="C13" t="s">
        <v>75</v>
      </c>
      <c r="D13" s="8">
        <v>2.25</v>
      </c>
      <c r="E13" s="8">
        <v>1.1431910272206485</v>
      </c>
      <c r="F13">
        <f>IF(AND(G13&lt;=$J$2, COUNTIF($F$2:F12,1)&lt;$K$2),1,0)</f>
        <v>1</v>
      </c>
      <c r="G13" s="14">
        <f t="shared" si="0"/>
        <v>98276162</v>
      </c>
    </row>
    <row r="14" spans="1:17" x14ac:dyDescent="0.25">
      <c r="A14" t="s">
        <v>464</v>
      </c>
      <c r="B14" s="2">
        <v>1280206</v>
      </c>
      <c r="C14" t="s">
        <v>52</v>
      </c>
      <c r="D14" s="8">
        <v>1.4500000000000002</v>
      </c>
      <c r="E14" s="8">
        <v>1.1326302173243996</v>
      </c>
      <c r="F14">
        <f>IF(AND(G14&lt;=$J$2, COUNTIF($F$2:F13,1)&lt;$K$2),1,0)</f>
        <v>0</v>
      </c>
      <c r="G14" s="14">
        <f t="shared" si="0"/>
        <v>99556368</v>
      </c>
    </row>
    <row r="15" spans="1:17" x14ac:dyDescent="0.25">
      <c r="A15" t="s">
        <v>355</v>
      </c>
      <c r="B15" s="2">
        <v>2726880</v>
      </c>
      <c r="C15" t="s">
        <v>62</v>
      </c>
      <c r="D15" s="8">
        <v>3</v>
      </c>
      <c r="E15" s="8">
        <v>1.1001584228128851</v>
      </c>
      <c r="F15">
        <f>IF(AND(G15&lt;=$J$2, COUNTIF($F$2:F14,1)&lt;$K$2),1,0)</f>
        <v>0</v>
      </c>
      <c r="G15" s="14">
        <f t="shared" si="0"/>
        <v>102283248</v>
      </c>
    </row>
    <row r="16" spans="1:17" x14ac:dyDescent="0.25">
      <c r="A16" t="s">
        <v>423</v>
      </c>
      <c r="B16" s="2">
        <v>1878720</v>
      </c>
      <c r="C16" t="s">
        <v>75</v>
      </c>
      <c r="D16" s="8">
        <v>2</v>
      </c>
      <c r="E16" s="8">
        <v>1.0645545903593936</v>
      </c>
      <c r="F16">
        <f>IF(AND(G16&lt;=$J$2, COUNTIF($F$2:F15,1)&lt;$K$2),1,0)</f>
        <v>0</v>
      </c>
      <c r="G16" s="14">
        <f t="shared" si="0"/>
        <v>104161968</v>
      </c>
    </row>
    <row r="17" spans="1:7" x14ac:dyDescent="0.25">
      <c r="A17" t="s">
        <v>413</v>
      </c>
      <c r="B17" s="2">
        <v>1930681</v>
      </c>
      <c r="C17" t="s">
        <v>62</v>
      </c>
      <c r="D17" s="8">
        <v>2.0499999999999998</v>
      </c>
      <c r="E17" s="8">
        <v>1.0618015094155895</v>
      </c>
      <c r="F17">
        <f>IF(AND(G17&lt;=$J$2, COUNTIF($F$2:F16,1)&lt;$K$2),1,0)</f>
        <v>0</v>
      </c>
      <c r="G17" s="14">
        <f t="shared" si="0"/>
        <v>106092649</v>
      </c>
    </row>
    <row r="18" spans="1:7" x14ac:dyDescent="0.25">
      <c r="A18" t="s">
        <v>415</v>
      </c>
      <c r="B18" s="2">
        <v>1930681</v>
      </c>
      <c r="C18" t="s">
        <v>75</v>
      </c>
      <c r="D18" s="8">
        <v>2</v>
      </c>
      <c r="E18" s="8">
        <v>1.0359039116249655</v>
      </c>
      <c r="F18">
        <f>IF(AND(G18&lt;=$J$2, COUNTIF($F$2:F17,1)&lt;$K$2),1,0)</f>
        <v>0</v>
      </c>
      <c r="G18" s="14">
        <f t="shared" si="0"/>
        <v>108023330</v>
      </c>
    </row>
    <row r="19" spans="1:7" x14ac:dyDescent="0.25">
      <c r="A19" t="s">
        <v>379</v>
      </c>
      <c r="B19" s="2">
        <v>2277000</v>
      </c>
      <c r="C19" t="s">
        <v>62</v>
      </c>
      <c r="D19" s="8">
        <v>2.35</v>
      </c>
      <c r="E19" s="8">
        <v>1.0320597277119017</v>
      </c>
      <c r="F19">
        <f>IF(AND(G19&lt;=$J$2, COUNTIF($F$2:F18,1)&lt;$K$2),1,0)</f>
        <v>0</v>
      </c>
      <c r="G19" s="14">
        <f t="shared" si="0"/>
        <v>110300330</v>
      </c>
    </row>
    <row r="20" spans="1:7" x14ac:dyDescent="0.25">
      <c r="A20" t="s">
        <v>402</v>
      </c>
      <c r="B20" s="2">
        <v>2000000</v>
      </c>
      <c r="C20" t="s">
        <v>28</v>
      </c>
      <c r="D20" s="8">
        <v>1.9</v>
      </c>
      <c r="E20" s="8">
        <v>0.95</v>
      </c>
      <c r="F20">
        <f>IF(AND(G20&lt;=$J$2, COUNTIF($F$2:F19,1)&lt;$K$2),1,0)</f>
        <v>0</v>
      </c>
      <c r="G20" s="14">
        <f t="shared" si="0"/>
        <v>112300330</v>
      </c>
    </row>
    <row r="21" spans="1:7" x14ac:dyDescent="0.25">
      <c r="A21" t="s">
        <v>485</v>
      </c>
      <c r="B21" s="2">
        <v>694878</v>
      </c>
      <c r="C21" t="s">
        <v>65</v>
      </c>
      <c r="D21" s="8">
        <v>0.64999999999999991</v>
      </c>
      <c r="E21" s="8">
        <v>0.93541600108220424</v>
      </c>
      <c r="F21">
        <f>IF(AND(G21&lt;=$J$2, COUNTIF($F$2:F20,1)&lt;$K$2),1,0)</f>
        <v>0</v>
      </c>
      <c r="G21" s="14">
        <f t="shared" si="0"/>
        <v>112995208</v>
      </c>
    </row>
    <row r="22" spans="1:7" x14ac:dyDescent="0.25">
      <c r="A22" t="s">
        <v>375</v>
      </c>
      <c r="B22" s="2">
        <v>2300000</v>
      </c>
      <c r="C22" t="s">
        <v>65</v>
      </c>
      <c r="D22" s="8">
        <v>2</v>
      </c>
      <c r="E22" s="8">
        <v>0.86956521739130432</v>
      </c>
      <c r="F22">
        <f>IF(AND(G22&lt;=$J$2, COUNTIF($F$2:F21,1)&lt;$K$2),1,0)</f>
        <v>0</v>
      </c>
      <c r="G22" s="14">
        <f t="shared" si="0"/>
        <v>115295208</v>
      </c>
    </row>
    <row r="23" spans="1:7" x14ac:dyDescent="0.25">
      <c r="A23" t="s">
        <v>434</v>
      </c>
      <c r="B23" s="2">
        <v>1782621</v>
      </c>
      <c r="C23" t="s">
        <v>75</v>
      </c>
      <c r="D23" s="8">
        <v>1.4500000000000002</v>
      </c>
      <c r="E23" s="8">
        <v>0.81340901964018164</v>
      </c>
      <c r="F23">
        <f>IF(AND(G23&lt;=$J$2, COUNTIF($F$2:F22,1)&lt;$K$2),1,0)</f>
        <v>0</v>
      </c>
      <c r="G23" s="14">
        <f t="shared" si="0"/>
        <v>117077829</v>
      </c>
    </row>
    <row r="24" spans="1:7" x14ac:dyDescent="0.25">
      <c r="A24" t="s">
        <v>297</v>
      </c>
      <c r="B24" s="2">
        <v>4343919</v>
      </c>
      <c r="C24" t="s">
        <v>28</v>
      </c>
      <c r="D24" s="8">
        <v>3.5</v>
      </c>
      <c r="E24" s="8">
        <v>0.80572404780107543</v>
      </c>
      <c r="F24">
        <f>IF(AND(G24&lt;=$J$2, COUNTIF($F$2:F23,1)&lt;$K$2),1,0)</f>
        <v>0</v>
      </c>
      <c r="G24" s="14">
        <f t="shared" si="0"/>
        <v>121421748</v>
      </c>
    </row>
    <row r="25" spans="1:7" x14ac:dyDescent="0.25">
      <c r="A25" t="s">
        <v>387</v>
      </c>
      <c r="B25" s="2">
        <v>2161440</v>
      </c>
      <c r="C25" t="s">
        <v>65</v>
      </c>
      <c r="D25" s="8">
        <v>1.6</v>
      </c>
      <c r="E25" s="8">
        <v>0.74024724257902141</v>
      </c>
      <c r="F25">
        <f>IF(AND(G25&lt;=$J$2, COUNTIF($F$2:F24,1)&lt;$K$2),1,0)</f>
        <v>0</v>
      </c>
      <c r="G25" s="14">
        <f t="shared" si="0"/>
        <v>123583188</v>
      </c>
    </row>
    <row r="26" spans="1:7" x14ac:dyDescent="0.25">
      <c r="A26" t="s">
        <v>295</v>
      </c>
      <c r="B26" s="2">
        <v>4374000</v>
      </c>
      <c r="C26" t="s">
        <v>28</v>
      </c>
      <c r="D26" s="8">
        <v>3.1500000000000004</v>
      </c>
      <c r="E26" s="8">
        <v>0.72016460905349799</v>
      </c>
      <c r="F26">
        <f>IF(AND(G26&lt;=$J$2, COUNTIF($F$2:F25,1)&lt;$K$2),1,0)</f>
        <v>0</v>
      </c>
      <c r="G26" s="14">
        <f t="shared" si="0"/>
        <v>127957188</v>
      </c>
    </row>
    <row r="27" spans="1:7" x14ac:dyDescent="0.25">
      <c r="A27" t="s">
        <v>319</v>
      </c>
      <c r="B27" s="2">
        <v>3613680</v>
      </c>
      <c r="C27" t="s">
        <v>52</v>
      </c>
      <c r="D27" s="8">
        <v>2.5</v>
      </c>
      <c r="E27" s="8">
        <v>0.69181554537203072</v>
      </c>
      <c r="F27">
        <f>IF(AND(G27&lt;=$J$2, COUNTIF($F$2:F26,1)&lt;$K$2),1,0)</f>
        <v>0</v>
      </c>
      <c r="G27" s="14">
        <f t="shared" si="0"/>
        <v>131570868</v>
      </c>
    </row>
    <row r="28" spans="1:7" x14ac:dyDescent="0.25">
      <c r="A28" t="s">
        <v>298</v>
      </c>
      <c r="B28" s="2">
        <v>4341480</v>
      </c>
      <c r="C28" t="s">
        <v>62</v>
      </c>
      <c r="D28" s="8">
        <v>2.9499999999999997</v>
      </c>
      <c r="E28" s="8">
        <v>0.67949178621115369</v>
      </c>
      <c r="F28">
        <f>IF(AND(G28&lt;=$J$2, COUNTIF($F$2:F27,1)&lt;$K$2),1,0)</f>
        <v>0</v>
      </c>
      <c r="G28" s="14">
        <f t="shared" si="0"/>
        <v>135912348</v>
      </c>
    </row>
    <row r="29" spans="1:7" x14ac:dyDescent="0.25">
      <c r="A29" t="s">
        <v>235</v>
      </c>
      <c r="B29" s="2">
        <v>8000000</v>
      </c>
      <c r="C29" t="s">
        <v>75</v>
      </c>
      <c r="D29" s="8">
        <v>5.3999999999999995</v>
      </c>
      <c r="E29" s="8">
        <v>0.67499999999999993</v>
      </c>
      <c r="F29">
        <f>IF(AND(G29&lt;=$J$2, COUNTIF($F$2:F28,1)&lt;$K$2),1,0)</f>
        <v>0</v>
      </c>
      <c r="G29" s="14">
        <f t="shared" si="0"/>
        <v>143912348</v>
      </c>
    </row>
    <row r="30" spans="1:7" x14ac:dyDescent="0.25">
      <c r="A30" t="s">
        <v>438</v>
      </c>
      <c r="B30" s="2">
        <v>1782621</v>
      </c>
      <c r="C30" t="s">
        <v>52</v>
      </c>
      <c r="D30" s="8">
        <v>1.2</v>
      </c>
      <c r="E30" s="8">
        <v>0.67316608521946053</v>
      </c>
      <c r="F30">
        <f>IF(AND(G30&lt;=$J$2, COUNTIF($F$2:F29,1)&lt;$K$2),1,0)</f>
        <v>0</v>
      </c>
      <c r="G30" s="14">
        <f t="shared" si="0"/>
        <v>145694969</v>
      </c>
    </row>
    <row r="31" spans="1:7" x14ac:dyDescent="0.25">
      <c r="A31" t="s">
        <v>410</v>
      </c>
      <c r="B31" s="2">
        <v>1968175</v>
      </c>
      <c r="C31" t="s">
        <v>62</v>
      </c>
      <c r="D31" s="8">
        <v>1.2999999999999998</v>
      </c>
      <c r="E31" s="8">
        <v>0.66051037128304124</v>
      </c>
      <c r="F31">
        <f>IF(AND(G31&lt;=$J$2, COUNTIF($F$2:F30,1)&lt;$K$2),1,0)</f>
        <v>0</v>
      </c>
      <c r="G31" s="14">
        <f t="shared" si="0"/>
        <v>147663144</v>
      </c>
    </row>
    <row r="32" spans="1:7" x14ac:dyDescent="0.25">
      <c r="A32" t="s">
        <v>255</v>
      </c>
      <c r="B32" s="2">
        <v>6395160</v>
      </c>
      <c r="C32" t="s">
        <v>75</v>
      </c>
      <c r="D32" s="8">
        <v>3.9499999999999997</v>
      </c>
      <c r="E32" s="8">
        <v>0.61765460129222716</v>
      </c>
      <c r="F32">
        <f>IF(AND(G32&lt;=$J$2, COUNTIF($F$2:F31,1)&lt;$K$2),1,0)</f>
        <v>0</v>
      </c>
      <c r="G32" s="14">
        <f t="shared" si="0"/>
        <v>154058304</v>
      </c>
    </row>
    <row r="33" spans="1:7" x14ac:dyDescent="0.25">
      <c r="A33" t="s">
        <v>337</v>
      </c>
      <c r="B33" s="2">
        <v>2959080</v>
      </c>
      <c r="C33" t="s">
        <v>65</v>
      </c>
      <c r="D33" s="8">
        <v>1.8</v>
      </c>
      <c r="E33" s="8">
        <v>0.6082971734458007</v>
      </c>
      <c r="F33">
        <f>IF(AND(G33&lt;=$J$2, COUNTIF($F$2:F32,1)&lt;$K$2),1,0)</f>
        <v>0</v>
      </c>
      <c r="G33" s="14">
        <f t="shared" si="0"/>
        <v>157017384</v>
      </c>
    </row>
    <row r="34" spans="1:7" x14ac:dyDescent="0.25">
      <c r="A34" t="s">
        <v>229</v>
      </c>
      <c r="B34" s="2">
        <v>8478720</v>
      </c>
      <c r="C34" t="s">
        <v>28</v>
      </c>
      <c r="D34" s="8">
        <v>5.0999999999999996</v>
      </c>
      <c r="E34" s="8">
        <v>0.60150588768115942</v>
      </c>
      <c r="F34">
        <f>IF(AND(G34&lt;=$J$2, COUNTIF($F$2:F33,1)&lt;$K$2),1,0)</f>
        <v>0</v>
      </c>
      <c r="G34" s="14">
        <f t="shared" si="0"/>
        <v>165496104</v>
      </c>
    </row>
    <row r="35" spans="1:7" x14ac:dyDescent="0.25">
      <c r="A35" t="s">
        <v>222</v>
      </c>
      <c r="B35" s="2">
        <v>8920794</v>
      </c>
      <c r="C35" t="s">
        <v>52</v>
      </c>
      <c r="D35" s="8">
        <v>5</v>
      </c>
      <c r="E35" s="8">
        <v>0.5604882255996495</v>
      </c>
      <c r="F35">
        <f>IF(AND(G35&lt;=$J$2, COUNTIF($F$2:F34,1)&lt;$K$2),1,0)</f>
        <v>0</v>
      </c>
      <c r="G35" s="14">
        <f t="shared" ref="G35:G66" si="1">B35+G34</f>
        <v>174416898</v>
      </c>
    </row>
    <row r="36" spans="1:7" x14ac:dyDescent="0.25">
      <c r="A36" t="s">
        <v>424</v>
      </c>
      <c r="B36" s="2">
        <v>1878720</v>
      </c>
      <c r="C36" t="s">
        <v>28</v>
      </c>
      <c r="D36" s="8">
        <v>1.05</v>
      </c>
      <c r="E36" s="8">
        <v>0.55889115993868166</v>
      </c>
      <c r="F36">
        <f>IF(AND(G36&lt;=$J$2, COUNTIF($F$2:F35,1)&lt;$K$2),1,0)</f>
        <v>0</v>
      </c>
      <c r="G36" s="14">
        <f t="shared" si="1"/>
        <v>176295618</v>
      </c>
    </row>
    <row r="37" spans="1:7" x14ac:dyDescent="0.25">
      <c r="A37" t="s">
        <v>218</v>
      </c>
      <c r="B37" s="2">
        <v>9080417</v>
      </c>
      <c r="C37" t="s">
        <v>75</v>
      </c>
      <c r="D37" s="8">
        <v>5.0500000000000007</v>
      </c>
      <c r="E37" s="8">
        <v>0.55614186000488752</v>
      </c>
      <c r="F37">
        <f>IF(AND(G37&lt;=$J$2, COUNTIF($F$2:F36,1)&lt;$K$2),1,0)</f>
        <v>0</v>
      </c>
      <c r="G37" s="14">
        <f t="shared" si="1"/>
        <v>185376035</v>
      </c>
    </row>
    <row r="38" spans="1:7" x14ac:dyDescent="0.25">
      <c r="A38" t="s">
        <v>292</v>
      </c>
      <c r="B38" s="2">
        <v>4500000</v>
      </c>
      <c r="C38" t="s">
        <v>62</v>
      </c>
      <c r="D38" s="8">
        <v>2.4500000000000002</v>
      </c>
      <c r="E38" s="8">
        <v>0.5444444444444444</v>
      </c>
      <c r="F38">
        <f>IF(AND(G38&lt;=$J$2, COUNTIF($F$2:F37,1)&lt;$K$2),1,0)</f>
        <v>0</v>
      </c>
      <c r="G38" s="14">
        <f t="shared" si="1"/>
        <v>189876035</v>
      </c>
    </row>
    <row r="39" spans="1:7" x14ac:dyDescent="0.25">
      <c r="A39" t="s">
        <v>264</v>
      </c>
      <c r="B39" s="2">
        <v>5887899</v>
      </c>
      <c r="C39" t="s">
        <v>28</v>
      </c>
      <c r="D39" s="8">
        <v>3.05</v>
      </c>
      <c r="E39" s="8">
        <v>0.5180116031202302</v>
      </c>
      <c r="F39">
        <f>IF(AND(G39&lt;=$J$2, COUNTIF($F$2:F38,1)&lt;$K$2),1,0)</f>
        <v>0</v>
      </c>
      <c r="G39" s="14">
        <f t="shared" si="1"/>
        <v>195763934</v>
      </c>
    </row>
    <row r="40" spans="1:7" x14ac:dyDescent="0.25">
      <c r="A40" t="s">
        <v>275</v>
      </c>
      <c r="B40" s="2">
        <v>5258280</v>
      </c>
      <c r="C40" t="s">
        <v>65</v>
      </c>
      <c r="D40" s="8">
        <v>2.6500000000000004</v>
      </c>
      <c r="E40" s="8">
        <v>0.50396707668667329</v>
      </c>
      <c r="F40">
        <f>IF(AND(G40&lt;=$J$2, COUNTIF($F$2:F39,1)&lt;$K$2),1,0)</f>
        <v>0</v>
      </c>
      <c r="G40" s="14">
        <f t="shared" si="1"/>
        <v>201022214</v>
      </c>
    </row>
    <row r="41" spans="1:7" x14ac:dyDescent="0.25">
      <c r="A41" t="s">
        <v>187</v>
      </c>
      <c r="B41" s="2">
        <v>12119440</v>
      </c>
      <c r="C41" t="s">
        <v>52</v>
      </c>
      <c r="D41" s="8">
        <v>5.85</v>
      </c>
      <c r="E41" s="8">
        <v>0.48269557009234748</v>
      </c>
      <c r="F41">
        <f>IF(AND(G41&lt;=$J$2, COUNTIF($F$2:F40,1)&lt;$K$2),1,0)</f>
        <v>0</v>
      </c>
      <c r="G41" s="14">
        <f t="shared" si="1"/>
        <v>213141654</v>
      </c>
    </row>
    <row r="42" spans="1:7" x14ac:dyDescent="0.25">
      <c r="A42" t="s">
        <v>433</v>
      </c>
      <c r="B42" s="2">
        <v>1815677</v>
      </c>
      <c r="C42" t="s">
        <v>65</v>
      </c>
      <c r="D42" s="8">
        <v>0.85</v>
      </c>
      <c r="E42" s="8">
        <v>0.46814493987642075</v>
      </c>
      <c r="F42">
        <f>IF(AND(G42&lt;=$J$2, COUNTIF($F$2:F41,1)&lt;$K$2),1,0)</f>
        <v>0</v>
      </c>
      <c r="G42" s="14">
        <f t="shared" si="1"/>
        <v>214957331</v>
      </c>
    </row>
    <row r="43" spans="1:7" x14ac:dyDescent="0.25">
      <c r="A43" t="s">
        <v>237</v>
      </c>
      <c r="B43" s="2">
        <v>7804878</v>
      </c>
      <c r="C43" t="s">
        <v>52</v>
      </c>
      <c r="D43" s="8">
        <v>3.55</v>
      </c>
      <c r="E43" s="8">
        <v>0.45484375284277345</v>
      </c>
      <c r="F43">
        <f>IF(AND(G43&lt;=$J$2, COUNTIF($F$2:F42,1)&lt;$K$2),1,0)</f>
        <v>0</v>
      </c>
      <c r="G43" s="14">
        <f t="shared" si="1"/>
        <v>222762209</v>
      </c>
    </row>
    <row r="44" spans="1:7" x14ac:dyDescent="0.25">
      <c r="A44" t="s">
        <v>303</v>
      </c>
      <c r="B44" s="2">
        <v>4124280</v>
      </c>
      <c r="C44" t="s">
        <v>75</v>
      </c>
      <c r="D44" s="8">
        <v>1.85</v>
      </c>
      <c r="E44" s="8">
        <v>0.44856314314256063</v>
      </c>
      <c r="F44">
        <f>IF(AND(G44&lt;=$J$2, COUNTIF($F$2:F43,1)&lt;$K$2),1,0)</f>
        <v>0</v>
      </c>
      <c r="G44" s="14">
        <f t="shared" si="1"/>
        <v>226886489</v>
      </c>
    </row>
    <row r="45" spans="1:7" x14ac:dyDescent="0.25">
      <c r="A45" t="s">
        <v>136</v>
      </c>
      <c r="B45" s="2">
        <v>21100000</v>
      </c>
      <c r="C45" t="s">
        <v>75</v>
      </c>
      <c r="D45" s="8">
        <v>9.1999999999999993</v>
      </c>
      <c r="E45" s="8">
        <v>0.43601895734597157</v>
      </c>
      <c r="F45">
        <f>IF(AND(G45&lt;=$J$2, COUNTIF($F$2:F44,1)&lt;$K$2),1,0)</f>
        <v>0</v>
      </c>
      <c r="G45" s="14">
        <f t="shared" si="1"/>
        <v>247986489</v>
      </c>
    </row>
    <row r="46" spans="1:7" x14ac:dyDescent="0.25">
      <c r="A46" t="s">
        <v>224</v>
      </c>
      <c r="B46" s="2">
        <v>8780488</v>
      </c>
      <c r="C46" t="s">
        <v>28</v>
      </c>
      <c r="D46" s="8">
        <v>3.8</v>
      </c>
      <c r="E46" s="8">
        <v>0.43277776816049401</v>
      </c>
      <c r="F46">
        <f>IF(AND(G46&lt;=$J$2, COUNTIF($F$2:F45,1)&lt;$K$2),1,0)</f>
        <v>0</v>
      </c>
      <c r="G46" s="14">
        <f t="shared" si="1"/>
        <v>256766977</v>
      </c>
    </row>
    <row r="47" spans="1:7" x14ac:dyDescent="0.25">
      <c r="A47" t="s">
        <v>354</v>
      </c>
      <c r="B47" s="2">
        <v>2792640</v>
      </c>
      <c r="C47" t="s">
        <v>65</v>
      </c>
      <c r="D47" s="8">
        <v>1.2</v>
      </c>
      <c r="E47" s="8">
        <v>0.42970092815400479</v>
      </c>
      <c r="F47">
        <f>IF(AND(G47&lt;=$J$2, COUNTIF($F$2:F46,1)&lt;$K$2),1,0)</f>
        <v>0</v>
      </c>
      <c r="G47" s="14">
        <f t="shared" si="1"/>
        <v>259559617</v>
      </c>
    </row>
    <row r="48" spans="1:7" x14ac:dyDescent="0.25">
      <c r="A48" t="s">
        <v>214</v>
      </c>
      <c r="B48" s="2">
        <v>9398148</v>
      </c>
      <c r="C48" t="s">
        <v>75</v>
      </c>
      <c r="D48" s="8">
        <v>3.95</v>
      </c>
      <c r="E48" s="8">
        <v>0.42029557312781202</v>
      </c>
      <c r="F48">
        <f>IF(AND(G48&lt;=$J$2, COUNTIF($F$2:F47,1)&lt;$K$2),1,0)</f>
        <v>0</v>
      </c>
      <c r="G48" s="14">
        <f t="shared" si="1"/>
        <v>268957765</v>
      </c>
    </row>
    <row r="49" spans="1:7" x14ac:dyDescent="0.25">
      <c r="A49" t="s">
        <v>256</v>
      </c>
      <c r="B49" s="2">
        <v>6287400</v>
      </c>
      <c r="C49" t="s">
        <v>28</v>
      </c>
      <c r="D49" s="8">
        <v>2.6</v>
      </c>
      <c r="E49" s="8">
        <v>0.413525463625664</v>
      </c>
      <c r="F49">
        <f>IF(AND(G49&lt;=$J$2, COUNTIF($F$2:F48,1)&lt;$K$2),1,0)</f>
        <v>0</v>
      </c>
      <c r="G49" s="14">
        <f t="shared" si="1"/>
        <v>275245165</v>
      </c>
    </row>
    <row r="50" spans="1:7" x14ac:dyDescent="0.25">
      <c r="A50" t="s">
        <v>299</v>
      </c>
      <c r="B50" s="2">
        <v>4306281</v>
      </c>
      <c r="C50" t="s">
        <v>28</v>
      </c>
      <c r="D50" s="8">
        <v>1.6500000000000001</v>
      </c>
      <c r="E50" s="8">
        <v>0.38316124748942304</v>
      </c>
      <c r="F50">
        <f>IF(AND(G50&lt;=$J$2, COUNTIF($F$2:F49,1)&lt;$K$2),1,0)</f>
        <v>0</v>
      </c>
      <c r="G50" s="14">
        <f t="shared" si="1"/>
        <v>279551446</v>
      </c>
    </row>
    <row r="51" spans="1:7" x14ac:dyDescent="0.25">
      <c r="A51" t="s">
        <v>364</v>
      </c>
      <c r="B51" s="2">
        <v>2573760</v>
      </c>
      <c r="C51" t="s">
        <v>75</v>
      </c>
      <c r="D51" s="8">
        <v>0.95000000000000007</v>
      </c>
      <c r="E51" s="8">
        <v>0.36910978490612961</v>
      </c>
      <c r="F51">
        <f>IF(AND(G51&lt;=$J$2, COUNTIF($F$2:F50,1)&lt;$K$2),1,0)</f>
        <v>0</v>
      </c>
      <c r="G51" s="14">
        <f t="shared" si="1"/>
        <v>282125206</v>
      </c>
    </row>
    <row r="52" spans="1:7" x14ac:dyDescent="0.25">
      <c r="A52" t="s">
        <v>162</v>
      </c>
      <c r="B52" s="2">
        <v>16475454</v>
      </c>
      <c r="C52" t="s">
        <v>28</v>
      </c>
      <c r="D52" s="8">
        <v>6</v>
      </c>
      <c r="E52" s="8">
        <v>0.36417812826280843</v>
      </c>
      <c r="F52">
        <f>IF(AND(G52&lt;=$J$2, COUNTIF($F$2:F51,1)&lt;$K$2),1,0)</f>
        <v>0</v>
      </c>
      <c r="G52" s="14">
        <f t="shared" si="1"/>
        <v>298600660</v>
      </c>
    </row>
    <row r="53" spans="1:7" x14ac:dyDescent="0.25">
      <c r="A53" t="s">
        <v>172</v>
      </c>
      <c r="B53" s="2">
        <v>13906976</v>
      </c>
      <c r="C53" t="s">
        <v>75</v>
      </c>
      <c r="D53" s="8">
        <v>5.05</v>
      </c>
      <c r="E53" s="8">
        <v>0.36312710973255435</v>
      </c>
      <c r="F53">
        <f>IF(AND(G53&lt;=$J$2, COUNTIF($F$2:F52,1)&lt;$K$2),1,0)</f>
        <v>0</v>
      </c>
      <c r="G53" s="14">
        <f t="shared" si="1"/>
        <v>312507636</v>
      </c>
    </row>
    <row r="54" spans="1:7" x14ac:dyDescent="0.25">
      <c r="A54" t="s">
        <v>269</v>
      </c>
      <c r="B54" s="2">
        <v>5722116</v>
      </c>
      <c r="C54" t="s">
        <v>62</v>
      </c>
      <c r="D54" s="8">
        <v>2.0499999999999998</v>
      </c>
      <c r="E54" s="8">
        <v>0.35825907758598391</v>
      </c>
      <c r="F54">
        <f>IF(AND(G54&lt;=$J$2, COUNTIF($F$2:F53,1)&lt;$K$2),1,0)</f>
        <v>0</v>
      </c>
      <c r="G54" s="14">
        <f t="shared" si="1"/>
        <v>318229752</v>
      </c>
    </row>
    <row r="55" spans="1:7" x14ac:dyDescent="0.25">
      <c r="A55" t="s">
        <v>239</v>
      </c>
      <c r="B55" s="2">
        <v>7644600</v>
      </c>
      <c r="C55" t="s">
        <v>65</v>
      </c>
      <c r="D55" s="8">
        <v>2.7</v>
      </c>
      <c r="E55" s="8">
        <v>0.35319048740287262</v>
      </c>
      <c r="F55">
        <f>IF(AND(G55&lt;=$J$2, COUNTIF($F$2:F54,1)&lt;$K$2),1,0)</f>
        <v>0</v>
      </c>
      <c r="G55" s="14">
        <f t="shared" si="1"/>
        <v>325874352</v>
      </c>
    </row>
    <row r="56" spans="1:7" x14ac:dyDescent="0.25">
      <c r="A56" t="s">
        <v>280</v>
      </c>
      <c r="B56" s="2">
        <v>5121951</v>
      </c>
      <c r="C56" t="s">
        <v>28</v>
      </c>
      <c r="D56" s="8">
        <v>1.7</v>
      </c>
      <c r="E56" s="8">
        <v>0.33190477612925229</v>
      </c>
      <c r="F56">
        <f>IF(AND(G56&lt;=$J$2, COUNTIF($F$2:F55,1)&lt;$K$2),1,0)</f>
        <v>0</v>
      </c>
      <c r="G56" s="14">
        <f t="shared" si="1"/>
        <v>330996303</v>
      </c>
    </row>
    <row r="57" spans="1:7" x14ac:dyDescent="0.25">
      <c r="A57" t="s">
        <v>320</v>
      </c>
      <c r="B57" s="2">
        <v>3552840</v>
      </c>
      <c r="C57" t="s">
        <v>65</v>
      </c>
      <c r="D57" s="8">
        <v>1.1499999999999999</v>
      </c>
      <c r="E57" s="8">
        <v>0.32368471420047062</v>
      </c>
      <c r="F57">
        <f>IF(AND(G57&lt;=$J$2, COUNTIF($F$2:F56,1)&lt;$K$2),1,0)</f>
        <v>0</v>
      </c>
      <c r="G57" s="14">
        <f t="shared" si="1"/>
        <v>334549143</v>
      </c>
    </row>
    <row r="58" spans="1:7" x14ac:dyDescent="0.25">
      <c r="A58" t="s">
        <v>98</v>
      </c>
      <c r="B58" s="2">
        <v>33616770</v>
      </c>
      <c r="C58" t="s">
        <v>75</v>
      </c>
      <c r="D58" s="8">
        <v>10.75</v>
      </c>
      <c r="E58" s="8">
        <v>0.31978087127347454</v>
      </c>
      <c r="F58">
        <f>IF(AND(G58&lt;=$J$2, COUNTIF($F$2:F57,1)&lt;$K$2),1,0)</f>
        <v>0</v>
      </c>
      <c r="G58" s="14">
        <f t="shared" si="1"/>
        <v>368165913</v>
      </c>
    </row>
    <row r="59" spans="1:7" x14ac:dyDescent="0.25">
      <c r="A59" t="s">
        <v>384</v>
      </c>
      <c r="B59" s="2">
        <v>2200000</v>
      </c>
      <c r="C59" t="s">
        <v>28</v>
      </c>
      <c r="D59" s="8">
        <v>0.7</v>
      </c>
      <c r="E59" s="8">
        <v>0.31818181818181818</v>
      </c>
      <c r="F59">
        <f>IF(AND(G59&lt;=$J$2, COUNTIF($F$2:F58,1)&lt;$K$2),1,0)</f>
        <v>0</v>
      </c>
      <c r="G59" s="14">
        <f t="shared" si="1"/>
        <v>370365913</v>
      </c>
    </row>
    <row r="60" spans="1:7" x14ac:dyDescent="0.25">
      <c r="A60" t="s">
        <v>232</v>
      </c>
      <c r="B60" s="2">
        <v>8250000</v>
      </c>
      <c r="C60" t="s">
        <v>62</v>
      </c>
      <c r="D60" s="8">
        <v>2.5500000000000003</v>
      </c>
      <c r="E60" s="8">
        <v>0.30909090909090914</v>
      </c>
      <c r="F60">
        <f>IF(AND(G60&lt;=$J$2, COUNTIF($F$2:F59,1)&lt;$K$2),1,0)</f>
        <v>0</v>
      </c>
      <c r="G60" s="14">
        <f t="shared" si="1"/>
        <v>378615913</v>
      </c>
    </row>
    <row r="61" spans="1:7" x14ac:dyDescent="0.25">
      <c r="A61" t="s">
        <v>361</v>
      </c>
      <c r="B61" s="2">
        <v>2625000</v>
      </c>
      <c r="C61" t="s">
        <v>28</v>
      </c>
      <c r="D61" s="8">
        <v>0.8</v>
      </c>
      <c r="E61" s="8">
        <v>0.30476190476190479</v>
      </c>
      <c r="F61">
        <f>IF(AND(G61&lt;=$J$2, COUNTIF($F$2:F60,1)&lt;$K$2),1,0)</f>
        <v>0</v>
      </c>
      <c r="G61" s="14">
        <f t="shared" si="1"/>
        <v>381240913</v>
      </c>
    </row>
    <row r="62" spans="1:7" x14ac:dyDescent="0.25">
      <c r="A62" t="s">
        <v>108</v>
      </c>
      <c r="B62" s="2">
        <v>30913750</v>
      </c>
      <c r="C62" t="s">
        <v>52</v>
      </c>
      <c r="D62" s="8">
        <v>9.35</v>
      </c>
      <c r="E62" s="8">
        <v>0.30245440944563501</v>
      </c>
      <c r="F62">
        <f>IF(AND(G62&lt;=$J$2, COUNTIF($F$2:F61,1)&lt;$K$2),1,0)</f>
        <v>0</v>
      </c>
      <c r="G62" s="14">
        <f t="shared" si="1"/>
        <v>412154663</v>
      </c>
    </row>
    <row r="63" spans="1:7" x14ac:dyDescent="0.25">
      <c r="A63" t="s">
        <v>140</v>
      </c>
      <c r="B63" s="2">
        <v>20000000</v>
      </c>
      <c r="C63" t="s">
        <v>75</v>
      </c>
      <c r="D63" s="8">
        <v>5.95</v>
      </c>
      <c r="E63" s="8">
        <v>0.29749999999999999</v>
      </c>
      <c r="F63">
        <f>IF(AND(G63&lt;=$J$2, COUNTIF($F$2:F62,1)&lt;$K$2),1,0)</f>
        <v>0</v>
      </c>
      <c r="G63" s="14">
        <f t="shared" si="1"/>
        <v>432154663</v>
      </c>
    </row>
    <row r="64" spans="1:7" x14ac:dyDescent="0.25">
      <c r="A64" t="s">
        <v>252</v>
      </c>
      <c r="B64" s="2">
        <v>6479000</v>
      </c>
      <c r="C64" t="s">
        <v>65</v>
      </c>
      <c r="D64" s="8">
        <v>1.9</v>
      </c>
      <c r="E64" s="8">
        <v>0.2932551319648094</v>
      </c>
      <c r="F64">
        <f>IF(AND(G64&lt;=$J$2, COUNTIF($F$2:F63,1)&lt;$K$2),1,0)</f>
        <v>0</v>
      </c>
      <c r="G64" s="14">
        <f t="shared" si="1"/>
        <v>438633663</v>
      </c>
    </row>
    <row r="65" spans="1:7" x14ac:dyDescent="0.25">
      <c r="A65" t="s">
        <v>221</v>
      </c>
      <c r="B65" s="2">
        <v>8925000</v>
      </c>
      <c r="C65" t="s">
        <v>62</v>
      </c>
      <c r="D65" s="8">
        <v>2.5999999999999996</v>
      </c>
      <c r="E65" s="8">
        <v>0.29131652661064422</v>
      </c>
      <c r="F65">
        <f>IF(AND(G65&lt;=$J$2, COUNTIF($F$2:F64,1)&lt;$K$2),1,0)</f>
        <v>0</v>
      </c>
      <c r="G65" s="14">
        <f t="shared" si="1"/>
        <v>447558663</v>
      </c>
    </row>
    <row r="66" spans="1:7" x14ac:dyDescent="0.25">
      <c r="A66" t="s">
        <v>205</v>
      </c>
      <c r="B66" s="2">
        <v>10123457</v>
      </c>
      <c r="C66" t="s">
        <v>75</v>
      </c>
      <c r="D66" s="8">
        <v>2.9</v>
      </c>
      <c r="E66" s="8">
        <v>0.28646340869527082</v>
      </c>
      <c r="F66">
        <f>IF(AND(G66&lt;=$J$2, COUNTIF($F$2:F65,1)&lt;$K$2),1,0)</f>
        <v>0</v>
      </c>
      <c r="G66" s="14">
        <f t="shared" si="1"/>
        <v>457682120</v>
      </c>
    </row>
    <row r="67" spans="1:7" x14ac:dyDescent="0.25">
      <c r="A67" t="s">
        <v>155</v>
      </c>
      <c r="B67" s="2">
        <v>17142857</v>
      </c>
      <c r="C67" t="s">
        <v>62</v>
      </c>
      <c r="D67" s="8">
        <v>4.9000000000000004</v>
      </c>
      <c r="E67" s="8">
        <v>0.2858333357152778</v>
      </c>
      <c r="F67">
        <f>IF(AND(G67&lt;=$J$2, COUNTIF($F$2:F66,1)&lt;$K$2),1,0)</f>
        <v>0</v>
      </c>
      <c r="G67" s="14">
        <f t="shared" ref="G67:G98" si="2">B67+G66</f>
        <v>474824977</v>
      </c>
    </row>
    <row r="68" spans="1:7" x14ac:dyDescent="0.25">
      <c r="A68" t="s">
        <v>79</v>
      </c>
      <c r="B68" s="2">
        <v>37653300</v>
      </c>
      <c r="C68" t="s">
        <v>28</v>
      </c>
      <c r="D68" s="8">
        <v>10.5</v>
      </c>
      <c r="E68" s="8">
        <v>0.27886002023727002</v>
      </c>
      <c r="F68">
        <f>IF(AND(G68&lt;=$J$2, COUNTIF($F$2:F67,1)&lt;$K$2),1,0)</f>
        <v>0</v>
      </c>
      <c r="G68" s="14">
        <f t="shared" si="2"/>
        <v>512478277</v>
      </c>
    </row>
    <row r="69" spans="1:7" x14ac:dyDescent="0.25">
      <c r="A69" t="s">
        <v>246</v>
      </c>
      <c r="B69" s="2">
        <v>7040880</v>
      </c>
      <c r="C69" t="s">
        <v>65</v>
      </c>
      <c r="D69" s="8">
        <v>1.9500000000000002</v>
      </c>
      <c r="E69" s="8">
        <v>0.27695401711149747</v>
      </c>
      <c r="F69">
        <f>IF(AND(G69&lt;=$J$2, COUNTIF($F$2:F68,1)&lt;$K$2),1,0)</f>
        <v>0</v>
      </c>
      <c r="G69" s="14">
        <f t="shared" si="2"/>
        <v>519519157</v>
      </c>
    </row>
    <row r="70" spans="1:7" x14ac:dyDescent="0.25">
      <c r="A70" t="s">
        <v>196</v>
      </c>
      <c r="B70" s="2">
        <v>10843350</v>
      </c>
      <c r="C70" t="s">
        <v>28</v>
      </c>
      <c r="D70" s="8">
        <v>3</v>
      </c>
      <c r="E70" s="8">
        <v>0.27666726611240994</v>
      </c>
      <c r="F70">
        <f>IF(AND(G70&lt;=$J$2, COUNTIF($F$2:F69,1)&lt;$K$2),1,0)</f>
        <v>0</v>
      </c>
      <c r="G70" s="14">
        <f t="shared" si="2"/>
        <v>530362507</v>
      </c>
    </row>
    <row r="71" spans="1:7" x14ac:dyDescent="0.25">
      <c r="A71" t="s">
        <v>181</v>
      </c>
      <c r="B71" s="2">
        <v>12960000</v>
      </c>
      <c r="C71" t="s">
        <v>65</v>
      </c>
      <c r="D71" s="8">
        <v>3.45</v>
      </c>
      <c r="E71" s="8">
        <v>0.26620370370370372</v>
      </c>
      <c r="F71">
        <f>IF(AND(G71&lt;=$J$2, COUNTIF($F$2:F70,1)&lt;$K$2),1,0)</f>
        <v>0</v>
      </c>
      <c r="G71" s="14">
        <f t="shared" si="2"/>
        <v>543322507</v>
      </c>
    </row>
    <row r="72" spans="1:7" x14ac:dyDescent="0.25">
      <c r="A72" t="s">
        <v>112</v>
      </c>
      <c r="B72" s="2">
        <v>30351780</v>
      </c>
      <c r="C72" t="s">
        <v>65</v>
      </c>
      <c r="D72" s="8">
        <v>8</v>
      </c>
      <c r="E72" s="8">
        <v>0.26357597478632228</v>
      </c>
      <c r="F72">
        <f>IF(AND(G72&lt;=$J$2, COUNTIF($F$2:F71,1)&lt;$K$2),1,0)</f>
        <v>0</v>
      </c>
      <c r="G72" s="14">
        <f t="shared" si="2"/>
        <v>573674287</v>
      </c>
    </row>
    <row r="73" spans="1:7" x14ac:dyDescent="0.25">
      <c r="A73" t="s">
        <v>157</v>
      </c>
      <c r="B73" s="2">
        <v>17045454</v>
      </c>
      <c r="C73" t="s">
        <v>75</v>
      </c>
      <c r="D73" s="8">
        <v>4.45</v>
      </c>
      <c r="E73" s="8">
        <v>0.26106667502080028</v>
      </c>
      <c r="F73">
        <f>IF(AND(G73&lt;=$J$2, COUNTIF($F$2:F72,1)&lt;$K$2),1,0)</f>
        <v>0</v>
      </c>
      <c r="G73" s="14">
        <f t="shared" si="2"/>
        <v>590719741</v>
      </c>
    </row>
    <row r="74" spans="1:7" x14ac:dyDescent="0.25">
      <c r="A74" t="s">
        <v>219</v>
      </c>
      <c r="B74" s="2">
        <v>9030000</v>
      </c>
      <c r="C74" t="s">
        <v>52</v>
      </c>
      <c r="D74" s="8">
        <v>2.35</v>
      </c>
      <c r="E74" s="8">
        <v>0.26024363233665559</v>
      </c>
      <c r="F74">
        <f>IF(AND(G74&lt;=$J$2, COUNTIF($F$2:F73,1)&lt;$K$2),1,0)</f>
        <v>0</v>
      </c>
      <c r="G74" s="14">
        <f t="shared" si="2"/>
        <v>599749741</v>
      </c>
    </row>
    <row r="75" spans="1:7" x14ac:dyDescent="0.25">
      <c r="A75" t="s">
        <v>147</v>
      </c>
      <c r="B75" s="2">
        <v>18206896</v>
      </c>
      <c r="C75" t="s">
        <v>75</v>
      </c>
      <c r="D75" s="8">
        <v>4.7</v>
      </c>
      <c r="E75" s="8">
        <v>0.25814394721648326</v>
      </c>
      <c r="F75">
        <f>IF(AND(G75&lt;=$J$2, COUNTIF($F$2:F74,1)&lt;$K$2),1,0)</f>
        <v>0</v>
      </c>
      <c r="G75" s="14">
        <f t="shared" si="2"/>
        <v>617956637</v>
      </c>
    </row>
    <row r="76" spans="1:7" x14ac:dyDescent="0.25">
      <c r="A76" t="s">
        <v>217</v>
      </c>
      <c r="B76" s="2">
        <v>9125000</v>
      </c>
      <c r="C76" t="s">
        <v>52</v>
      </c>
      <c r="D76" s="8">
        <v>2.35</v>
      </c>
      <c r="E76" s="8">
        <v>0.25753424657534246</v>
      </c>
      <c r="F76">
        <f>IF(AND(G76&lt;=$J$2, COUNTIF($F$2:F75,1)&lt;$K$2),1,0)</f>
        <v>0</v>
      </c>
      <c r="G76" s="14">
        <f t="shared" si="2"/>
        <v>627081637</v>
      </c>
    </row>
    <row r="77" spans="1:7" x14ac:dyDescent="0.25">
      <c r="A77" t="s">
        <v>127</v>
      </c>
      <c r="B77" s="2">
        <v>23760000</v>
      </c>
      <c r="C77" t="s">
        <v>28</v>
      </c>
      <c r="D77" s="8">
        <v>5.9</v>
      </c>
      <c r="E77" s="8">
        <v>0.24831649831649832</v>
      </c>
      <c r="F77">
        <f>IF(AND(G77&lt;=$J$2, COUNTIF($F$2:F76,1)&lt;$K$2),1,0)</f>
        <v>0</v>
      </c>
      <c r="G77" s="14">
        <f t="shared" si="2"/>
        <v>650841637</v>
      </c>
    </row>
    <row r="78" spans="1:7" x14ac:dyDescent="0.25">
      <c r="A78" t="s">
        <v>106</v>
      </c>
      <c r="B78" s="2">
        <v>30913750</v>
      </c>
      <c r="C78" t="s">
        <v>62</v>
      </c>
      <c r="D78" s="8">
        <v>7.6</v>
      </c>
      <c r="E78" s="8">
        <v>0.24584529537827018</v>
      </c>
      <c r="F78">
        <f>IF(AND(G78&lt;=$J$2, COUNTIF($F$2:F77,1)&lt;$K$2),1,0)</f>
        <v>0</v>
      </c>
      <c r="G78" s="14">
        <f t="shared" si="2"/>
        <v>681755387</v>
      </c>
    </row>
    <row r="79" spans="1:7" x14ac:dyDescent="0.25">
      <c r="A79" t="s">
        <v>227</v>
      </c>
      <c r="B79" s="2">
        <v>8623920</v>
      </c>
      <c r="C79" t="s">
        <v>52</v>
      </c>
      <c r="D79" s="8">
        <v>2.1</v>
      </c>
      <c r="E79" s="8">
        <v>0.24350875240030057</v>
      </c>
      <c r="F79">
        <f>IF(AND(G79&lt;=$J$2, COUNTIF($F$2:F78,1)&lt;$K$2),1,0)</f>
        <v>0</v>
      </c>
      <c r="G79" s="14">
        <f t="shared" si="2"/>
        <v>690379307</v>
      </c>
    </row>
    <row r="80" spans="1:7" x14ac:dyDescent="0.25">
      <c r="A80" t="s">
        <v>167</v>
      </c>
      <c r="B80" s="2">
        <v>15000000</v>
      </c>
      <c r="C80" t="s">
        <v>52</v>
      </c>
      <c r="D80" s="8">
        <v>3.6500000000000004</v>
      </c>
      <c r="E80" s="8">
        <v>0.24333333333333337</v>
      </c>
      <c r="F80">
        <f>IF(AND(G80&lt;=$J$2, COUNTIF($F$2:F79,1)&lt;$K$2),1,0)</f>
        <v>0</v>
      </c>
      <c r="G80" s="14">
        <f t="shared" si="2"/>
        <v>705379307</v>
      </c>
    </row>
    <row r="81" spans="1:7" x14ac:dyDescent="0.25">
      <c r="A81" t="s">
        <v>223</v>
      </c>
      <c r="B81" s="2">
        <v>8854879</v>
      </c>
      <c r="C81" t="s">
        <v>75</v>
      </c>
      <c r="D81" s="8">
        <v>2.15</v>
      </c>
      <c r="E81" s="8">
        <v>0.24280399540185699</v>
      </c>
      <c r="F81">
        <f>IF(AND(G81&lt;=$J$2, COUNTIF($F$2:F80,1)&lt;$K$2),1,0)</f>
        <v>0</v>
      </c>
      <c r="G81" s="14">
        <f t="shared" si="2"/>
        <v>714234186</v>
      </c>
    </row>
    <row r="82" spans="1:7" x14ac:dyDescent="0.25">
      <c r="A82" t="s">
        <v>259</v>
      </c>
      <c r="B82" s="2">
        <v>6025000</v>
      </c>
      <c r="C82" t="s">
        <v>52</v>
      </c>
      <c r="D82" s="8">
        <v>1.45</v>
      </c>
      <c r="E82" s="8">
        <v>0.24066390041493776</v>
      </c>
      <c r="F82">
        <f>IF(AND(G82&lt;=$J$2, COUNTIF($F$2:F81,1)&lt;$K$2),1,0)</f>
        <v>0</v>
      </c>
      <c r="G82" s="14">
        <f t="shared" si="2"/>
        <v>720259186</v>
      </c>
    </row>
    <row r="83" spans="1:7" x14ac:dyDescent="0.25">
      <c r="A83" t="s">
        <v>234</v>
      </c>
      <c r="B83" s="2">
        <v>8008440</v>
      </c>
      <c r="C83" t="s">
        <v>65</v>
      </c>
      <c r="D83" s="8">
        <v>1.8499999999999999</v>
      </c>
      <c r="E83" s="8">
        <v>0.23100628836577408</v>
      </c>
      <c r="F83">
        <f>IF(AND(G83&lt;=$J$2, COUNTIF($F$2:F82,1)&lt;$K$2),1,0)</f>
        <v>0</v>
      </c>
      <c r="G83" s="14">
        <f t="shared" si="2"/>
        <v>728267626</v>
      </c>
    </row>
    <row r="84" spans="1:7" x14ac:dyDescent="0.25">
      <c r="A84" t="s">
        <v>139</v>
      </c>
      <c r="B84" s="2">
        <v>20100000</v>
      </c>
      <c r="C84" t="s">
        <v>62</v>
      </c>
      <c r="D84" s="8">
        <v>4.5999999999999996</v>
      </c>
      <c r="E84" s="8">
        <v>0.22885572139303484</v>
      </c>
      <c r="F84">
        <f>IF(AND(G84&lt;=$J$2, COUNTIF($F$2:F83,1)&lt;$K$2),1,0)</f>
        <v>0</v>
      </c>
      <c r="G84" s="14">
        <f t="shared" si="2"/>
        <v>748367626</v>
      </c>
    </row>
    <row r="85" spans="1:7" x14ac:dyDescent="0.25">
      <c r="A85" t="s">
        <v>122</v>
      </c>
      <c r="B85" s="2">
        <v>27733332</v>
      </c>
      <c r="C85" t="s">
        <v>52</v>
      </c>
      <c r="D85" s="8">
        <v>6.3</v>
      </c>
      <c r="E85" s="8">
        <v>0.22716347245978233</v>
      </c>
      <c r="F85">
        <f>IF(AND(G85&lt;=$J$2, COUNTIF($F$2:F84,1)&lt;$K$2),1,0)</f>
        <v>0</v>
      </c>
      <c r="G85" s="14">
        <f t="shared" si="2"/>
        <v>776100958</v>
      </c>
    </row>
    <row r="86" spans="1:7" x14ac:dyDescent="0.25">
      <c r="A86" t="s">
        <v>170</v>
      </c>
      <c r="B86" s="2">
        <v>14317459</v>
      </c>
      <c r="C86" t="s">
        <v>75</v>
      </c>
      <c r="D86" s="8">
        <v>3.25</v>
      </c>
      <c r="E86" s="8">
        <v>0.22699558629782002</v>
      </c>
      <c r="F86">
        <f>IF(AND(G86&lt;=$J$2, COUNTIF($F$2:F85,1)&lt;$K$2),1,0)</f>
        <v>0</v>
      </c>
      <c r="G86" s="14">
        <f t="shared" si="2"/>
        <v>790418417</v>
      </c>
    </row>
    <row r="87" spans="1:7" x14ac:dyDescent="0.25">
      <c r="A87" t="s">
        <v>404</v>
      </c>
      <c r="B87" s="2">
        <v>1997718</v>
      </c>
      <c r="C87" t="s">
        <v>62</v>
      </c>
      <c r="D87" s="8">
        <v>0.44999999999999996</v>
      </c>
      <c r="E87" s="8">
        <v>0.22525701825783215</v>
      </c>
      <c r="F87">
        <f>IF(AND(G87&lt;=$J$2, COUNTIF($F$2:F86,1)&lt;$K$2),1,0)</f>
        <v>0</v>
      </c>
      <c r="G87" s="14">
        <f t="shared" si="2"/>
        <v>792416135</v>
      </c>
    </row>
    <row r="88" spans="1:7" x14ac:dyDescent="0.25">
      <c r="A88" t="s">
        <v>198</v>
      </c>
      <c r="B88" s="2">
        <v>10733400</v>
      </c>
      <c r="C88" t="s">
        <v>62</v>
      </c>
      <c r="D88" s="8">
        <v>2.4</v>
      </c>
      <c r="E88" s="8">
        <v>0.22360109564536867</v>
      </c>
      <c r="F88">
        <f>IF(AND(G88&lt;=$J$2, COUNTIF($F$2:F87,1)&lt;$K$2),1,0)</f>
        <v>0</v>
      </c>
      <c r="G88" s="14">
        <f t="shared" si="2"/>
        <v>803149535</v>
      </c>
    </row>
    <row r="89" spans="1:7" x14ac:dyDescent="0.25">
      <c r="A89" t="s">
        <v>138</v>
      </c>
      <c r="B89" s="2">
        <v>20690909</v>
      </c>
      <c r="C89" t="s">
        <v>28</v>
      </c>
      <c r="D89" s="8">
        <v>4.45</v>
      </c>
      <c r="E89" s="8">
        <v>0.21507029971472011</v>
      </c>
      <c r="F89">
        <f>IF(AND(G89&lt;=$J$2, COUNTIF($F$2:F88,1)&lt;$K$2),1,0)</f>
        <v>0</v>
      </c>
      <c r="G89" s="14">
        <f t="shared" si="2"/>
        <v>823840444</v>
      </c>
    </row>
    <row r="90" spans="1:7" x14ac:dyDescent="0.25">
      <c r="A90" t="s">
        <v>134</v>
      </c>
      <c r="B90" s="2">
        <v>21250000</v>
      </c>
      <c r="C90" t="s">
        <v>52</v>
      </c>
      <c r="D90" s="8">
        <v>4.5</v>
      </c>
      <c r="E90" s="8">
        <v>0.21176470588235294</v>
      </c>
      <c r="F90">
        <f>IF(AND(G90&lt;=$J$2, COUNTIF($F$2:F89,1)&lt;$K$2),1,0)</f>
        <v>0</v>
      </c>
      <c r="G90" s="14">
        <f t="shared" si="2"/>
        <v>845090444</v>
      </c>
    </row>
    <row r="91" spans="1:7" x14ac:dyDescent="0.25">
      <c r="A91" t="s">
        <v>392</v>
      </c>
      <c r="B91" s="2">
        <v>2133278</v>
      </c>
      <c r="C91" t="s">
        <v>62</v>
      </c>
      <c r="D91" s="8">
        <v>0.45000000000000007</v>
      </c>
      <c r="E91" s="8">
        <v>0.21094297133331899</v>
      </c>
      <c r="F91">
        <f>IF(AND(G91&lt;=$J$2, COUNTIF($F$2:F90,1)&lt;$K$2),1,0)</f>
        <v>0</v>
      </c>
      <c r="G91" s="14">
        <f t="shared" si="2"/>
        <v>847223722</v>
      </c>
    </row>
    <row r="92" spans="1:7" x14ac:dyDescent="0.25">
      <c r="A92" t="s">
        <v>101</v>
      </c>
      <c r="B92" s="2">
        <v>33000000</v>
      </c>
      <c r="C92" t="s">
        <v>52</v>
      </c>
      <c r="D92" s="8">
        <v>6.9</v>
      </c>
      <c r="E92" s="8">
        <v>0.20909090909090908</v>
      </c>
      <c r="F92">
        <f>IF(AND(G92&lt;=$J$2, COUNTIF($F$2:F91,1)&lt;$K$2),1,0)</f>
        <v>0</v>
      </c>
      <c r="G92" s="14">
        <f t="shared" si="2"/>
        <v>880223722</v>
      </c>
    </row>
    <row r="93" spans="1:7" x14ac:dyDescent="0.25">
      <c r="A93" t="s">
        <v>169</v>
      </c>
      <c r="B93" s="2">
        <v>14508929</v>
      </c>
      <c r="C93" t="s">
        <v>62</v>
      </c>
      <c r="D93" s="8">
        <v>2.95</v>
      </c>
      <c r="E93" s="8">
        <v>0.20332307091722621</v>
      </c>
      <c r="F93">
        <f>IF(AND(G93&lt;=$J$2, COUNTIF($F$2:F92,1)&lt;$K$2),1,0)</f>
        <v>0</v>
      </c>
      <c r="G93" s="14">
        <f t="shared" si="2"/>
        <v>894732651</v>
      </c>
    </row>
    <row r="94" spans="1:7" x14ac:dyDescent="0.25">
      <c r="A94" t="s">
        <v>78</v>
      </c>
      <c r="B94" s="2">
        <v>37980720</v>
      </c>
      <c r="C94" t="s">
        <v>75</v>
      </c>
      <c r="D94" s="8">
        <v>7.65</v>
      </c>
      <c r="E94" s="8">
        <v>0.20141798259748631</v>
      </c>
      <c r="F94">
        <f>IF(AND(G94&lt;=$J$2, COUNTIF($F$2:F93,1)&lt;$K$2),1,0)</f>
        <v>0</v>
      </c>
      <c r="G94" s="14">
        <f t="shared" si="2"/>
        <v>932713371</v>
      </c>
    </row>
    <row r="95" spans="1:7" x14ac:dyDescent="0.25">
      <c r="A95" t="s">
        <v>67</v>
      </c>
      <c r="B95" s="2">
        <v>42492492</v>
      </c>
      <c r="C95" t="s">
        <v>28</v>
      </c>
      <c r="D95" s="8">
        <v>8.5500000000000007</v>
      </c>
      <c r="E95" s="8">
        <v>0.20121201646634421</v>
      </c>
      <c r="F95">
        <f>IF(AND(G95&lt;=$J$2, COUNTIF($F$2:F94,1)&lt;$K$2),1,0)</f>
        <v>0</v>
      </c>
      <c r="G95" s="14">
        <f t="shared" si="2"/>
        <v>975205863</v>
      </c>
    </row>
    <row r="96" spans="1:7" x14ac:dyDescent="0.25">
      <c r="A96" t="s">
        <v>321</v>
      </c>
      <c r="B96" s="2">
        <v>3536160</v>
      </c>
      <c r="C96" t="s">
        <v>65</v>
      </c>
      <c r="D96" s="8">
        <v>0.70000000000000007</v>
      </c>
      <c r="E96" s="8">
        <v>0.19795484367223207</v>
      </c>
      <c r="F96">
        <f>IF(AND(G96&lt;=$J$2, COUNTIF($F$2:F95,1)&lt;$K$2),1,0)</f>
        <v>0</v>
      </c>
      <c r="G96" s="14">
        <f t="shared" si="2"/>
        <v>978742023</v>
      </c>
    </row>
    <row r="97" spans="1:7" x14ac:dyDescent="0.25">
      <c r="A97" t="s">
        <v>184</v>
      </c>
      <c r="B97" s="2">
        <v>12690000</v>
      </c>
      <c r="C97" t="s">
        <v>28</v>
      </c>
      <c r="D97" s="8">
        <v>2.4500000000000002</v>
      </c>
      <c r="E97" s="8">
        <v>0.19306540583136328</v>
      </c>
      <c r="F97">
        <f>IF(AND(G97&lt;=$J$2, COUNTIF($F$2:F96,1)&lt;$K$2),1,0)</f>
        <v>0</v>
      </c>
      <c r="G97" s="14">
        <f t="shared" si="2"/>
        <v>991432023</v>
      </c>
    </row>
    <row r="98" spans="1:7" x14ac:dyDescent="0.25">
      <c r="A98" t="s">
        <v>253</v>
      </c>
      <c r="B98" s="2">
        <v>6479000</v>
      </c>
      <c r="C98" t="s">
        <v>65</v>
      </c>
      <c r="D98" s="8">
        <v>1.25</v>
      </c>
      <c r="E98" s="8">
        <v>0.19293100787158513</v>
      </c>
      <c r="F98">
        <f>IF(AND(G98&lt;=$J$2, COUNTIF($F$2:F97,1)&lt;$K$2),1,0)</f>
        <v>0</v>
      </c>
      <c r="G98" s="14">
        <f t="shared" si="2"/>
        <v>997911023</v>
      </c>
    </row>
    <row r="99" spans="1:7" x14ac:dyDescent="0.25">
      <c r="A99" t="s">
        <v>124</v>
      </c>
      <c r="B99" s="2">
        <v>27300000</v>
      </c>
      <c r="C99" t="s">
        <v>65</v>
      </c>
      <c r="D99" s="8">
        <v>5.25</v>
      </c>
      <c r="E99" s="8">
        <v>0.19230769230769232</v>
      </c>
      <c r="F99">
        <f>IF(AND(G99&lt;=$J$2, COUNTIF($F$2:F98,1)&lt;$K$2),1,0)</f>
        <v>0</v>
      </c>
      <c r="G99" s="14">
        <f t="shared" ref="G99:G130" si="3">B99+G98</f>
        <v>1025211023</v>
      </c>
    </row>
    <row r="100" spans="1:7" x14ac:dyDescent="0.25">
      <c r="A100" t="s">
        <v>456</v>
      </c>
      <c r="B100" s="2">
        <v>1563518</v>
      </c>
      <c r="C100" t="s">
        <v>52</v>
      </c>
      <c r="D100" s="8">
        <v>0.30000000000000004</v>
      </c>
      <c r="E100" s="8">
        <v>0.19187498960677143</v>
      </c>
      <c r="F100">
        <f>IF(AND(G100&lt;=$J$2, COUNTIF($F$2:F99,1)&lt;$K$2),1,0)</f>
        <v>0</v>
      </c>
      <c r="G100" s="14">
        <f t="shared" si="3"/>
        <v>1026774541</v>
      </c>
    </row>
    <row r="101" spans="1:7" x14ac:dyDescent="0.25">
      <c r="A101" t="s">
        <v>131</v>
      </c>
      <c r="B101" s="2">
        <v>22600000</v>
      </c>
      <c r="C101" t="s">
        <v>52</v>
      </c>
      <c r="D101" s="8">
        <v>4.3</v>
      </c>
      <c r="E101" s="8">
        <v>0.19026548672566371</v>
      </c>
      <c r="F101">
        <f>IF(AND(G101&lt;=$J$2, COUNTIF($F$2:F100,1)&lt;$K$2),1,0)</f>
        <v>0</v>
      </c>
      <c r="G101" s="14">
        <f t="shared" si="3"/>
        <v>1049374541</v>
      </c>
    </row>
    <row r="102" spans="1:7" x14ac:dyDescent="0.25">
      <c r="A102" t="s">
        <v>69</v>
      </c>
      <c r="B102" s="2">
        <v>42492492</v>
      </c>
      <c r="C102" t="s">
        <v>52</v>
      </c>
      <c r="D102" s="8">
        <v>8.0500000000000007</v>
      </c>
      <c r="E102" s="8">
        <v>0.18944523187766915</v>
      </c>
      <c r="F102">
        <f>IF(AND(G102&lt;=$J$2, COUNTIF($F$2:F101,1)&lt;$K$2),1,0)</f>
        <v>0</v>
      </c>
      <c r="G102" s="14">
        <f t="shared" si="3"/>
        <v>1091867033</v>
      </c>
    </row>
    <row r="103" spans="1:7" x14ac:dyDescent="0.25">
      <c r="A103" t="s">
        <v>207</v>
      </c>
      <c r="B103" s="2">
        <v>10012800</v>
      </c>
      <c r="C103" t="s">
        <v>62</v>
      </c>
      <c r="D103" s="8">
        <v>1.85</v>
      </c>
      <c r="E103" s="8">
        <v>0.18476350271652284</v>
      </c>
      <c r="F103">
        <f>IF(AND(G103&lt;=$J$2, COUNTIF($F$2:F102,1)&lt;$K$2),1,0)</f>
        <v>0</v>
      </c>
      <c r="G103" s="14">
        <f t="shared" si="3"/>
        <v>1101879833</v>
      </c>
    </row>
    <row r="104" spans="1:7" x14ac:dyDescent="0.25">
      <c r="A104" t="s">
        <v>211</v>
      </c>
      <c r="B104" s="2">
        <v>9472219</v>
      </c>
      <c r="C104" t="s">
        <v>62</v>
      </c>
      <c r="D104" s="8">
        <v>1.75</v>
      </c>
      <c r="E104" s="8">
        <v>0.18475079598560801</v>
      </c>
      <c r="F104">
        <f>IF(AND(G104&lt;=$J$2, COUNTIF($F$2:F103,1)&lt;$K$2),1,0)</f>
        <v>0</v>
      </c>
      <c r="G104" s="14">
        <f t="shared" si="3"/>
        <v>1111352052</v>
      </c>
    </row>
    <row r="105" spans="1:7" x14ac:dyDescent="0.25">
      <c r="A105" t="s">
        <v>183</v>
      </c>
      <c r="B105" s="2">
        <v>12804878</v>
      </c>
      <c r="C105" t="s">
        <v>75</v>
      </c>
      <c r="D105" s="8">
        <v>2.35</v>
      </c>
      <c r="E105" s="8">
        <v>0.18352381022294784</v>
      </c>
      <c r="F105">
        <f>IF(AND(G105&lt;=$J$2, COUNTIF($F$2:F104,1)&lt;$K$2),1,0)</f>
        <v>0</v>
      </c>
      <c r="G105" s="14">
        <f t="shared" si="3"/>
        <v>1124156930</v>
      </c>
    </row>
    <row r="106" spans="1:7" x14ac:dyDescent="0.25">
      <c r="A106" t="s">
        <v>294</v>
      </c>
      <c r="B106" s="2">
        <v>4379526</v>
      </c>
      <c r="C106" t="s">
        <v>62</v>
      </c>
      <c r="D106" s="8">
        <v>0.8</v>
      </c>
      <c r="E106" s="8">
        <v>0.18266817002570598</v>
      </c>
      <c r="F106">
        <f>IF(AND(G106&lt;=$J$2, COUNTIF($F$2:F105,1)&lt;$K$2),1,0)</f>
        <v>0</v>
      </c>
      <c r="G106" s="14">
        <f t="shared" si="3"/>
        <v>1128536456</v>
      </c>
    </row>
    <row r="107" spans="1:7" x14ac:dyDescent="0.25">
      <c r="A107" t="s">
        <v>125</v>
      </c>
      <c r="B107" s="2">
        <v>26500000</v>
      </c>
      <c r="C107" t="s">
        <v>75</v>
      </c>
      <c r="D107" s="8">
        <v>4.8</v>
      </c>
      <c r="E107" s="8">
        <v>0.1811320754716981</v>
      </c>
      <c r="F107">
        <f>IF(AND(G107&lt;=$J$2, COUNTIF($F$2:F106,1)&lt;$K$2),1,0)</f>
        <v>0</v>
      </c>
      <c r="G107" s="14">
        <f t="shared" si="3"/>
        <v>1155036456</v>
      </c>
    </row>
    <row r="108" spans="1:7" x14ac:dyDescent="0.25">
      <c r="A108" t="s">
        <v>293</v>
      </c>
      <c r="B108" s="2">
        <v>4437000</v>
      </c>
      <c r="C108" t="s">
        <v>62</v>
      </c>
      <c r="D108" s="8">
        <v>0.8</v>
      </c>
      <c r="E108" s="8">
        <v>0.18030200585981518</v>
      </c>
      <c r="F108">
        <f>IF(AND(G108&lt;=$J$2, COUNTIF($F$2:F107,1)&lt;$K$2),1,0)</f>
        <v>0</v>
      </c>
      <c r="G108" s="14">
        <f t="shared" si="3"/>
        <v>1159473456</v>
      </c>
    </row>
    <row r="109" spans="1:7" x14ac:dyDescent="0.25">
      <c r="A109" t="s">
        <v>143</v>
      </c>
      <c r="B109" s="2">
        <v>19500000</v>
      </c>
      <c r="C109" t="s">
        <v>52</v>
      </c>
      <c r="D109" s="8">
        <v>3.5</v>
      </c>
      <c r="E109" s="8">
        <v>0.17948717948717949</v>
      </c>
      <c r="F109">
        <f>IF(AND(G109&lt;=$J$2, COUNTIF($F$2:F108,1)&lt;$K$2),1,0)</f>
        <v>0</v>
      </c>
      <c r="G109" s="14">
        <f t="shared" si="3"/>
        <v>1178973456</v>
      </c>
    </row>
    <row r="110" spans="1:7" x14ac:dyDescent="0.25">
      <c r="A110" t="s">
        <v>193</v>
      </c>
      <c r="B110" s="2">
        <v>11080125</v>
      </c>
      <c r="C110" t="s">
        <v>75</v>
      </c>
      <c r="D110" s="8">
        <v>1.9499999999999997</v>
      </c>
      <c r="E110" s="8">
        <v>0.1759907943276813</v>
      </c>
      <c r="F110">
        <f>IF(AND(G110&lt;=$J$2, COUNTIF($F$2:F109,1)&lt;$K$2),1,0)</f>
        <v>0</v>
      </c>
      <c r="G110" s="14">
        <f t="shared" si="3"/>
        <v>1190053581</v>
      </c>
    </row>
    <row r="111" spans="1:7" x14ac:dyDescent="0.25">
      <c r="A111" t="s">
        <v>240</v>
      </c>
      <c r="B111" s="2">
        <v>7426088</v>
      </c>
      <c r="C111" t="s">
        <v>65</v>
      </c>
      <c r="D111" s="8">
        <v>1.2999999999999998</v>
      </c>
      <c r="E111" s="8">
        <v>0.1750585234109803</v>
      </c>
      <c r="F111">
        <f>IF(AND(G111&lt;=$J$2, COUNTIF($F$2:F110,1)&lt;$K$2),1,0)</f>
        <v>0</v>
      </c>
      <c r="G111" s="14">
        <f t="shared" si="3"/>
        <v>1197479669</v>
      </c>
    </row>
    <row r="112" spans="1:7" x14ac:dyDescent="0.25">
      <c r="A112" t="s">
        <v>436</v>
      </c>
      <c r="B112" s="2">
        <v>1782621</v>
      </c>
      <c r="C112" t="s">
        <v>65</v>
      </c>
      <c r="D112" s="8">
        <v>0.30000000000000004</v>
      </c>
      <c r="E112" s="8">
        <v>0.16829152130486516</v>
      </c>
      <c r="F112">
        <f>IF(AND(G112&lt;=$J$2, COUNTIF($F$2:F111,1)&lt;$K$2),1,0)</f>
        <v>0</v>
      </c>
      <c r="G112" s="14">
        <f t="shared" si="3"/>
        <v>1199262290</v>
      </c>
    </row>
    <row r="113" spans="1:7" x14ac:dyDescent="0.25">
      <c r="A113" t="s">
        <v>156</v>
      </c>
      <c r="B113" s="2">
        <v>17071120</v>
      </c>
      <c r="C113" t="s">
        <v>62</v>
      </c>
      <c r="D113" s="8">
        <v>2.85</v>
      </c>
      <c r="E113" s="8">
        <v>0.16694862434333541</v>
      </c>
      <c r="F113">
        <f>IF(AND(G113&lt;=$J$2, COUNTIF($F$2:F112,1)&lt;$K$2),1,0)</f>
        <v>0</v>
      </c>
      <c r="G113" s="14">
        <f t="shared" si="3"/>
        <v>1216333410</v>
      </c>
    </row>
    <row r="114" spans="1:7" x14ac:dyDescent="0.25">
      <c r="A114" t="s">
        <v>313</v>
      </c>
      <c r="B114" s="2">
        <v>3901399</v>
      </c>
      <c r="C114" t="s">
        <v>52</v>
      </c>
      <c r="D114" s="8">
        <v>0.65000000000000013</v>
      </c>
      <c r="E114" s="8">
        <v>0.16660690178061771</v>
      </c>
      <c r="F114">
        <f>IF(AND(G114&lt;=$J$2, COUNTIF($F$2:F113,1)&lt;$K$2),1,0)</f>
        <v>0</v>
      </c>
      <c r="G114" s="14">
        <f t="shared" si="3"/>
        <v>1220234809</v>
      </c>
    </row>
    <row r="115" spans="1:7" x14ac:dyDescent="0.25">
      <c r="A115" t="s">
        <v>120</v>
      </c>
      <c r="B115" s="2">
        <v>28400000</v>
      </c>
      <c r="C115" t="s">
        <v>52</v>
      </c>
      <c r="D115" s="8">
        <v>4.7</v>
      </c>
      <c r="E115" s="8">
        <v>0.16549295774647887</v>
      </c>
      <c r="F115">
        <f>IF(AND(G115&lt;=$J$2, COUNTIF($F$2:F114,1)&lt;$K$2),1,0)</f>
        <v>0</v>
      </c>
      <c r="G115" s="14">
        <f t="shared" si="3"/>
        <v>1248634809</v>
      </c>
    </row>
    <row r="116" spans="1:7" x14ac:dyDescent="0.25">
      <c r="A116" t="s">
        <v>115</v>
      </c>
      <c r="B116" s="2">
        <v>30351780</v>
      </c>
      <c r="C116" t="s">
        <v>52</v>
      </c>
      <c r="D116" s="8">
        <v>4.95</v>
      </c>
      <c r="E116" s="8">
        <v>0.1630876343990369</v>
      </c>
      <c r="F116">
        <f>IF(AND(G116&lt;=$J$2, COUNTIF($F$2:F115,1)&lt;$K$2),1,0)</f>
        <v>0</v>
      </c>
      <c r="G116" s="14">
        <f t="shared" si="3"/>
        <v>1278986589</v>
      </c>
    </row>
    <row r="117" spans="1:7" x14ac:dyDescent="0.25">
      <c r="A117" t="s">
        <v>458</v>
      </c>
      <c r="B117" s="2">
        <v>1563518</v>
      </c>
      <c r="C117" t="s">
        <v>62</v>
      </c>
      <c r="D117" s="8">
        <v>0.25</v>
      </c>
      <c r="E117" s="8">
        <v>0.15989582467230951</v>
      </c>
      <c r="F117">
        <f>IF(AND(G117&lt;=$J$2, COUNTIF($F$2:F116,1)&lt;$K$2),1,0)</f>
        <v>0</v>
      </c>
      <c r="G117" s="14">
        <f t="shared" si="3"/>
        <v>1280550107</v>
      </c>
    </row>
    <row r="118" spans="1:7" x14ac:dyDescent="0.25">
      <c r="A118" t="s">
        <v>421</v>
      </c>
      <c r="B118" s="2">
        <v>1878720</v>
      </c>
      <c r="C118" t="s">
        <v>75</v>
      </c>
      <c r="D118" s="8">
        <v>0.29999999999999982</v>
      </c>
      <c r="E118" s="8">
        <v>0.15968318855390895</v>
      </c>
      <c r="F118">
        <f>IF(AND(G118&lt;=$J$2, COUNTIF($F$2:F117,1)&lt;$K$2),1,0)</f>
        <v>0</v>
      </c>
      <c r="G118" s="14">
        <f t="shared" si="3"/>
        <v>1282428827</v>
      </c>
    </row>
    <row r="119" spans="1:7" x14ac:dyDescent="0.25">
      <c r="A119" t="s">
        <v>51</v>
      </c>
      <c r="B119" s="2">
        <v>48070014</v>
      </c>
      <c r="C119" t="s">
        <v>52</v>
      </c>
      <c r="D119" s="8">
        <v>7.65</v>
      </c>
      <c r="E119" s="8">
        <v>0.15914287023090945</v>
      </c>
      <c r="F119">
        <f>IF(AND(G119&lt;=$J$2, COUNTIF($F$2:F118,1)&lt;$K$2),1,0)</f>
        <v>0</v>
      </c>
      <c r="G119" s="14">
        <f t="shared" si="3"/>
        <v>1330498841</v>
      </c>
    </row>
    <row r="120" spans="1:7" x14ac:dyDescent="0.25">
      <c r="A120" t="s">
        <v>323</v>
      </c>
      <c r="B120" s="2">
        <v>3465000</v>
      </c>
      <c r="C120" t="s">
        <v>28</v>
      </c>
      <c r="D120" s="8">
        <v>0.55000000000000004</v>
      </c>
      <c r="E120" s="8">
        <v>0.15873015873015872</v>
      </c>
      <c r="F120">
        <f>IF(AND(G120&lt;=$J$2, COUNTIF($F$2:F119,1)&lt;$K$2),1,0)</f>
        <v>0</v>
      </c>
      <c r="G120" s="14">
        <f t="shared" si="3"/>
        <v>1333963841</v>
      </c>
    </row>
    <row r="121" spans="1:7" x14ac:dyDescent="0.25">
      <c r="A121" t="s">
        <v>59</v>
      </c>
      <c r="B121" s="2">
        <v>44119845</v>
      </c>
      <c r="C121" t="s">
        <v>28</v>
      </c>
      <c r="D121" s="8">
        <v>6.9499999999999993</v>
      </c>
      <c r="E121" s="8">
        <v>0.15752548541365</v>
      </c>
      <c r="F121">
        <f>IF(AND(G121&lt;=$J$2, COUNTIF($F$2:F120,1)&lt;$K$2),1,0)</f>
        <v>0</v>
      </c>
      <c r="G121" s="14">
        <f t="shared" si="3"/>
        <v>1378083686</v>
      </c>
    </row>
    <row r="122" spans="1:7" x14ac:dyDescent="0.25">
      <c r="A122" t="s">
        <v>416</v>
      </c>
      <c r="B122" s="2">
        <v>1930681</v>
      </c>
      <c r="C122" t="s">
        <v>65</v>
      </c>
      <c r="D122" s="8">
        <v>0.30000000000000004</v>
      </c>
      <c r="E122" s="8">
        <v>0.15538558674374486</v>
      </c>
      <c r="F122">
        <f>IF(AND(G122&lt;=$J$2, COUNTIF($F$2:F121,1)&lt;$K$2),1,0)</f>
        <v>0</v>
      </c>
      <c r="G122" s="14">
        <f t="shared" si="3"/>
        <v>1380014367</v>
      </c>
    </row>
    <row r="123" spans="1:7" x14ac:dyDescent="0.25">
      <c r="A123" t="s">
        <v>64</v>
      </c>
      <c r="B123" s="2">
        <v>42492492</v>
      </c>
      <c r="C123" t="s">
        <v>65</v>
      </c>
      <c r="D123" s="8">
        <v>6.6</v>
      </c>
      <c r="E123" s="8">
        <v>0.15532155657051133</v>
      </c>
      <c r="F123">
        <f>IF(AND(G123&lt;=$J$2, COUNTIF($F$2:F122,1)&lt;$K$2),1,0)</f>
        <v>0</v>
      </c>
      <c r="G123" s="14">
        <f t="shared" si="3"/>
        <v>1422506859</v>
      </c>
    </row>
    <row r="124" spans="1:7" x14ac:dyDescent="0.25">
      <c r="A124" t="s">
        <v>241</v>
      </c>
      <c r="B124" s="2">
        <v>7413955</v>
      </c>
      <c r="C124" t="s">
        <v>62</v>
      </c>
      <c r="D124" s="8">
        <v>1.1499999999999999</v>
      </c>
      <c r="E124" s="8">
        <v>0.15511289183708291</v>
      </c>
      <c r="F124">
        <f>IF(AND(G124&lt;=$J$2, COUNTIF($F$2:F123,1)&lt;$K$2),1,0)</f>
        <v>0</v>
      </c>
      <c r="G124" s="14">
        <f t="shared" si="3"/>
        <v>1429920814</v>
      </c>
    </row>
    <row r="125" spans="1:7" x14ac:dyDescent="0.25">
      <c r="A125" t="s">
        <v>90</v>
      </c>
      <c r="B125" s="2">
        <v>35448672</v>
      </c>
      <c r="C125" t="s">
        <v>28</v>
      </c>
      <c r="D125" s="8">
        <v>5.45</v>
      </c>
      <c r="E125" s="8">
        <v>0.15374341808911771</v>
      </c>
      <c r="F125">
        <f>IF(AND(G125&lt;=$J$2, COUNTIF($F$2:F124,1)&lt;$K$2),1,0)</f>
        <v>0</v>
      </c>
      <c r="G125" s="14">
        <f t="shared" si="3"/>
        <v>1465369486</v>
      </c>
    </row>
    <row r="126" spans="1:7" x14ac:dyDescent="0.25">
      <c r="A126" t="s">
        <v>96</v>
      </c>
      <c r="B126" s="2">
        <v>33833400</v>
      </c>
      <c r="C126" t="s">
        <v>62</v>
      </c>
      <c r="D126" s="8">
        <v>5.0999999999999996</v>
      </c>
      <c r="E126" s="8">
        <v>0.15073861923424781</v>
      </c>
      <c r="F126">
        <f>IF(AND(G126&lt;=$J$2, COUNTIF($F$2:F125,1)&lt;$K$2),1,0)</f>
        <v>0</v>
      </c>
      <c r="G126" s="14">
        <f t="shared" si="3"/>
        <v>1499202886</v>
      </c>
    </row>
    <row r="127" spans="1:7" x14ac:dyDescent="0.25">
      <c r="A127" t="s">
        <v>146</v>
      </c>
      <c r="B127" s="2">
        <v>18352273</v>
      </c>
      <c r="C127" t="s">
        <v>28</v>
      </c>
      <c r="D127" s="8">
        <v>2.75</v>
      </c>
      <c r="E127" s="8">
        <v>0.14984519901158838</v>
      </c>
      <c r="F127">
        <f>IF(AND(G127&lt;=$J$2, COUNTIF($F$2:F126,1)&lt;$K$2),1,0)</f>
        <v>0</v>
      </c>
      <c r="G127" s="14">
        <f t="shared" si="3"/>
        <v>1517555159</v>
      </c>
    </row>
    <row r="128" spans="1:7" x14ac:dyDescent="0.25">
      <c r="A128" t="s">
        <v>274</v>
      </c>
      <c r="B128" s="2">
        <v>5348280</v>
      </c>
      <c r="C128" t="s">
        <v>28</v>
      </c>
      <c r="D128" s="8">
        <v>0.8</v>
      </c>
      <c r="E128" s="8">
        <v>0.14958079980853659</v>
      </c>
      <c r="F128">
        <f>IF(AND(G128&lt;=$J$2, COUNTIF($F$2:F127,1)&lt;$K$2),1,0)</f>
        <v>0</v>
      </c>
      <c r="G128" s="14">
        <f t="shared" si="3"/>
        <v>1522903439</v>
      </c>
    </row>
    <row r="129" spans="1:7" x14ac:dyDescent="0.25">
      <c r="A129" t="s">
        <v>135</v>
      </c>
      <c r="B129" s="2">
        <v>21177750</v>
      </c>
      <c r="C129" t="s">
        <v>65</v>
      </c>
      <c r="D129" s="8">
        <v>3.1500000000000004</v>
      </c>
      <c r="E129" s="8">
        <v>0.14874101356376387</v>
      </c>
      <c r="F129">
        <f>IF(AND(G129&lt;=$J$2, COUNTIF($F$2:F128,1)&lt;$K$2),1,0)</f>
        <v>0</v>
      </c>
      <c r="G129" s="14">
        <f t="shared" si="3"/>
        <v>1544081189</v>
      </c>
    </row>
    <row r="130" spans="1:7" x14ac:dyDescent="0.25">
      <c r="A130" t="s">
        <v>153</v>
      </c>
      <c r="B130" s="2">
        <v>17357143</v>
      </c>
      <c r="C130" t="s">
        <v>65</v>
      </c>
      <c r="D130" s="8">
        <v>2.5500000000000003</v>
      </c>
      <c r="E130" s="8">
        <v>0.14691357903774835</v>
      </c>
      <c r="F130">
        <f>IF(AND(G130&lt;=$J$2, COUNTIF($F$2:F129,1)&lt;$K$2),1,0)</f>
        <v>0</v>
      </c>
      <c r="G130" s="14">
        <f t="shared" si="3"/>
        <v>1561438332</v>
      </c>
    </row>
    <row r="131" spans="1:7" x14ac:dyDescent="0.25">
      <c r="A131" t="s">
        <v>114</v>
      </c>
      <c r="B131" s="2">
        <v>30351780</v>
      </c>
      <c r="C131" t="s">
        <v>75</v>
      </c>
      <c r="D131" s="8">
        <v>4.45</v>
      </c>
      <c r="E131" s="8">
        <v>0.14661413597489176</v>
      </c>
      <c r="F131">
        <f>IF(AND(G131&lt;=$J$2, COUNTIF($F$2:F130,1)&lt;$K$2),1,0)</f>
        <v>0</v>
      </c>
      <c r="G131" s="14">
        <f t="shared" ref="G131:G162" si="4">B131+G130</f>
        <v>1591790112</v>
      </c>
    </row>
    <row r="132" spans="1:7" x14ac:dyDescent="0.25">
      <c r="A132" t="s">
        <v>94</v>
      </c>
      <c r="B132" s="2">
        <v>34319520</v>
      </c>
      <c r="C132" t="s">
        <v>52</v>
      </c>
      <c r="D132" s="8">
        <v>4.9000000000000004</v>
      </c>
      <c r="E132" s="8">
        <v>0.14277588963948215</v>
      </c>
      <c r="F132">
        <f>IF(AND(G132&lt;=$J$2, COUNTIF($F$2:F131,1)&lt;$K$2),1,0)</f>
        <v>0</v>
      </c>
      <c r="G132" s="14">
        <f t="shared" si="4"/>
        <v>1626109632</v>
      </c>
    </row>
    <row r="133" spans="1:7" x14ac:dyDescent="0.25">
      <c r="A133" t="s">
        <v>176</v>
      </c>
      <c r="B133" s="2">
        <v>13745455</v>
      </c>
      <c r="C133" t="s">
        <v>62</v>
      </c>
      <c r="D133" s="8">
        <v>1.95</v>
      </c>
      <c r="E133" s="8">
        <v>0.14186507467377399</v>
      </c>
      <c r="F133">
        <f>IF(AND(G133&lt;=$J$2, COUNTIF($F$2:F132,1)&lt;$K$2),1,0)</f>
        <v>0</v>
      </c>
      <c r="G133" s="14">
        <f t="shared" si="4"/>
        <v>1639855087</v>
      </c>
    </row>
    <row r="134" spans="1:7" x14ac:dyDescent="0.25">
      <c r="A134" t="s">
        <v>238</v>
      </c>
      <c r="B134" s="2">
        <v>7775400</v>
      </c>
      <c r="C134" t="s">
        <v>28</v>
      </c>
      <c r="D134" s="8">
        <v>1.1000000000000001</v>
      </c>
      <c r="E134" s="8">
        <v>0.14147182138539496</v>
      </c>
      <c r="F134">
        <f>IF(AND(G134&lt;=$J$2, COUNTIF($F$2:F133,1)&lt;$K$2),1,0)</f>
        <v>0</v>
      </c>
      <c r="G134" s="14">
        <f t="shared" si="4"/>
        <v>1647630487</v>
      </c>
    </row>
    <row r="135" spans="1:7" x14ac:dyDescent="0.25">
      <c r="A135" t="s">
        <v>129</v>
      </c>
      <c r="B135" s="2">
        <v>22680000</v>
      </c>
      <c r="C135" t="s">
        <v>52</v>
      </c>
      <c r="D135" s="8">
        <v>3.2</v>
      </c>
      <c r="E135" s="8">
        <v>0.14109347442680775</v>
      </c>
      <c r="F135">
        <f>IF(AND(G135&lt;=$J$2, COUNTIF($F$2:F134,1)&lt;$K$2),1,0)</f>
        <v>0</v>
      </c>
      <c r="G135" s="14">
        <f t="shared" si="4"/>
        <v>1670310487</v>
      </c>
    </row>
    <row r="136" spans="1:7" x14ac:dyDescent="0.25">
      <c r="A136" t="s">
        <v>383</v>
      </c>
      <c r="B136" s="2">
        <v>2201520</v>
      </c>
      <c r="C136" t="s">
        <v>52</v>
      </c>
      <c r="D136" s="8">
        <v>0.29999999999999993</v>
      </c>
      <c r="E136" s="8">
        <v>0.1362694865365747</v>
      </c>
      <c r="F136">
        <f>IF(AND(G136&lt;=$J$2, COUNTIF($F$2:F135,1)&lt;$K$2),1,0)</f>
        <v>0</v>
      </c>
      <c r="G136" s="14">
        <f t="shared" si="4"/>
        <v>1672512007</v>
      </c>
    </row>
    <row r="137" spans="1:7" x14ac:dyDescent="0.25">
      <c r="A137" t="s">
        <v>242</v>
      </c>
      <c r="B137" s="2">
        <v>7350000</v>
      </c>
      <c r="C137" t="s">
        <v>75</v>
      </c>
      <c r="D137" s="8">
        <v>1</v>
      </c>
      <c r="E137" s="8">
        <v>0.1360544217687075</v>
      </c>
      <c r="F137">
        <f>IF(AND(G137&lt;=$J$2, COUNTIF($F$2:F136,1)&lt;$K$2),1,0)</f>
        <v>0</v>
      </c>
      <c r="G137" s="14">
        <f t="shared" si="4"/>
        <v>1679862007</v>
      </c>
    </row>
    <row r="138" spans="1:7" x14ac:dyDescent="0.25">
      <c r="A138" t="s">
        <v>84</v>
      </c>
      <c r="B138" s="2">
        <v>37096500</v>
      </c>
      <c r="C138" t="s">
        <v>52</v>
      </c>
      <c r="D138" s="8">
        <v>5</v>
      </c>
      <c r="E138" s="8">
        <v>0.13478360492229724</v>
      </c>
      <c r="F138">
        <f>IF(AND(G138&lt;=$J$2, COUNTIF($F$2:F137,1)&lt;$K$2),1,0)</f>
        <v>0</v>
      </c>
      <c r="G138" s="14">
        <f t="shared" si="4"/>
        <v>1716958507</v>
      </c>
    </row>
    <row r="139" spans="1:7" x14ac:dyDescent="0.25">
      <c r="A139" t="s">
        <v>327</v>
      </c>
      <c r="B139" s="2">
        <v>3359160</v>
      </c>
      <c r="C139" t="s">
        <v>28</v>
      </c>
      <c r="D139" s="8">
        <v>0.45000000000000007</v>
      </c>
      <c r="E139" s="8">
        <v>0.13396206194405746</v>
      </c>
      <c r="F139">
        <f>IF(AND(G139&lt;=$J$2, COUNTIF($F$2:F138,1)&lt;$K$2),1,0)</f>
        <v>0</v>
      </c>
      <c r="G139" s="14">
        <f t="shared" si="4"/>
        <v>1720317667</v>
      </c>
    </row>
    <row r="140" spans="1:7" x14ac:dyDescent="0.25">
      <c r="A140" t="s">
        <v>57</v>
      </c>
      <c r="B140" s="2">
        <v>44474988</v>
      </c>
      <c r="C140" t="s">
        <v>28</v>
      </c>
      <c r="D140" s="8">
        <v>5.85</v>
      </c>
      <c r="E140" s="8">
        <v>0.13153460547308074</v>
      </c>
      <c r="F140">
        <f>IF(AND(G140&lt;=$J$2, COUNTIF($F$2:F139,1)&lt;$K$2),1,0)</f>
        <v>0</v>
      </c>
      <c r="G140" s="14">
        <f t="shared" si="4"/>
        <v>1764792655</v>
      </c>
    </row>
    <row r="141" spans="1:7" x14ac:dyDescent="0.25">
      <c r="A141" t="s">
        <v>268</v>
      </c>
      <c r="B141" s="2">
        <v>5728393</v>
      </c>
      <c r="C141" t="s">
        <v>65</v>
      </c>
      <c r="D141" s="8">
        <v>0.75</v>
      </c>
      <c r="E141" s="8">
        <v>0.1309267712602819</v>
      </c>
      <c r="F141">
        <f>IF(AND(G141&lt;=$J$2, COUNTIF($F$2:F140,1)&lt;$K$2),1,0)</f>
        <v>0</v>
      </c>
      <c r="G141" s="14">
        <f t="shared" si="4"/>
        <v>1770521048</v>
      </c>
    </row>
    <row r="142" spans="1:7" x14ac:dyDescent="0.25">
      <c r="A142" t="s">
        <v>451</v>
      </c>
      <c r="B142" s="2">
        <v>1563518</v>
      </c>
      <c r="C142" t="s">
        <v>62</v>
      </c>
      <c r="D142" s="8">
        <v>0.19999999999999996</v>
      </c>
      <c r="E142" s="8">
        <v>0.12791665973784755</v>
      </c>
      <c r="F142">
        <f>IF(AND(G142&lt;=$J$2, COUNTIF($F$2:F141,1)&lt;$K$2),1,0)</f>
        <v>0</v>
      </c>
      <c r="G142" s="14">
        <f t="shared" si="4"/>
        <v>1772084566</v>
      </c>
    </row>
    <row r="143" spans="1:7" x14ac:dyDescent="0.25">
      <c r="A143" t="s">
        <v>161</v>
      </c>
      <c r="B143" s="2">
        <v>16500000</v>
      </c>
      <c r="C143" t="s">
        <v>52</v>
      </c>
      <c r="D143" s="8">
        <v>2.1</v>
      </c>
      <c r="E143" s="8">
        <v>0.12727272727272726</v>
      </c>
      <c r="F143">
        <f>IF(AND(G143&lt;=$J$2, COUNTIF($F$2:F142,1)&lt;$K$2),1,0)</f>
        <v>0</v>
      </c>
      <c r="G143" s="14">
        <f t="shared" si="4"/>
        <v>1788584566</v>
      </c>
    </row>
    <row r="144" spans="1:7" x14ac:dyDescent="0.25">
      <c r="A144" t="s">
        <v>171</v>
      </c>
      <c r="B144" s="2">
        <v>14004703</v>
      </c>
      <c r="C144" t="s">
        <v>62</v>
      </c>
      <c r="D144" s="8">
        <v>1.75</v>
      </c>
      <c r="E144" s="8">
        <v>0.12495802302983505</v>
      </c>
      <c r="F144">
        <f>IF(AND(G144&lt;=$J$2, COUNTIF($F$2:F143,1)&lt;$K$2),1,0)</f>
        <v>0</v>
      </c>
      <c r="G144" s="14">
        <f t="shared" si="4"/>
        <v>1802589269</v>
      </c>
    </row>
    <row r="145" spans="1:7" x14ac:dyDescent="0.25">
      <c r="A145" t="s">
        <v>254</v>
      </c>
      <c r="B145" s="2">
        <v>6479000</v>
      </c>
      <c r="C145" t="s">
        <v>65</v>
      </c>
      <c r="D145" s="8">
        <v>0.79999999999999993</v>
      </c>
      <c r="E145" s="8">
        <v>0.12347584503781446</v>
      </c>
      <c r="F145">
        <f>IF(AND(G145&lt;=$J$2, COUNTIF($F$2:F144,1)&lt;$K$2),1,0)</f>
        <v>0</v>
      </c>
      <c r="G145" s="14">
        <f t="shared" si="4"/>
        <v>1809068269</v>
      </c>
    </row>
    <row r="146" spans="1:7" x14ac:dyDescent="0.25">
      <c r="A146" t="s">
        <v>86</v>
      </c>
      <c r="B146" s="2">
        <v>37096500</v>
      </c>
      <c r="C146" t="s">
        <v>62</v>
      </c>
      <c r="D146" s="8">
        <v>4.5</v>
      </c>
      <c r="E146" s="8">
        <v>0.12130524443006753</v>
      </c>
      <c r="F146">
        <f>IF(AND(G146&lt;=$J$2, COUNTIF($F$2:F145,1)&lt;$K$2),1,0)</f>
        <v>0</v>
      </c>
      <c r="G146" s="14">
        <f t="shared" si="4"/>
        <v>1846164769</v>
      </c>
    </row>
    <row r="147" spans="1:7" x14ac:dyDescent="0.25">
      <c r="A147" t="s">
        <v>110</v>
      </c>
      <c r="B147" s="2">
        <v>30913750</v>
      </c>
      <c r="C147" t="s">
        <v>75</v>
      </c>
      <c r="D147" s="8">
        <v>3.5500000000000003</v>
      </c>
      <c r="E147" s="8">
        <v>0.11483563139379728</v>
      </c>
      <c r="F147">
        <f>IF(AND(G147&lt;=$J$2, COUNTIF($F$2:F146,1)&lt;$K$2),1,0)</f>
        <v>0</v>
      </c>
      <c r="G147" s="14">
        <f t="shared" si="4"/>
        <v>1877078519</v>
      </c>
    </row>
    <row r="148" spans="1:7" x14ac:dyDescent="0.25">
      <c r="A148" t="s">
        <v>159</v>
      </c>
      <c r="B148" s="2">
        <v>16758621</v>
      </c>
      <c r="C148" t="s">
        <v>62</v>
      </c>
      <c r="D148" s="8">
        <v>1.9</v>
      </c>
      <c r="E148" s="8">
        <v>0.11337448349718035</v>
      </c>
      <c r="F148">
        <f>IF(AND(G148&lt;=$J$2, COUNTIF($F$2:F147,1)&lt;$K$2),1,0)</f>
        <v>0</v>
      </c>
      <c r="G148" s="14">
        <f t="shared" si="4"/>
        <v>1893837140</v>
      </c>
    </row>
    <row r="149" spans="1:7" x14ac:dyDescent="0.25">
      <c r="A149" t="s">
        <v>144</v>
      </c>
      <c r="B149" s="2">
        <v>18796296</v>
      </c>
      <c r="C149" t="s">
        <v>62</v>
      </c>
      <c r="D149" s="8">
        <v>2.1</v>
      </c>
      <c r="E149" s="8">
        <v>0.11172413969220318</v>
      </c>
      <c r="F149">
        <f>IF(AND(G149&lt;=$J$2, COUNTIF($F$2:F148,1)&lt;$K$2),1,0)</f>
        <v>0</v>
      </c>
      <c r="G149" s="14">
        <f t="shared" si="4"/>
        <v>1912633436</v>
      </c>
    </row>
    <row r="150" spans="1:7" x14ac:dyDescent="0.25">
      <c r="A150" t="s">
        <v>149</v>
      </c>
      <c r="B150" s="2">
        <v>17926829</v>
      </c>
      <c r="C150" t="s">
        <v>75</v>
      </c>
      <c r="D150" s="8">
        <v>2</v>
      </c>
      <c r="E150" s="8">
        <v>0.11156462752001484</v>
      </c>
      <c r="F150">
        <f>IF(AND(G150&lt;=$J$2, COUNTIF($F$2:F149,1)&lt;$K$2),1,0)</f>
        <v>0</v>
      </c>
      <c r="G150" s="14">
        <f t="shared" si="4"/>
        <v>1930560265</v>
      </c>
    </row>
    <row r="151" spans="1:7" x14ac:dyDescent="0.25">
      <c r="A151" t="s">
        <v>74</v>
      </c>
      <c r="B151" s="2">
        <v>38172414</v>
      </c>
      <c r="C151" t="s">
        <v>75</v>
      </c>
      <c r="D151" s="8">
        <v>4.25</v>
      </c>
      <c r="E151" s="8">
        <v>0.11133694609934808</v>
      </c>
      <c r="F151">
        <f>IF(AND(G151&lt;=$J$2, COUNTIF($F$2:F150,1)&lt;$K$2),1,0)</f>
        <v>0</v>
      </c>
      <c r="G151" s="14">
        <f t="shared" si="4"/>
        <v>1968732679</v>
      </c>
    </row>
    <row r="152" spans="1:7" x14ac:dyDescent="0.25">
      <c r="A152" t="s">
        <v>92</v>
      </c>
      <c r="B152" s="2">
        <v>35096500</v>
      </c>
      <c r="C152" t="s">
        <v>75</v>
      </c>
      <c r="D152" s="8">
        <v>3.75</v>
      </c>
      <c r="E152" s="8">
        <v>0.10684826122262904</v>
      </c>
      <c r="F152">
        <f>IF(AND(G152&lt;=$J$2, COUNTIF($F$2:F151,1)&lt;$K$2),1,0)</f>
        <v>0</v>
      </c>
      <c r="G152" s="14">
        <f t="shared" si="4"/>
        <v>2003829179</v>
      </c>
    </row>
    <row r="153" spans="1:7" x14ac:dyDescent="0.25">
      <c r="A153" t="s">
        <v>126</v>
      </c>
      <c r="B153" s="2">
        <v>25806468</v>
      </c>
      <c r="C153" t="s">
        <v>28</v>
      </c>
      <c r="D153" s="8">
        <v>2.75</v>
      </c>
      <c r="E153" s="8">
        <v>0.10656243233285546</v>
      </c>
      <c r="F153">
        <f>IF(AND(G153&lt;=$J$2, COUNTIF($F$2:F152,1)&lt;$K$2),1,0)</f>
        <v>0</v>
      </c>
      <c r="G153" s="14">
        <f t="shared" si="4"/>
        <v>2029635647</v>
      </c>
    </row>
    <row r="154" spans="1:7" x14ac:dyDescent="0.25">
      <c r="A154" t="s">
        <v>119</v>
      </c>
      <c r="B154" s="2">
        <v>29776785</v>
      </c>
      <c r="C154" t="s">
        <v>65</v>
      </c>
      <c r="D154" s="8">
        <v>3.15</v>
      </c>
      <c r="E154" s="8">
        <v>0.10578710898439841</v>
      </c>
      <c r="F154">
        <f>IF(AND(G154&lt;=$J$2, COUNTIF($F$2:F153,1)&lt;$K$2),1,0)</f>
        <v>0</v>
      </c>
      <c r="G154" s="14">
        <f t="shared" si="4"/>
        <v>2059412432</v>
      </c>
    </row>
    <row r="155" spans="1:7" x14ac:dyDescent="0.25">
      <c r="A155" t="s">
        <v>105</v>
      </c>
      <c r="B155" s="2">
        <v>31377750</v>
      </c>
      <c r="C155" t="s">
        <v>52</v>
      </c>
      <c r="D155" s="8">
        <v>3.3</v>
      </c>
      <c r="E155" s="8">
        <v>0.10517006477519898</v>
      </c>
      <c r="F155">
        <f>IF(AND(G155&lt;=$J$2, COUNTIF($F$2:F154,1)&lt;$K$2),1,0)</f>
        <v>0</v>
      </c>
      <c r="G155" s="14">
        <f t="shared" si="4"/>
        <v>2090790182</v>
      </c>
    </row>
    <row r="156" spans="1:7" x14ac:dyDescent="0.25">
      <c r="A156" t="s">
        <v>141</v>
      </c>
      <c r="B156" s="2">
        <v>19700319</v>
      </c>
      <c r="C156" t="s">
        <v>28</v>
      </c>
      <c r="D156" s="8">
        <v>2.0499999999999998</v>
      </c>
      <c r="E156" s="8">
        <v>0.10405922868558624</v>
      </c>
      <c r="F156">
        <f>IF(AND(G156&lt;=$J$2, COUNTIF($F$2:F155,1)&lt;$K$2),1,0)</f>
        <v>0</v>
      </c>
      <c r="G156" s="14">
        <f t="shared" si="4"/>
        <v>2110490501</v>
      </c>
    </row>
    <row r="157" spans="1:7" x14ac:dyDescent="0.25">
      <c r="A157" t="s">
        <v>102</v>
      </c>
      <c r="B157" s="2">
        <v>31650600</v>
      </c>
      <c r="C157" t="s">
        <v>52</v>
      </c>
      <c r="D157" s="8">
        <v>3.1999999999999997</v>
      </c>
      <c r="E157" s="8">
        <v>0.10110392851952252</v>
      </c>
      <c r="F157">
        <f>IF(AND(G157&lt;=$J$2, COUNTIF($F$2:F156,1)&lt;$K$2),1,0)</f>
        <v>0</v>
      </c>
      <c r="G157" s="14">
        <f t="shared" si="4"/>
        <v>2142141101</v>
      </c>
    </row>
    <row r="158" spans="1:7" x14ac:dyDescent="0.25">
      <c r="A158" t="s">
        <v>216</v>
      </c>
      <c r="B158" s="2">
        <v>9200000</v>
      </c>
      <c r="C158" t="s">
        <v>65</v>
      </c>
      <c r="D158" s="8">
        <v>0.89999999999999991</v>
      </c>
      <c r="E158" s="8">
        <v>9.7826086956521729E-2</v>
      </c>
      <c r="F158">
        <f>IF(AND(G158&lt;=$J$2, COUNTIF($F$2:F157,1)&lt;$K$2),1,0)</f>
        <v>0</v>
      </c>
      <c r="G158" s="14">
        <f t="shared" si="4"/>
        <v>2151341101</v>
      </c>
    </row>
    <row r="159" spans="1:7" x14ac:dyDescent="0.25">
      <c r="A159" t="s">
        <v>460</v>
      </c>
      <c r="B159" s="2">
        <v>1563518</v>
      </c>
      <c r="C159" t="s">
        <v>28</v>
      </c>
      <c r="D159" s="8">
        <v>0.15000000000000002</v>
      </c>
      <c r="E159" s="8">
        <v>9.5937494803385717E-2</v>
      </c>
      <c r="F159">
        <f>IF(AND(G159&lt;=$J$2, COUNTIF($F$2:F158,1)&lt;$K$2),1,0)</f>
        <v>0</v>
      </c>
      <c r="G159" s="14">
        <f t="shared" si="4"/>
        <v>2152904619</v>
      </c>
    </row>
    <row r="160" spans="1:7" x14ac:dyDescent="0.25">
      <c r="A160" t="s">
        <v>137</v>
      </c>
      <c r="B160" s="2">
        <v>20955000</v>
      </c>
      <c r="C160" t="s">
        <v>28</v>
      </c>
      <c r="D160" s="8">
        <v>1.9499999999999997</v>
      </c>
      <c r="E160" s="8">
        <v>9.3056549749463119E-2</v>
      </c>
      <c r="F160">
        <f>IF(AND(G160&lt;=$J$2, COUNTIF($F$2:F159,1)&lt;$K$2),1,0)</f>
        <v>0</v>
      </c>
      <c r="G160" s="14">
        <f t="shared" si="4"/>
        <v>2173859619</v>
      </c>
    </row>
    <row r="161" spans="1:7" x14ac:dyDescent="0.25">
      <c r="A161" t="s">
        <v>81</v>
      </c>
      <c r="B161" s="2">
        <v>37633050</v>
      </c>
      <c r="C161" t="s">
        <v>65</v>
      </c>
      <c r="D161" s="8">
        <v>3.3000000000000003</v>
      </c>
      <c r="E161" s="8">
        <v>8.7688879854277035E-2</v>
      </c>
      <c r="F161">
        <f>IF(AND(G161&lt;=$J$2, COUNTIF($F$2:F160,1)&lt;$K$2),1,0)</f>
        <v>0</v>
      </c>
      <c r="G161" s="14">
        <f t="shared" si="4"/>
        <v>2211492669</v>
      </c>
    </row>
    <row r="162" spans="1:7" x14ac:dyDescent="0.25">
      <c r="A162" t="s">
        <v>66</v>
      </c>
      <c r="B162" s="2">
        <v>42492492</v>
      </c>
      <c r="C162" t="s">
        <v>65</v>
      </c>
      <c r="D162" s="8">
        <v>3.6999999999999997</v>
      </c>
      <c r="E162" s="8">
        <v>8.7074205956195735E-2</v>
      </c>
      <c r="F162">
        <f>IF(AND(G162&lt;=$J$2, COUNTIF($F$2:F161,1)&lt;$K$2),1,0)</f>
        <v>0</v>
      </c>
      <c r="G162" s="14">
        <f t="shared" si="4"/>
        <v>2253985161</v>
      </c>
    </row>
    <row r="163" spans="1:7" x14ac:dyDescent="0.25">
      <c r="A163" t="s">
        <v>104</v>
      </c>
      <c r="B163" s="2">
        <v>31650600</v>
      </c>
      <c r="C163" t="s">
        <v>65</v>
      </c>
      <c r="D163" s="8">
        <v>2.6</v>
      </c>
      <c r="E163" s="8">
        <v>8.2146941922112054E-2</v>
      </c>
      <c r="F163">
        <f>IF(AND(G163&lt;=$J$2, COUNTIF($F$2:F162,1)&lt;$K$2),1,0)</f>
        <v>0</v>
      </c>
      <c r="G163" s="14">
        <f t="shared" ref="G163:G193" si="5">B163+G162</f>
        <v>2285635761</v>
      </c>
    </row>
    <row r="164" spans="1:7" x14ac:dyDescent="0.25">
      <c r="A164" t="s">
        <v>154</v>
      </c>
      <c r="B164" s="2">
        <v>17207142</v>
      </c>
      <c r="C164" t="s">
        <v>52</v>
      </c>
      <c r="D164" s="8">
        <v>1.35</v>
      </c>
      <c r="E164" s="8">
        <v>7.8455794692692135E-2</v>
      </c>
      <c r="F164">
        <f>IF(AND(G164&lt;=$J$2, COUNTIF($F$2:F163,1)&lt;$K$2),1,0)</f>
        <v>0</v>
      </c>
      <c r="G164" s="14">
        <f t="shared" si="5"/>
        <v>2302842903</v>
      </c>
    </row>
    <row r="165" spans="1:7" x14ac:dyDescent="0.25">
      <c r="A165" t="s">
        <v>99</v>
      </c>
      <c r="B165" s="2">
        <v>33333333</v>
      </c>
      <c r="C165" t="s">
        <v>62</v>
      </c>
      <c r="D165" s="8">
        <v>2.5499999999999998</v>
      </c>
      <c r="E165" s="8">
        <v>7.6500000765000006E-2</v>
      </c>
      <c r="F165">
        <f>IF(AND(G165&lt;=$J$2, COUNTIF($F$2:F164,1)&lt;$K$2),1,0)</f>
        <v>0</v>
      </c>
      <c r="G165" s="14">
        <f t="shared" si="5"/>
        <v>2336176236</v>
      </c>
    </row>
    <row r="166" spans="1:7" x14ac:dyDescent="0.25">
      <c r="A166" t="s">
        <v>173</v>
      </c>
      <c r="B166" s="2">
        <v>13801614</v>
      </c>
      <c r="C166" t="s">
        <v>52</v>
      </c>
      <c r="D166" s="8">
        <v>0.9</v>
      </c>
      <c r="E166" s="8">
        <v>6.5209764597097125E-2</v>
      </c>
      <c r="F166">
        <f>IF(AND(G166&lt;=$J$2, COUNTIF($F$2:F165,1)&lt;$K$2),1,0)</f>
        <v>0</v>
      </c>
      <c r="G166" s="14">
        <f t="shared" si="5"/>
        <v>2349977850</v>
      </c>
    </row>
    <row r="167" spans="1:7" x14ac:dyDescent="0.25">
      <c r="A167" t="s">
        <v>121</v>
      </c>
      <c r="B167" s="2">
        <v>28333334</v>
      </c>
      <c r="C167" t="s">
        <v>52</v>
      </c>
      <c r="D167" s="8">
        <v>1.8</v>
      </c>
      <c r="E167" s="8">
        <v>6.3529410269896225E-2</v>
      </c>
      <c r="F167">
        <f>IF(AND(G167&lt;=$J$2, COUNTIF($F$2:F166,1)&lt;$K$2),1,0)</f>
        <v>0</v>
      </c>
      <c r="G167" s="14">
        <f t="shared" si="5"/>
        <v>2378311184</v>
      </c>
    </row>
    <row r="168" spans="1:7" x14ac:dyDescent="0.25">
      <c r="A168" t="s">
        <v>128</v>
      </c>
      <c r="B168" s="2">
        <v>23500000</v>
      </c>
      <c r="C168" t="s">
        <v>28</v>
      </c>
      <c r="D168" s="8">
        <v>1.4500000000000002</v>
      </c>
      <c r="E168" s="8">
        <v>6.1702127659574481E-2</v>
      </c>
      <c r="F168">
        <f>IF(AND(G168&lt;=$J$2, COUNTIF($F$2:F167,1)&lt;$K$2),1,0)</f>
        <v>0</v>
      </c>
      <c r="G168" s="14">
        <f t="shared" si="5"/>
        <v>2401811184</v>
      </c>
    </row>
    <row r="169" spans="1:7" x14ac:dyDescent="0.25">
      <c r="A169" t="s">
        <v>179</v>
      </c>
      <c r="B169" s="2">
        <v>13000000</v>
      </c>
      <c r="C169" t="s">
        <v>62</v>
      </c>
      <c r="D169" s="8">
        <v>0.79999999999999993</v>
      </c>
      <c r="E169" s="8">
        <v>6.1538461538461528E-2</v>
      </c>
      <c r="F169">
        <f>IF(AND(G169&lt;=$J$2, COUNTIF($F$2:F168,1)&lt;$K$2),1,0)</f>
        <v>0</v>
      </c>
      <c r="G169" s="14">
        <f t="shared" si="5"/>
        <v>2414811184</v>
      </c>
    </row>
    <row r="170" spans="1:7" x14ac:dyDescent="0.25">
      <c r="A170" t="s">
        <v>267</v>
      </c>
      <c r="B170" s="2">
        <v>5739840</v>
      </c>
      <c r="C170" t="s">
        <v>28</v>
      </c>
      <c r="D170" s="8">
        <v>0.35</v>
      </c>
      <c r="E170" s="8">
        <v>6.0977309472041032E-2</v>
      </c>
      <c r="F170">
        <f>IF(AND(G170&lt;=$J$2, COUNTIF($F$2:F169,1)&lt;$K$2),1,0)</f>
        <v>0</v>
      </c>
      <c r="G170" s="14">
        <f t="shared" si="5"/>
        <v>2420551024</v>
      </c>
    </row>
    <row r="171" spans="1:7" x14ac:dyDescent="0.25">
      <c r="A171" t="s">
        <v>61</v>
      </c>
      <c r="B171" s="2">
        <v>43279250</v>
      </c>
      <c r="C171" t="s">
        <v>62</v>
      </c>
      <c r="D171" s="8">
        <v>2.6</v>
      </c>
      <c r="E171" s="8">
        <v>6.0074978193938207E-2</v>
      </c>
      <c r="F171">
        <f>IF(AND(G171&lt;=$J$2, COUNTIF($F$2:F170,1)&lt;$K$2),1,0)</f>
        <v>0</v>
      </c>
      <c r="G171" s="14">
        <f t="shared" si="5"/>
        <v>2463830274</v>
      </c>
    </row>
    <row r="172" spans="1:7" x14ac:dyDescent="0.25">
      <c r="A172" t="s">
        <v>111</v>
      </c>
      <c r="B172" s="2">
        <v>30556968</v>
      </c>
      <c r="C172" t="s">
        <v>28</v>
      </c>
      <c r="D172" s="8">
        <v>1.6</v>
      </c>
      <c r="E172" s="8">
        <v>5.236121594262886E-2</v>
      </c>
      <c r="F172">
        <f>IF(AND(G172&lt;=$J$2, COUNTIF($F$2:F171,1)&lt;$K$2),1,0)</f>
        <v>0</v>
      </c>
      <c r="G172" s="14">
        <f t="shared" si="5"/>
        <v>2494387242</v>
      </c>
    </row>
    <row r="173" spans="1:7" x14ac:dyDescent="0.25">
      <c r="A173" t="s">
        <v>194</v>
      </c>
      <c r="B173" s="2">
        <v>11055120</v>
      </c>
      <c r="C173" t="s">
        <v>28</v>
      </c>
      <c r="D173" s="8">
        <v>0.44999999999999996</v>
      </c>
      <c r="E173" s="8">
        <v>4.0705121246987816E-2</v>
      </c>
      <c r="F173">
        <f>IF(AND(G173&lt;=$J$2, COUNTIF($F$2:F172,1)&lt;$K$2),1,0)</f>
        <v>0</v>
      </c>
      <c r="G173" s="14">
        <f t="shared" si="5"/>
        <v>2505442362</v>
      </c>
    </row>
    <row r="174" spans="1:7" x14ac:dyDescent="0.25">
      <c r="A174" t="s">
        <v>145</v>
      </c>
      <c r="B174" s="2">
        <v>18642857</v>
      </c>
      <c r="C174" t="s">
        <v>65</v>
      </c>
      <c r="D174" s="8">
        <v>0.75</v>
      </c>
      <c r="E174" s="8">
        <v>4.0229885365746246E-2</v>
      </c>
      <c r="F174">
        <f>IF(AND(G174&lt;=$J$2, COUNTIF($F$2:F173,1)&lt;$K$2),1,0)</f>
        <v>0</v>
      </c>
      <c r="G174" s="14">
        <f t="shared" si="5"/>
        <v>2524085219</v>
      </c>
    </row>
    <row r="175" spans="1:7" x14ac:dyDescent="0.25">
      <c r="A175" t="s">
        <v>88</v>
      </c>
      <c r="B175" s="2">
        <v>35448672</v>
      </c>
      <c r="C175" t="s">
        <v>52</v>
      </c>
      <c r="D175" s="8">
        <v>1.3</v>
      </c>
      <c r="E175" s="8">
        <v>3.6672741929514314E-2</v>
      </c>
      <c r="F175">
        <f>IF(AND(G175&lt;=$J$2, COUNTIF($F$2:F174,1)&lt;$K$2),1,0)</f>
        <v>0</v>
      </c>
      <c r="G175" s="14">
        <f t="shared" si="5"/>
        <v>2559533891</v>
      </c>
    </row>
    <row r="176" spans="1:7" x14ac:dyDescent="0.25">
      <c r="A176" t="s">
        <v>160</v>
      </c>
      <c r="B176" s="2">
        <v>16700000</v>
      </c>
      <c r="C176" t="s">
        <v>52</v>
      </c>
      <c r="D176" s="8">
        <v>0.6</v>
      </c>
      <c r="E176" s="8">
        <v>3.5928143712574849E-2</v>
      </c>
      <c r="F176">
        <f>IF(AND(G176&lt;=$J$2, COUNTIF($F$2:F175,1)&lt;$K$2),1,0)</f>
        <v>0</v>
      </c>
      <c r="G176" s="14">
        <f t="shared" si="5"/>
        <v>2576233891</v>
      </c>
    </row>
    <row r="177" spans="1:7" x14ac:dyDescent="0.25">
      <c r="A177" t="s">
        <v>71</v>
      </c>
      <c r="B177" s="2">
        <v>40600080</v>
      </c>
      <c r="C177" t="s">
        <v>65</v>
      </c>
      <c r="D177" s="8">
        <v>1.4000000000000001</v>
      </c>
      <c r="E177" s="8">
        <v>3.4482690674501139E-2</v>
      </c>
      <c r="F177">
        <f>IF(AND(G177&lt;=$J$2, COUNTIF($F$2:F176,1)&lt;$K$2),1,0)</f>
        <v>0</v>
      </c>
      <c r="G177" s="14">
        <f t="shared" si="5"/>
        <v>2616833971</v>
      </c>
    </row>
    <row r="178" spans="1:7" x14ac:dyDescent="0.25">
      <c r="A178" t="s">
        <v>333</v>
      </c>
      <c r="B178" s="2">
        <v>3098400</v>
      </c>
      <c r="C178" t="s">
        <v>62</v>
      </c>
      <c r="D178" s="8">
        <v>0.10000000000000009</v>
      </c>
      <c r="E178" s="8">
        <v>3.227472243738707E-2</v>
      </c>
      <c r="F178">
        <f>IF(AND(G178&lt;=$J$2, COUNTIF($F$2:F177,1)&lt;$K$2),1,0)</f>
        <v>0</v>
      </c>
      <c r="G178" s="14">
        <f t="shared" si="5"/>
        <v>2619932371</v>
      </c>
    </row>
    <row r="179" spans="1:7" x14ac:dyDescent="0.25">
      <c r="A179" t="s">
        <v>132</v>
      </c>
      <c r="B179" s="2">
        <v>22321429</v>
      </c>
      <c r="C179" t="s">
        <v>62</v>
      </c>
      <c r="D179" s="8">
        <v>0.7</v>
      </c>
      <c r="E179" s="8">
        <v>3.1359999397888014E-2</v>
      </c>
      <c r="F179">
        <f>IF(AND(G179&lt;=$J$2, COUNTIF($F$2:F178,1)&lt;$K$2),1,0)</f>
        <v>0</v>
      </c>
      <c r="G179" s="14">
        <f t="shared" si="5"/>
        <v>2642253800</v>
      </c>
    </row>
    <row r="180" spans="1:7" x14ac:dyDescent="0.25">
      <c r="A180" t="s">
        <v>278</v>
      </c>
      <c r="B180" s="2">
        <v>5155500</v>
      </c>
      <c r="C180" t="s">
        <v>52</v>
      </c>
      <c r="D180" s="8">
        <v>0.15000000000000002</v>
      </c>
      <c r="E180" s="8">
        <v>2.9095141111434394E-2</v>
      </c>
      <c r="F180">
        <f>IF(AND(G180&lt;=$J$2, COUNTIF($F$2:F179,1)&lt;$K$2),1,0)</f>
        <v>0</v>
      </c>
      <c r="G180" s="14">
        <f t="shared" si="5"/>
        <v>2647409300</v>
      </c>
    </row>
    <row r="181" spans="1:7" x14ac:dyDescent="0.25">
      <c r="A181" t="s">
        <v>248</v>
      </c>
      <c r="B181" s="2">
        <v>6922320</v>
      </c>
      <c r="C181" t="s">
        <v>62</v>
      </c>
      <c r="D181" s="8">
        <v>0.19999999999999996</v>
      </c>
      <c r="E181" s="8">
        <v>2.8892047752776519E-2</v>
      </c>
      <c r="F181">
        <f>IF(AND(G181&lt;=$J$2, COUNTIF($F$2:F180,1)&lt;$K$2),1,0)</f>
        <v>0</v>
      </c>
      <c r="G181" s="14">
        <f t="shared" si="5"/>
        <v>2654331620</v>
      </c>
    </row>
    <row r="182" spans="1:7" x14ac:dyDescent="0.25">
      <c r="A182" t="s">
        <v>97</v>
      </c>
      <c r="B182" s="2">
        <v>33616770</v>
      </c>
      <c r="C182" t="s">
        <v>65</v>
      </c>
      <c r="D182" s="8">
        <v>0.89999999999999991</v>
      </c>
      <c r="E182" s="8">
        <v>2.6772352013593213E-2</v>
      </c>
      <c r="F182">
        <f>IF(AND(G182&lt;=$J$2, COUNTIF($F$2:F181,1)&lt;$K$2),1,0)</f>
        <v>0</v>
      </c>
      <c r="G182" s="14">
        <f t="shared" si="5"/>
        <v>2687948390</v>
      </c>
    </row>
    <row r="183" spans="1:7" x14ac:dyDescent="0.25">
      <c r="A183" t="s">
        <v>133</v>
      </c>
      <c r="B183" s="2">
        <v>21486316</v>
      </c>
      <c r="C183" t="s">
        <v>62</v>
      </c>
      <c r="D183" s="8">
        <v>0.55000000000000004</v>
      </c>
      <c r="E183" s="8">
        <v>2.5597687383914488E-2</v>
      </c>
      <c r="F183">
        <f>IF(AND(G183&lt;=$J$2, COUNTIF($F$2:F182,1)&lt;$K$2),1,0)</f>
        <v>0</v>
      </c>
      <c r="G183" s="14">
        <f t="shared" si="5"/>
        <v>2709434706</v>
      </c>
    </row>
    <row r="184" spans="1:7" x14ac:dyDescent="0.25">
      <c r="A184" t="s">
        <v>186</v>
      </c>
      <c r="B184" s="2">
        <v>12196094</v>
      </c>
      <c r="C184" t="s">
        <v>62</v>
      </c>
      <c r="D184" s="8">
        <v>0.30000000000000004</v>
      </c>
      <c r="E184" s="8">
        <v>2.4598039339480335E-2</v>
      </c>
      <c r="F184">
        <f>IF(AND(G184&lt;=$J$2, COUNTIF($F$2:F183,1)&lt;$K$2),1,0)</f>
        <v>0</v>
      </c>
      <c r="G184" s="14">
        <f t="shared" si="5"/>
        <v>2721630800</v>
      </c>
    </row>
    <row r="185" spans="1:7" x14ac:dyDescent="0.25">
      <c r="A185" t="s">
        <v>56</v>
      </c>
      <c r="B185" s="2">
        <v>47080179</v>
      </c>
      <c r="C185" t="s">
        <v>52</v>
      </c>
      <c r="D185" s="8">
        <v>1.05</v>
      </c>
      <c r="E185" s="8">
        <v>2.2302379096731981E-2</v>
      </c>
      <c r="F185">
        <f>IF(AND(G185&lt;=$J$2, COUNTIF($F$2:F184,1)&lt;$K$2),1,0)</f>
        <v>0</v>
      </c>
      <c r="G185" s="14">
        <f t="shared" si="5"/>
        <v>2768710979</v>
      </c>
    </row>
    <row r="186" spans="1:7" x14ac:dyDescent="0.25">
      <c r="A186" t="s">
        <v>288</v>
      </c>
      <c r="B186" s="2">
        <v>4670160</v>
      </c>
      <c r="C186" t="s">
        <v>75</v>
      </c>
      <c r="D186" s="8">
        <v>9.9999999999999867E-2</v>
      </c>
      <c r="E186" s="8">
        <v>2.1412542610959769E-2</v>
      </c>
      <c r="F186">
        <f>IF(AND(G186&lt;=$J$2, COUNTIF($F$2:F185,1)&lt;$K$2),1,0)</f>
        <v>0</v>
      </c>
      <c r="G186" s="14">
        <f t="shared" si="5"/>
        <v>2773381139</v>
      </c>
    </row>
    <row r="187" spans="1:7" x14ac:dyDescent="0.25">
      <c r="A187" t="s">
        <v>178</v>
      </c>
      <c r="B187" s="2">
        <v>13340000</v>
      </c>
      <c r="C187" t="s">
        <v>62</v>
      </c>
      <c r="D187" s="8">
        <v>0.15000000000000002</v>
      </c>
      <c r="E187" s="8">
        <v>1.1244377811094455E-2</v>
      </c>
      <c r="F187">
        <f>IF(AND(G187&lt;=$J$2, COUNTIF($F$2:F186,1)&lt;$K$2),1,0)</f>
        <v>0</v>
      </c>
      <c r="G187" s="14">
        <f t="shared" si="5"/>
        <v>2786721139</v>
      </c>
    </row>
    <row r="188" spans="1:7" x14ac:dyDescent="0.25">
      <c r="A188" t="s">
        <v>142</v>
      </c>
      <c r="B188" s="2">
        <v>19568360</v>
      </c>
      <c r="C188" t="s">
        <v>62</v>
      </c>
      <c r="D188" s="8">
        <v>0.19999999999999996</v>
      </c>
      <c r="E188" s="8">
        <v>1.0220580569858688E-2</v>
      </c>
      <c r="F188">
        <f>IF(AND(G188&lt;=$J$2, COUNTIF($F$2:F187,1)&lt;$K$2),1,0)</f>
        <v>0</v>
      </c>
      <c r="G188" s="14">
        <f t="shared" si="5"/>
        <v>2806289499</v>
      </c>
    </row>
    <row r="189" spans="1:7" x14ac:dyDescent="0.25">
      <c r="A189" t="s">
        <v>206</v>
      </c>
      <c r="B189" s="2">
        <v>10012800</v>
      </c>
      <c r="C189" t="s">
        <v>65</v>
      </c>
      <c r="D189" s="8">
        <v>9.9999999999999867E-2</v>
      </c>
      <c r="E189" s="8">
        <v>9.987216363055277E-3</v>
      </c>
      <c r="F189">
        <f>IF(AND(G189&lt;=$J$2, COUNTIF($F$2:F188,1)&lt;$K$2),1,0)</f>
        <v>0</v>
      </c>
      <c r="G189" s="14">
        <f t="shared" si="5"/>
        <v>2816302299</v>
      </c>
    </row>
    <row r="190" spans="1:7" x14ac:dyDescent="0.25">
      <c r="A190" t="s">
        <v>117</v>
      </c>
      <c r="B190" s="2">
        <v>30075000</v>
      </c>
      <c r="C190" t="s">
        <v>65</v>
      </c>
      <c r="D190" s="8">
        <v>0.30000000000000004</v>
      </c>
      <c r="E190" s="8">
        <v>9.9750623441396524E-3</v>
      </c>
      <c r="F190">
        <f>IF(AND(G190&lt;=$J$2, COUNTIF($F$2:F189,1)&lt;$K$2),1,0)</f>
        <v>0</v>
      </c>
      <c r="G190" s="14">
        <f t="shared" si="5"/>
        <v>2846377299</v>
      </c>
    </row>
    <row r="191" spans="1:7" x14ac:dyDescent="0.25">
      <c r="A191" t="s">
        <v>182</v>
      </c>
      <c r="B191" s="2">
        <v>12939848</v>
      </c>
      <c r="C191" t="s">
        <v>28</v>
      </c>
      <c r="D191" s="8">
        <v>5.0000000000000044E-2</v>
      </c>
      <c r="E191" s="8">
        <v>3.8640330241900868E-3</v>
      </c>
      <c r="F191">
        <f>IF(AND(G191&lt;=$J$2, COUNTIF($F$2:F190,1)&lt;$K$2),1,0)</f>
        <v>0</v>
      </c>
      <c r="G191" s="14">
        <f t="shared" si="5"/>
        <v>2859317147</v>
      </c>
    </row>
    <row r="192" spans="1:7" x14ac:dyDescent="0.25">
      <c r="A192" t="s">
        <v>163</v>
      </c>
      <c r="B192" s="2">
        <v>16372093</v>
      </c>
      <c r="C192" t="s">
        <v>28</v>
      </c>
      <c r="D192" s="8">
        <v>5.0000000000000044E-2</v>
      </c>
      <c r="E192" s="8">
        <v>3.0539772770653115E-3</v>
      </c>
      <c r="F192">
        <f>IF(AND(G192&lt;=$J$2, COUNTIF($F$2:F191,1)&lt;$K$2),1,0)</f>
        <v>0</v>
      </c>
      <c r="G192" s="14">
        <f t="shared" si="5"/>
        <v>2875689240</v>
      </c>
    </row>
    <row r="193" spans="1:7" x14ac:dyDescent="0.25">
      <c r="A193" t="s">
        <v>284</v>
      </c>
      <c r="B193" s="2">
        <v>4916160</v>
      </c>
      <c r="C193" t="s">
        <v>65</v>
      </c>
      <c r="D193" s="8">
        <v>0</v>
      </c>
      <c r="E193" s="8">
        <v>0</v>
      </c>
      <c r="F193">
        <f>IF(AND(G193&lt;=$J$2, COUNTIF($F$2:F192,1)&lt;$K$2),1,0)</f>
        <v>0</v>
      </c>
      <c r="G193" s="14">
        <f t="shared" si="5"/>
        <v>2880605400</v>
      </c>
    </row>
  </sheetData>
  <sortState xmlns:xlrd2="http://schemas.microsoft.com/office/spreadsheetml/2017/richdata2" ref="A4:G193">
    <sortCondition descending="1" ref="E4:E19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E5761-A642-4771-BFC9-8C05202686EC}">
  <dimension ref="A1:N1001"/>
  <sheetViews>
    <sheetView workbookViewId="0">
      <selection activeCell="F7" sqref="F7"/>
    </sheetView>
  </sheetViews>
  <sheetFormatPr defaultRowHeight="15" x14ac:dyDescent="0.25"/>
  <cols>
    <col min="1" max="1" width="18.28515625" bestFit="1" customWidth="1"/>
    <col min="2" max="2" width="14.85546875" customWidth="1"/>
    <col min="3" max="3" width="14.140625" bestFit="1" customWidth="1"/>
    <col min="5" max="5" width="11.140625" bestFit="1" customWidth="1"/>
    <col min="6" max="6" width="12" bestFit="1" customWidth="1"/>
    <col min="9" max="9" width="15" bestFit="1" customWidth="1"/>
    <col min="14" max="14" width="10.7109375" bestFit="1" customWidth="1"/>
  </cols>
  <sheetData>
    <row r="1" spans="1:14" x14ac:dyDescent="0.25">
      <c r="A1" s="1" t="s">
        <v>0</v>
      </c>
      <c r="B1" s="7" t="s">
        <v>552</v>
      </c>
      <c r="C1" s="1" t="s">
        <v>570</v>
      </c>
      <c r="D1" s="1" t="s">
        <v>569</v>
      </c>
      <c r="E1" s="1"/>
      <c r="F1" s="1" t="s">
        <v>572</v>
      </c>
      <c r="G1" s="1" t="s">
        <v>575</v>
      </c>
      <c r="H1" s="1" t="s">
        <v>573</v>
      </c>
      <c r="I1" s="1" t="s">
        <v>574</v>
      </c>
      <c r="J1" s="1"/>
      <c r="K1" s="1" t="s">
        <v>576</v>
      </c>
      <c r="L1" s="1" t="s">
        <v>577</v>
      </c>
      <c r="M1" s="1" t="s">
        <v>578</v>
      </c>
      <c r="N1" s="1" t="s">
        <v>579</v>
      </c>
    </row>
    <row r="2" spans="1:14" x14ac:dyDescent="0.25">
      <c r="A2" t="s">
        <v>136</v>
      </c>
      <c r="B2" s="8">
        <v>9.1999999999999993</v>
      </c>
      <c r="C2">
        <f ca="1">(RAND()-0.5)/5</f>
        <v>1.7277407009937649E-2</v>
      </c>
      <c r="D2">
        <f ca="1">IF(RAND()&lt;0.1, 0, B2*(1+C2))</f>
        <v>9.3589521444914272</v>
      </c>
      <c r="F2">
        <f ca="1">SUM(D2:D13)</f>
        <v>56.870098925797457</v>
      </c>
      <c r="G2">
        <v>0</v>
      </c>
      <c r="H2">
        <v>1</v>
      </c>
      <c r="I2">
        <f ca="1">F2</f>
        <v>56.870098925797457</v>
      </c>
      <c r="K2" s="10">
        <f ca="1">AVERAGE(I2:I1001)</f>
        <v>60.809619010316453</v>
      </c>
      <c r="L2" s="10">
        <f ca="1">_xlfn.STDEV.S(I2:I1001)</f>
        <v>6.7705252643985174</v>
      </c>
      <c r="M2" s="10">
        <f ca="1">MAX(I2:I1001)</f>
        <v>71.219120982755783</v>
      </c>
      <c r="N2" s="10">
        <f ca="1">MIN(I2:I1001)</f>
        <v>31.182162085698202</v>
      </c>
    </row>
    <row r="3" spans="1:14" x14ac:dyDescent="0.25">
      <c r="A3" t="s">
        <v>229</v>
      </c>
      <c r="B3" s="8">
        <v>5.0999999999999996</v>
      </c>
      <c r="C3">
        <f t="shared" ref="C3:C13" ca="1" si="0">(RAND()-0.5)/5</f>
        <v>4.7898904000423605E-2</v>
      </c>
      <c r="D3">
        <f t="shared" ref="D3:D13" ca="1" si="1">IF(RAND()&lt;0.1, 0, B3*(1+C3))</f>
        <v>5.3442844104021603</v>
      </c>
      <c r="H3">
        <v>2</v>
      </c>
      <c r="I3">
        <f t="dataTable" ref="I3:I1001" dt2D="0" dtr="0" r1="G2" ca="1"/>
        <v>60.783806540687834</v>
      </c>
    </row>
    <row r="4" spans="1:14" x14ac:dyDescent="0.25">
      <c r="A4" t="s">
        <v>235</v>
      </c>
      <c r="B4" s="8">
        <v>5.3999999999999995</v>
      </c>
      <c r="C4">
        <f t="shared" ca="1" si="0"/>
        <v>-2.9662134431597244E-2</v>
      </c>
      <c r="D4">
        <f t="shared" ca="1" si="1"/>
        <v>5.2398244740693745</v>
      </c>
      <c r="H4">
        <v>3</v>
      </c>
      <c r="I4">
        <v>61.679429015195709</v>
      </c>
    </row>
    <row r="5" spans="1:14" x14ac:dyDescent="0.25">
      <c r="A5" t="s">
        <v>301</v>
      </c>
      <c r="B5" s="8">
        <v>7.4</v>
      </c>
      <c r="C5">
        <f t="shared" ca="1" si="0"/>
        <v>-1.0551519603985083E-2</v>
      </c>
      <c r="D5">
        <f t="shared" ca="1" si="1"/>
        <v>7.3219187549305111</v>
      </c>
      <c r="F5" t="s">
        <v>571</v>
      </c>
      <c r="H5">
        <v>4</v>
      </c>
      <c r="I5">
        <v>58.814150242452264</v>
      </c>
    </row>
    <row r="6" spans="1:14" x14ac:dyDescent="0.25">
      <c r="A6" t="s">
        <v>357</v>
      </c>
      <c r="B6" s="8">
        <v>5</v>
      </c>
      <c r="C6">
        <f t="shared" ca="1" si="0"/>
        <v>4.2424804983212216E-2</v>
      </c>
      <c r="D6">
        <f t="shared" ca="1" si="1"/>
        <v>5.2121240249160605</v>
      </c>
      <c r="E6" t="s">
        <v>571</v>
      </c>
      <c r="F6" t="s">
        <v>571</v>
      </c>
      <c r="H6">
        <v>5</v>
      </c>
      <c r="I6">
        <v>62.999046729209255</v>
      </c>
    </row>
    <row r="7" spans="1:14" x14ac:dyDescent="0.25">
      <c r="A7" t="s">
        <v>374</v>
      </c>
      <c r="B7" s="8">
        <v>4.2</v>
      </c>
      <c r="C7">
        <f t="shared" ca="1" si="0"/>
        <v>3.9527616650037435E-2</v>
      </c>
      <c r="D7">
        <f t="shared" ca="1" si="1"/>
        <v>4.3660159899301574</v>
      </c>
      <c r="E7" t="s">
        <v>571</v>
      </c>
      <c r="F7" t="s">
        <v>571</v>
      </c>
      <c r="H7">
        <v>6</v>
      </c>
      <c r="I7">
        <v>59.698594166790869</v>
      </c>
    </row>
    <row r="8" spans="1:14" x14ac:dyDescent="0.25">
      <c r="A8" t="s">
        <v>394</v>
      </c>
      <c r="B8" s="8">
        <v>4.6500000000000004</v>
      </c>
      <c r="C8">
        <f t="shared" ca="1" si="0"/>
        <v>4.7846893947260119E-2</v>
      </c>
      <c r="D8">
        <f t="shared" ca="1" si="1"/>
        <v>4.8724880568547597</v>
      </c>
      <c r="F8" t="s">
        <v>571</v>
      </c>
      <c r="H8">
        <v>7</v>
      </c>
      <c r="I8">
        <v>48.992296671169122</v>
      </c>
      <c r="K8" t="s">
        <v>571</v>
      </c>
    </row>
    <row r="9" spans="1:14" x14ac:dyDescent="0.25">
      <c r="A9" t="s">
        <v>445</v>
      </c>
      <c r="B9" s="8">
        <v>2.2000000000000002</v>
      </c>
      <c r="C9">
        <f t="shared" ca="1" si="0"/>
        <v>4.616549958130247E-2</v>
      </c>
      <c r="D9">
        <f t="shared" ca="1" si="1"/>
        <v>0</v>
      </c>
      <c r="H9">
        <v>8</v>
      </c>
      <c r="I9">
        <v>59.629427780098645</v>
      </c>
    </row>
    <row r="10" spans="1:14" x14ac:dyDescent="0.25">
      <c r="A10" t="s">
        <v>72</v>
      </c>
      <c r="B10" s="8">
        <v>5.75</v>
      </c>
      <c r="C10">
        <f t="shared" ca="1" si="0"/>
        <v>-2.5461999567567097E-2</v>
      </c>
      <c r="D10">
        <f t="shared" ca="1" si="1"/>
        <v>5.6035935024864889</v>
      </c>
      <c r="H10">
        <v>9</v>
      </c>
      <c r="I10">
        <v>69.204602087961604</v>
      </c>
    </row>
    <row r="11" spans="1:14" x14ac:dyDescent="0.25">
      <c r="A11" t="s">
        <v>162</v>
      </c>
      <c r="B11" s="8">
        <v>6</v>
      </c>
      <c r="C11">
        <f t="shared" ca="1" si="0"/>
        <v>9.8957723583081331E-2</v>
      </c>
      <c r="D11">
        <f t="shared" ca="1" si="1"/>
        <v>6.5937463414984885</v>
      </c>
      <c r="H11">
        <v>10</v>
      </c>
      <c r="I11">
        <v>58.757624528177246</v>
      </c>
    </row>
    <row r="12" spans="1:14" x14ac:dyDescent="0.25">
      <c r="A12" t="s">
        <v>239</v>
      </c>
      <c r="B12" s="8">
        <v>2.7</v>
      </c>
      <c r="C12">
        <f t="shared" ca="1" si="0"/>
        <v>9.5241194895568884E-2</v>
      </c>
      <c r="D12">
        <f t="shared" ca="1" si="1"/>
        <v>2.9571512262180364</v>
      </c>
      <c r="H12">
        <v>11</v>
      </c>
      <c r="I12">
        <v>60.944882340418829</v>
      </c>
    </row>
    <row r="13" spans="1:14" x14ac:dyDescent="0.25">
      <c r="A13" t="s">
        <v>580</v>
      </c>
      <c r="B13" s="8">
        <v>10.149999999999999</v>
      </c>
      <c r="C13">
        <f t="shared" ca="1" si="0"/>
        <v>8.7395436664607543E-2</v>
      </c>
      <c r="D13">
        <f t="shared" ca="1" si="1"/>
        <v>0</v>
      </c>
      <c r="H13">
        <v>12</v>
      </c>
      <c r="I13">
        <v>44.366895045286554</v>
      </c>
    </row>
    <row r="14" spans="1:14" x14ac:dyDescent="0.25">
      <c r="H14">
        <v>13</v>
      </c>
      <c r="I14">
        <v>59.537205625413257</v>
      </c>
    </row>
    <row r="15" spans="1:14" x14ac:dyDescent="0.25">
      <c r="H15">
        <v>14</v>
      </c>
      <c r="I15">
        <v>53.584339928855634</v>
      </c>
    </row>
    <row r="16" spans="1:14" x14ac:dyDescent="0.25">
      <c r="H16">
        <v>15</v>
      </c>
      <c r="I16">
        <v>60.260533537348707</v>
      </c>
    </row>
    <row r="17" spans="8:9" x14ac:dyDescent="0.25">
      <c r="H17">
        <v>16</v>
      </c>
      <c r="I17">
        <v>62.953526554080085</v>
      </c>
    </row>
    <row r="18" spans="8:9" x14ac:dyDescent="0.25">
      <c r="H18">
        <v>17</v>
      </c>
      <c r="I18">
        <v>59.674455785799452</v>
      </c>
    </row>
    <row r="19" spans="8:9" x14ac:dyDescent="0.25">
      <c r="H19">
        <v>18</v>
      </c>
      <c r="I19">
        <v>64.229232869154487</v>
      </c>
    </row>
    <row r="20" spans="8:9" x14ac:dyDescent="0.25">
      <c r="H20">
        <v>19</v>
      </c>
      <c r="I20">
        <v>58.198872888826571</v>
      </c>
    </row>
    <row r="21" spans="8:9" x14ac:dyDescent="0.25">
      <c r="H21">
        <v>20</v>
      </c>
      <c r="I21">
        <v>68.831068712173817</v>
      </c>
    </row>
    <row r="22" spans="8:9" x14ac:dyDescent="0.25">
      <c r="H22">
        <v>21</v>
      </c>
      <c r="I22">
        <v>70.518439986882143</v>
      </c>
    </row>
    <row r="23" spans="8:9" x14ac:dyDescent="0.25">
      <c r="H23">
        <v>22</v>
      </c>
      <c r="I23">
        <v>68.536449163822823</v>
      </c>
    </row>
    <row r="24" spans="8:9" x14ac:dyDescent="0.25">
      <c r="H24">
        <v>23</v>
      </c>
      <c r="I24">
        <v>47.174056876582611</v>
      </c>
    </row>
    <row r="25" spans="8:9" x14ac:dyDescent="0.25">
      <c r="H25">
        <v>24</v>
      </c>
      <c r="I25">
        <v>66.530787578417971</v>
      </c>
    </row>
    <row r="26" spans="8:9" x14ac:dyDescent="0.25">
      <c r="H26">
        <v>25</v>
      </c>
      <c r="I26">
        <v>65.079126994870933</v>
      </c>
    </row>
    <row r="27" spans="8:9" x14ac:dyDescent="0.25">
      <c r="H27">
        <v>26</v>
      </c>
      <c r="I27">
        <v>52.970266751292691</v>
      </c>
    </row>
    <row r="28" spans="8:9" x14ac:dyDescent="0.25">
      <c r="H28">
        <v>27</v>
      </c>
      <c r="I28">
        <v>65.419717101568224</v>
      </c>
    </row>
    <row r="29" spans="8:9" x14ac:dyDescent="0.25">
      <c r="H29">
        <v>28</v>
      </c>
      <c r="I29">
        <v>48.91332508366294</v>
      </c>
    </row>
    <row r="30" spans="8:9" x14ac:dyDescent="0.25">
      <c r="H30">
        <v>29</v>
      </c>
      <c r="I30">
        <v>61.571131449113267</v>
      </c>
    </row>
    <row r="31" spans="8:9" x14ac:dyDescent="0.25">
      <c r="H31">
        <v>30</v>
      </c>
      <c r="I31">
        <v>54.861813325304126</v>
      </c>
    </row>
    <row r="32" spans="8:9" x14ac:dyDescent="0.25">
      <c r="H32">
        <v>31</v>
      </c>
      <c r="I32">
        <v>68.383848753394631</v>
      </c>
    </row>
    <row r="33" spans="8:9" x14ac:dyDescent="0.25">
      <c r="H33">
        <v>32</v>
      </c>
      <c r="I33">
        <v>53.52190994275815</v>
      </c>
    </row>
    <row r="34" spans="8:9" x14ac:dyDescent="0.25">
      <c r="H34">
        <v>33</v>
      </c>
      <c r="I34">
        <v>67.600149637770272</v>
      </c>
    </row>
    <row r="35" spans="8:9" x14ac:dyDescent="0.25">
      <c r="H35">
        <v>34</v>
      </c>
      <c r="I35">
        <v>65.237940820817201</v>
      </c>
    </row>
    <row r="36" spans="8:9" x14ac:dyDescent="0.25">
      <c r="H36">
        <v>35</v>
      </c>
      <c r="I36">
        <v>70.138942711538178</v>
      </c>
    </row>
    <row r="37" spans="8:9" x14ac:dyDescent="0.25">
      <c r="H37">
        <v>36</v>
      </c>
      <c r="I37">
        <v>60.910219143896569</v>
      </c>
    </row>
    <row r="38" spans="8:9" x14ac:dyDescent="0.25">
      <c r="H38">
        <v>37</v>
      </c>
      <c r="I38">
        <v>66.54012891016427</v>
      </c>
    </row>
    <row r="39" spans="8:9" x14ac:dyDescent="0.25">
      <c r="H39">
        <v>38</v>
      </c>
      <c r="I39">
        <v>46.53378684608289</v>
      </c>
    </row>
    <row r="40" spans="8:9" x14ac:dyDescent="0.25">
      <c r="H40">
        <v>39</v>
      </c>
      <c r="I40">
        <v>68.972065568889036</v>
      </c>
    </row>
    <row r="41" spans="8:9" x14ac:dyDescent="0.25">
      <c r="H41">
        <v>40</v>
      </c>
      <c r="I41">
        <v>58.768115295019413</v>
      </c>
    </row>
    <row r="42" spans="8:9" x14ac:dyDescent="0.25">
      <c r="H42">
        <v>41</v>
      </c>
      <c r="I42">
        <v>56.156131236399148</v>
      </c>
    </row>
    <row r="43" spans="8:9" x14ac:dyDescent="0.25">
      <c r="H43">
        <v>42</v>
      </c>
      <c r="I43">
        <v>65.696745257129209</v>
      </c>
    </row>
    <row r="44" spans="8:9" x14ac:dyDescent="0.25">
      <c r="H44">
        <v>43</v>
      </c>
      <c r="I44">
        <v>62.713125865409609</v>
      </c>
    </row>
    <row r="45" spans="8:9" x14ac:dyDescent="0.25">
      <c r="H45">
        <v>44</v>
      </c>
      <c r="I45">
        <v>67.609528210149065</v>
      </c>
    </row>
    <row r="46" spans="8:9" x14ac:dyDescent="0.25">
      <c r="H46">
        <v>45</v>
      </c>
      <c r="I46">
        <v>67.863487786007568</v>
      </c>
    </row>
    <row r="47" spans="8:9" x14ac:dyDescent="0.25">
      <c r="H47">
        <v>46</v>
      </c>
      <c r="I47">
        <v>61.96507079096402</v>
      </c>
    </row>
    <row r="48" spans="8:9" x14ac:dyDescent="0.25">
      <c r="H48">
        <v>47</v>
      </c>
      <c r="I48">
        <v>64.702912223396751</v>
      </c>
    </row>
    <row r="49" spans="8:9" x14ac:dyDescent="0.25">
      <c r="H49">
        <v>48</v>
      </c>
      <c r="I49">
        <v>69.649920116280896</v>
      </c>
    </row>
    <row r="50" spans="8:9" x14ac:dyDescent="0.25">
      <c r="H50">
        <v>49</v>
      </c>
      <c r="I50">
        <v>67.304338839118898</v>
      </c>
    </row>
    <row r="51" spans="8:9" x14ac:dyDescent="0.25">
      <c r="H51">
        <v>50</v>
      </c>
      <c r="I51">
        <v>61.003435019987649</v>
      </c>
    </row>
    <row r="52" spans="8:9" x14ac:dyDescent="0.25">
      <c r="H52">
        <v>51</v>
      </c>
      <c r="I52">
        <v>58.585525777651718</v>
      </c>
    </row>
    <row r="53" spans="8:9" x14ac:dyDescent="0.25">
      <c r="H53">
        <v>52</v>
      </c>
      <c r="I53">
        <v>60.477191672874852</v>
      </c>
    </row>
    <row r="54" spans="8:9" x14ac:dyDescent="0.25">
      <c r="H54">
        <v>53</v>
      </c>
      <c r="I54">
        <v>56.677268231972917</v>
      </c>
    </row>
    <row r="55" spans="8:9" x14ac:dyDescent="0.25">
      <c r="H55">
        <v>54</v>
      </c>
      <c r="I55">
        <v>53.292374894313213</v>
      </c>
    </row>
    <row r="56" spans="8:9" x14ac:dyDescent="0.25">
      <c r="H56">
        <v>55</v>
      </c>
      <c r="I56">
        <v>64.84744116508989</v>
      </c>
    </row>
    <row r="57" spans="8:9" x14ac:dyDescent="0.25">
      <c r="H57">
        <v>56</v>
      </c>
      <c r="I57">
        <v>62.107332418414423</v>
      </c>
    </row>
    <row r="58" spans="8:9" x14ac:dyDescent="0.25">
      <c r="H58">
        <v>57</v>
      </c>
      <c r="I58">
        <v>68.931638413869649</v>
      </c>
    </row>
    <row r="59" spans="8:9" x14ac:dyDescent="0.25">
      <c r="H59">
        <v>58</v>
      </c>
      <c r="I59">
        <v>55.914716982076264</v>
      </c>
    </row>
    <row r="60" spans="8:9" x14ac:dyDescent="0.25">
      <c r="H60">
        <v>59</v>
      </c>
      <c r="I60">
        <v>66.926095377233793</v>
      </c>
    </row>
    <row r="61" spans="8:9" x14ac:dyDescent="0.25">
      <c r="H61">
        <v>60</v>
      </c>
      <c r="I61">
        <v>67.833351465023185</v>
      </c>
    </row>
    <row r="62" spans="8:9" x14ac:dyDescent="0.25">
      <c r="H62">
        <v>61</v>
      </c>
      <c r="I62">
        <v>65.511216594647152</v>
      </c>
    </row>
    <row r="63" spans="8:9" x14ac:dyDescent="0.25">
      <c r="H63">
        <v>62</v>
      </c>
      <c r="I63">
        <v>50.428790340344037</v>
      </c>
    </row>
    <row r="64" spans="8:9" x14ac:dyDescent="0.25">
      <c r="H64">
        <v>63</v>
      </c>
      <c r="I64">
        <v>65.962817155620115</v>
      </c>
    </row>
    <row r="65" spans="8:9" x14ac:dyDescent="0.25">
      <c r="H65">
        <v>64</v>
      </c>
      <c r="I65">
        <v>51.669414781397023</v>
      </c>
    </row>
    <row r="66" spans="8:9" x14ac:dyDescent="0.25">
      <c r="H66">
        <v>65</v>
      </c>
      <c r="I66">
        <v>63.381437211857552</v>
      </c>
    </row>
    <row r="67" spans="8:9" x14ac:dyDescent="0.25">
      <c r="H67">
        <v>66</v>
      </c>
      <c r="I67">
        <v>54.076078311898861</v>
      </c>
    </row>
    <row r="68" spans="8:9" x14ac:dyDescent="0.25">
      <c r="H68">
        <v>67</v>
      </c>
      <c r="I68">
        <v>62.064270572926326</v>
      </c>
    </row>
    <row r="69" spans="8:9" x14ac:dyDescent="0.25">
      <c r="H69">
        <v>68</v>
      </c>
      <c r="I69">
        <v>52.332282783116732</v>
      </c>
    </row>
    <row r="70" spans="8:9" x14ac:dyDescent="0.25">
      <c r="H70">
        <v>69</v>
      </c>
      <c r="I70">
        <v>57.845554903476987</v>
      </c>
    </row>
    <row r="71" spans="8:9" x14ac:dyDescent="0.25">
      <c r="H71">
        <v>70</v>
      </c>
      <c r="I71">
        <v>60.593146328126245</v>
      </c>
    </row>
    <row r="72" spans="8:9" x14ac:dyDescent="0.25">
      <c r="H72">
        <v>71</v>
      </c>
      <c r="I72">
        <v>67.943306159560478</v>
      </c>
    </row>
    <row r="73" spans="8:9" x14ac:dyDescent="0.25">
      <c r="H73">
        <v>72</v>
      </c>
      <c r="I73">
        <v>55.356015384329837</v>
      </c>
    </row>
    <row r="74" spans="8:9" x14ac:dyDescent="0.25">
      <c r="H74">
        <v>73</v>
      </c>
      <c r="I74">
        <v>61.496806783491465</v>
      </c>
    </row>
    <row r="75" spans="8:9" x14ac:dyDescent="0.25">
      <c r="H75">
        <v>74</v>
      </c>
      <c r="I75">
        <v>51.980714776477271</v>
      </c>
    </row>
    <row r="76" spans="8:9" x14ac:dyDescent="0.25">
      <c r="H76">
        <v>75</v>
      </c>
      <c r="I76">
        <v>62.806831179674894</v>
      </c>
    </row>
    <row r="77" spans="8:9" x14ac:dyDescent="0.25">
      <c r="H77">
        <v>76</v>
      </c>
      <c r="I77">
        <v>61.589092322028023</v>
      </c>
    </row>
    <row r="78" spans="8:9" x14ac:dyDescent="0.25">
      <c r="H78">
        <v>77</v>
      </c>
      <c r="I78">
        <v>57.981850409301472</v>
      </c>
    </row>
    <row r="79" spans="8:9" x14ac:dyDescent="0.25">
      <c r="H79">
        <v>78</v>
      </c>
      <c r="I79">
        <v>53.604691735805929</v>
      </c>
    </row>
    <row r="80" spans="8:9" x14ac:dyDescent="0.25">
      <c r="H80">
        <v>79</v>
      </c>
      <c r="I80">
        <v>58.522842486080485</v>
      </c>
    </row>
    <row r="81" spans="8:9" x14ac:dyDescent="0.25">
      <c r="H81">
        <v>80</v>
      </c>
      <c r="I81">
        <v>68.931116028757742</v>
      </c>
    </row>
    <row r="82" spans="8:9" x14ac:dyDescent="0.25">
      <c r="H82">
        <v>81</v>
      </c>
      <c r="I82">
        <v>60.497325497485249</v>
      </c>
    </row>
    <row r="83" spans="8:9" x14ac:dyDescent="0.25">
      <c r="H83">
        <v>82</v>
      </c>
      <c r="I83">
        <v>62.901668325688078</v>
      </c>
    </row>
    <row r="84" spans="8:9" x14ac:dyDescent="0.25">
      <c r="H84">
        <v>83</v>
      </c>
      <c r="I84">
        <v>47.480254091838248</v>
      </c>
    </row>
    <row r="85" spans="8:9" x14ac:dyDescent="0.25">
      <c r="H85">
        <v>84</v>
      </c>
      <c r="I85">
        <v>68.536717105037269</v>
      </c>
    </row>
    <row r="86" spans="8:9" x14ac:dyDescent="0.25">
      <c r="H86">
        <v>85</v>
      </c>
      <c r="I86">
        <v>65.986260878207545</v>
      </c>
    </row>
    <row r="87" spans="8:9" x14ac:dyDescent="0.25">
      <c r="H87">
        <v>86</v>
      </c>
      <c r="I87">
        <v>63.601965654051497</v>
      </c>
    </row>
    <row r="88" spans="8:9" x14ac:dyDescent="0.25">
      <c r="H88">
        <v>87</v>
      </c>
      <c r="I88">
        <v>53.837577645170136</v>
      </c>
    </row>
    <row r="89" spans="8:9" x14ac:dyDescent="0.25">
      <c r="H89">
        <v>88</v>
      </c>
      <c r="I89">
        <v>64.691062345210057</v>
      </c>
    </row>
    <row r="90" spans="8:9" x14ac:dyDescent="0.25">
      <c r="H90">
        <v>89</v>
      </c>
      <c r="I90">
        <v>61.066054206892566</v>
      </c>
    </row>
    <row r="91" spans="8:9" x14ac:dyDescent="0.25">
      <c r="H91">
        <v>90</v>
      </c>
      <c r="I91">
        <v>55.127156214249666</v>
      </c>
    </row>
    <row r="92" spans="8:9" x14ac:dyDescent="0.25">
      <c r="H92">
        <v>91</v>
      </c>
      <c r="I92">
        <v>68.910329349476029</v>
      </c>
    </row>
    <row r="93" spans="8:9" x14ac:dyDescent="0.25">
      <c r="H93">
        <v>92</v>
      </c>
      <c r="I93">
        <v>64.597291801702866</v>
      </c>
    </row>
    <row r="94" spans="8:9" x14ac:dyDescent="0.25">
      <c r="H94">
        <v>93</v>
      </c>
      <c r="I94">
        <v>53.695544685367466</v>
      </c>
    </row>
    <row r="95" spans="8:9" x14ac:dyDescent="0.25">
      <c r="H95">
        <v>94</v>
      </c>
      <c r="I95">
        <v>55.578925884392184</v>
      </c>
    </row>
    <row r="96" spans="8:9" x14ac:dyDescent="0.25">
      <c r="H96">
        <v>95</v>
      </c>
      <c r="I96">
        <v>67.8247094467648</v>
      </c>
    </row>
    <row r="97" spans="8:9" x14ac:dyDescent="0.25">
      <c r="H97">
        <v>96</v>
      </c>
      <c r="I97">
        <v>64.081190032125917</v>
      </c>
    </row>
    <row r="98" spans="8:9" x14ac:dyDescent="0.25">
      <c r="H98">
        <v>97</v>
      </c>
      <c r="I98">
        <v>57.198514698112362</v>
      </c>
    </row>
    <row r="99" spans="8:9" x14ac:dyDescent="0.25">
      <c r="H99">
        <v>98</v>
      </c>
      <c r="I99">
        <v>62.554467184087954</v>
      </c>
    </row>
    <row r="100" spans="8:9" x14ac:dyDescent="0.25">
      <c r="H100">
        <v>99</v>
      </c>
      <c r="I100">
        <v>61.141873307852826</v>
      </c>
    </row>
    <row r="101" spans="8:9" x14ac:dyDescent="0.25">
      <c r="H101">
        <v>100</v>
      </c>
      <c r="I101">
        <v>61.457190571564233</v>
      </c>
    </row>
    <row r="102" spans="8:9" x14ac:dyDescent="0.25">
      <c r="H102">
        <v>101</v>
      </c>
      <c r="I102">
        <v>59.932784617287425</v>
      </c>
    </row>
    <row r="103" spans="8:9" x14ac:dyDescent="0.25">
      <c r="H103">
        <v>102</v>
      </c>
      <c r="I103">
        <v>62.090724860206493</v>
      </c>
    </row>
    <row r="104" spans="8:9" x14ac:dyDescent="0.25">
      <c r="H104">
        <v>103</v>
      </c>
      <c r="I104">
        <v>68.938838677984393</v>
      </c>
    </row>
    <row r="105" spans="8:9" x14ac:dyDescent="0.25">
      <c r="H105">
        <v>104</v>
      </c>
      <c r="I105">
        <v>61.4873413610173</v>
      </c>
    </row>
    <row r="106" spans="8:9" x14ac:dyDescent="0.25">
      <c r="H106">
        <v>105</v>
      </c>
      <c r="I106">
        <v>48.708833629148032</v>
      </c>
    </row>
    <row r="107" spans="8:9" x14ac:dyDescent="0.25">
      <c r="H107">
        <v>106</v>
      </c>
      <c r="I107">
        <v>47.00187890504457</v>
      </c>
    </row>
    <row r="108" spans="8:9" x14ac:dyDescent="0.25">
      <c r="H108">
        <v>107</v>
      </c>
      <c r="I108">
        <v>68.02238106692586</v>
      </c>
    </row>
    <row r="109" spans="8:9" x14ac:dyDescent="0.25">
      <c r="H109">
        <v>108</v>
      </c>
      <c r="I109">
        <v>52.359931572152647</v>
      </c>
    </row>
    <row r="110" spans="8:9" x14ac:dyDescent="0.25">
      <c r="H110">
        <v>109</v>
      </c>
      <c r="I110">
        <v>65.522427814058631</v>
      </c>
    </row>
    <row r="111" spans="8:9" x14ac:dyDescent="0.25">
      <c r="H111">
        <v>110</v>
      </c>
      <c r="I111">
        <v>62.473631579486693</v>
      </c>
    </row>
    <row r="112" spans="8:9" x14ac:dyDescent="0.25">
      <c r="H112">
        <v>111</v>
      </c>
      <c r="I112">
        <v>59.548597986499047</v>
      </c>
    </row>
    <row r="113" spans="8:9" x14ac:dyDescent="0.25">
      <c r="H113">
        <v>112</v>
      </c>
      <c r="I113">
        <v>50.447153430486033</v>
      </c>
    </row>
    <row r="114" spans="8:9" x14ac:dyDescent="0.25">
      <c r="H114">
        <v>113</v>
      </c>
      <c r="I114">
        <v>66.613091421066287</v>
      </c>
    </row>
    <row r="115" spans="8:9" x14ac:dyDescent="0.25">
      <c r="H115">
        <v>114</v>
      </c>
      <c r="I115">
        <v>65.196911185025797</v>
      </c>
    </row>
    <row r="116" spans="8:9" x14ac:dyDescent="0.25">
      <c r="H116">
        <v>115</v>
      </c>
      <c r="I116">
        <v>68.541269793329704</v>
      </c>
    </row>
    <row r="117" spans="8:9" x14ac:dyDescent="0.25">
      <c r="H117">
        <v>116</v>
      </c>
      <c r="I117">
        <v>61.106984288737635</v>
      </c>
    </row>
    <row r="118" spans="8:9" x14ac:dyDescent="0.25">
      <c r="H118">
        <v>117</v>
      </c>
      <c r="I118">
        <v>68.597504403039864</v>
      </c>
    </row>
    <row r="119" spans="8:9" x14ac:dyDescent="0.25">
      <c r="H119">
        <v>118</v>
      </c>
      <c r="I119">
        <v>58.965473011863516</v>
      </c>
    </row>
    <row r="120" spans="8:9" x14ac:dyDescent="0.25">
      <c r="H120">
        <v>119</v>
      </c>
      <c r="I120">
        <v>64.12481438445603</v>
      </c>
    </row>
    <row r="121" spans="8:9" x14ac:dyDescent="0.25">
      <c r="H121">
        <v>120</v>
      </c>
      <c r="I121">
        <v>67.244648606313717</v>
      </c>
    </row>
    <row r="122" spans="8:9" x14ac:dyDescent="0.25">
      <c r="H122">
        <v>121</v>
      </c>
      <c r="I122">
        <v>58.43439353539415</v>
      </c>
    </row>
    <row r="123" spans="8:9" x14ac:dyDescent="0.25">
      <c r="H123">
        <v>122</v>
      </c>
      <c r="I123">
        <v>66.764584131214576</v>
      </c>
    </row>
    <row r="124" spans="8:9" x14ac:dyDescent="0.25">
      <c r="H124">
        <v>123</v>
      </c>
      <c r="I124">
        <v>68.259057289285849</v>
      </c>
    </row>
    <row r="125" spans="8:9" x14ac:dyDescent="0.25">
      <c r="H125">
        <v>124</v>
      </c>
      <c r="I125">
        <v>48.031332805135548</v>
      </c>
    </row>
    <row r="126" spans="8:9" x14ac:dyDescent="0.25">
      <c r="H126">
        <v>125</v>
      </c>
      <c r="I126">
        <v>58.948727694372486</v>
      </c>
    </row>
    <row r="127" spans="8:9" x14ac:dyDescent="0.25">
      <c r="H127">
        <v>126</v>
      </c>
      <c r="I127">
        <v>60.814103402324399</v>
      </c>
    </row>
    <row r="128" spans="8:9" x14ac:dyDescent="0.25">
      <c r="H128">
        <v>127</v>
      </c>
      <c r="I128">
        <v>40.615040563108735</v>
      </c>
    </row>
    <row r="129" spans="8:9" x14ac:dyDescent="0.25">
      <c r="H129">
        <v>128</v>
      </c>
      <c r="I129">
        <v>60.478790762004657</v>
      </c>
    </row>
    <row r="130" spans="8:9" x14ac:dyDescent="0.25">
      <c r="H130">
        <v>129</v>
      </c>
      <c r="I130">
        <v>69.094289517659675</v>
      </c>
    </row>
    <row r="131" spans="8:9" x14ac:dyDescent="0.25">
      <c r="H131">
        <v>130</v>
      </c>
      <c r="I131">
        <v>63.975657764754366</v>
      </c>
    </row>
    <row r="132" spans="8:9" x14ac:dyDescent="0.25">
      <c r="H132">
        <v>131</v>
      </c>
      <c r="I132">
        <v>62.956790903423268</v>
      </c>
    </row>
    <row r="133" spans="8:9" x14ac:dyDescent="0.25">
      <c r="H133">
        <v>132</v>
      </c>
      <c r="I133">
        <v>57.18306669193678</v>
      </c>
    </row>
    <row r="134" spans="8:9" x14ac:dyDescent="0.25">
      <c r="H134">
        <v>133</v>
      </c>
      <c r="I134">
        <v>37.511978734335436</v>
      </c>
    </row>
    <row r="135" spans="8:9" x14ac:dyDescent="0.25">
      <c r="H135">
        <v>134</v>
      </c>
      <c r="I135">
        <v>66.953091678942428</v>
      </c>
    </row>
    <row r="136" spans="8:9" x14ac:dyDescent="0.25">
      <c r="H136">
        <v>135</v>
      </c>
      <c r="I136">
        <v>50.420223802475547</v>
      </c>
    </row>
    <row r="137" spans="8:9" x14ac:dyDescent="0.25">
      <c r="H137">
        <v>136</v>
      </c>
      <c r="I137">
        <v>65.060086479748136</v>
      </c>
    </row>
    <row r="138" spans="8:9" x14ac:dyDescent="0.25">
      <c r="H138">
        <v>137</v>
      </c>
      <c r="I138">
        <v>59.112497046038605</v>
      </c>
    </row>
    <row r="139" spans="8:9" x14ac:dyDescent="0.25">
      <c r="H139">
        <v>138</v>
      </c>
      <c r="I139">
        <v>65.442378290013707</v>
      </c>
    </row>
    <row r="140" spans="8:9" x14ac:dyDescent="0.25">
      <c r="H140">
        <v>139</v>
      </c>
      <c r="I140">
        <v>62.432721964027543</v>
      </c>
    </row>
    <row r="141" spans="8:9" x14ac:dyDescent="0.25">
      <c r="H141">
        <v>140</v>
      </c>
      <c r="I141">
        <v>64.857508016828504</v>
      </c>
    </row>
    <row r="142" spans="8:9" x14ac:dyDescent="0.25">
      <c r="H142">
        <v>141</v>
      </c>
      <c r="I142">
        <v>62.865528261053541</v>
      </c>
    </row>
    <row r="143" spans="8:9" x14ac:dyDescent="0.25">
      <c r="H143">
        <v>142</v>
      </c>
      <c r="I143">
        <v>56.51753198233439</v>
      </c>
    </row>
    <row r="144" spans="8:9" x14ac:dyDescent="0.25">
      <c r="H144">
        <v>143</v>
      </c>
      <c r="I144">
        <v>59.914475206208635</v>
      </c>
    </row>
    <row r="145" spans="8:9" x14ac:dyDescent="0.25">
      <c r="H145">
        <v>144</v>
      </c>
      <c r="I145">
        <v>59.683754597571024</v>
      </c>
    </row>
    <row r="146" spans="8:9" x14ac:dyDescent="0.25">
      <c r="H146">
        <v>145</v>
      </c>
      <c r="I146">
        <v>57.450303897574933</v>
      </c>
    </row>
    <row r="147" spans="8:9" x14ac:dyDescent="0.25">
      <c r="H147">
        <v>146</v>
      </c>
      <c r="I147">
        <v>60.391431123483919</v>
      </c>
    </row>
    <row r="148" spans="8:9" x14ac:dyDescent="0.25">
      <c r="H148">
        <v>147</v>
      </c>
      <c r="I148">
        <v>58.057940737326298</v>
      </c>
    </row>
    <row r="149" spans="8:9" x14ac:dyDescent="0.25">
      <c r="H149">
        <v>148</v>
      </c>
      <c r="I149">
        <v>67.86928924031362</v>
      </c>
    </row>
    <row r="150" spans="8:9" x14ac:dyDescent="0.25">
      <c r="H150">
        <v>149</v>
      </c>
      <c r="I150">
        <v>58.566101340412743</v>
      </c>
    </row>
    <row r="151" spans="8:9" x14ac:dyDescent="0.25">
      <c r="H151">
        <v>150</v>
      </c>
      <c r="I151">
        <v>55.152277946744441</v>
      </c>
    </row>
    <row r="152" spans="8:9" x14ac:dyDescent="0.25">
      <c r="H152">
        <v>151</v>
      </c>
      <c r="I152">
        <v>62.342873765947999</v>
      </c>
    </row>
    <row r="153" spans="8:9" x14ac:dyDescent="0.25">
      <c r="H153">
        <v>152</v>
      </c>
      <c r="I153">
        <v>68.613484044428517</v>
      </c>
    </row>
    <row r="154" spans="8:9" x14ac:dyDescent="0.25">
      <c r="H154">
        <v>153</v>
      </c>
      <c r="I154">
        <v>68.914227834919998</v>
      </c>
    </row>
    <row r="155" spans="8:9" x14ac:dyDescent="0.25">
      <c r="H155">
        <v>154</v>
      </c>
      <c r="I155">
        <v>63.629796885945368</v>
      </c>
    </row>
    <row r="156" spans="8:9" x14ac:dyDescent="0.25">
      <c r="H156">
        <v>155</v>
      </c>
      <c r="I156">
        <v>62.873226037027059</v>
      </c>
    </row>
    <row r="157" spans="8:9" x14ac:dyDescent="0.25">
      <c r="H157">
        <v>156</v>
      </c>
      <c r="I157">
        <v>62.954169673646035</v>
      </c>
    </row>
    <row r="158" spans="8:9" x14ac:dyDescent="0.25">
      <c r="H158">
        <v>157</v>
      </c>
      <c r="I158">
        <v>61.524994026319114</v>
      </c>
    </row>
    <row r="159" spans="8:9" x14ac:dyDescent="0.25">
      <c r="H159">
        <v>158</v>
      </c>
      <c r="I159">
        <v>56.419546394852716</v>
      </c>
    </row>
    <row r="160" spans="8:9" x14ac:dyDescent="0.25">
      <c r="H160">
        <v>159</v>
      </c>
      <c r="I160">
        <v>59.166751035313453</v>
      </c>
    </row>
    <row r="161" spans="8:9" x14ac:dyDescent="0.25">
      <c r="H161">
        <v>160</v>
      </c>
      <c r="I161">
        <v>55.108864788347447</v>
      </c>
    </row>
    <row r="162" spans="8:9" x14ac:dyDescent="0.25">
      <c r="H162">
        <v>161</v>
      </c>
      <c r="I162">
        <v>61.925963030167345</v>
      </c>
    </row>
    <row r="163" spans="8:9" x14ac:dyDescent="0.25">
      <c r="H163">
        <v>162</v>
      </c>
      <c r="I163">
        <v>56.941356733690277</v>
      </c>
    </row>
    <row r="164" spans="8:9" x14ac:dyDescent="0.25">
      <c r="H164">
        <v>163</v>
      </c>
      <c r="I164">
        <v>52.996680865514747</v>
      </c>
    </row>
    <row r="165" spans="8:9" x14ac:dyDescent="0.25">
      <c r="H165">
        <v>164</v>
      </c>
      <c r="I165">
        <v>63.264732758403831</v>
      </c>
    </row>
    <row r="166" spans="8:9" x14ac:dyDescent="0.25">
      <c r="H166">
        <v>165</v>
      </c>
      <c r="I166">
        <v>61.177680762548412</v>
      </c>
    </row>
    <row r="167" spans="8:9" x14ac:dyDescent="0.25">
      <c r="H167">
        <v>166</v>
      </c>
      <c r="I167">
        <v>57.205941872506401</v>
      </c>
    </row>
    <row r="168" spans="8:9" x14ac:dyDescent="0.25">
      <c r="H168">
        <v>167</v>
      </c>
      <c r="I168">
        <v>66.64140339338779</v>
      </c>
    </row>
    <row r="169" spans="8:9" x14ac:dyDescent="0.25">
      <c r="H169">
        <v>168</v>
      </c>
      <c r="I169">
        <v>68.638293946521571</v>
      </c>
    </row>
    <row r="170" spans="8:9" x14ac:dyDescent="0.25">
      <c r="H170">
        <v>169</v>
      </c>
      <c r="I170">
        <v>68.534068039287149</v>
      </c>
    </row>
    <row r="171" spans="8:9" x14ac:dyDescent="0.25">
      <c r="H171">
        <v>170</v>
      </c>
      <c r="I171">
        <v>62.805146718242455</v>
      </c>
    </row>
    <row r="172" spans="8:9" x14ac:dyDescent="0.25">
      <c r="H172">
        <v>171</v>
      </c>
      <c r="I172">
        <v>58.112088082526455</v>
      </c>
    </row>
    <row r="173" spans="8:9" x14ac:dyDescent="0.25">
      <c r="H173">
        <v>172</v>
      </c>
      <c r="I173">
        <v>69.55077869746205</v>
      </c>
    </row>
    <row r="174" spans="8:9" x14ac:dyDescent="0.25">
      <c r="H174">
        <v>173</v>
      </c>
      <c r="I174">
        <v>64.996928552290839</v>
      </c>
    </row>
    <row r="175" spans="8:9" x14ac:dyDescent="0.25">
      <c r="H175">
        <v>174</v>
      </c>
      <c r="I175">
        <v>62.532062242031728</v>
      </c>
    </row>
    <row r="176" spans="8:9" x14ac:dyDescent="0.25">
      <c r="H176">
        <v>175</v>
      </c>
      <c r="I176">
        <v>49.925836831813449</v>
      </c>
    </row>
    <row r="177" spans="8:9" x14ac:dyDescent="0.25">
      <c r="H177">
        <v>176</v>
      </c>
      <c r="I177">
        <v>56.613467879011196</v>
      </c>
    </row>
    <row r="178" spans="8:9" x14ac:dyDescent="0.25">
      <c r="H178">
        <v>177</v>
      </c>
      <c r="I178">
        <v>68.07455147809857</v>
      </c>
    </row>
    <row r="179" spans="8:9" x14ac:dyDescent="0.25">
      <c r="H179">
        <v>178</v>
      </c>
      <c r="I179">
        <v>55.252997135475056</v>
      </c>
    </row>
    <row r="180" spans="8:9" x14ac:dyDescent="0.25">
      <c r="H180">
        <v>179</v>
      </c>
      <c r="I180">
        <v>56.725334857967496</v>
      </c>
    </row>
    <row r="181" spans="8:9" x14ac:dyDescent="0.25">
      <c r="H181">
        <v>180</v>
      </c>
      <c r="I181">
        <v>56.561125782988967</v>
      </c>
    </row>
    <row r="182" spans="8:9" x14ac:dyDescent="0.25">
      <c r="H182">
        <v>181</v>
      </c>
      <c r="I182">
        <v>53.2025153556813</v>
      </c>
    </row>
    <row r="183" spans="8:9" x14ac:dyDescent="0.25">
      <c r="H183">
        <v>182</v>
      </c>
      <c r="I183">
        <v>70.080115916995197</v>
      </c>
    </row>
    <row r="184" spans="8:9" x14ac:dyDescent="0.25">
      <c r="H184">
        <v>183</v>
      </c>
      <c r="I184">
        <v>61.313332186868877</v>
      </c>
    </row>
    <row r="185" spans="8:9" x14ac:dyDescent="0.25">
      <c r="H185">
        <v>184</v>
      </c>
      <c r="I185">
        <v>63.157145438901267</v>
      </c>
    </row>
    <row r="186" spans="8:9" x14ac:dyDescent="0.25">
      <c r="H186">
        <v>185</v>
      </c>
      <c r="I186">
        <v>57.579705579608913</v>
      </c>
    </row>
    <row r="187" spans="8:9" x14ac:dyDescent="0.25">
      <c r="H187">
        <v>186</v>
      </c>
      <c r="I187">
        <v>46.313978017276291</v>
      </c>
    </row>
    <row r="188" spans="8:9" x14ac:dyDescent="0.25">
      <c r="H188">
        <v>187</v>
      </c>
      <c r="I188">
        <v>69.46490992348626</v>
      </c>
    </row>
    <row r="189" spans="8:9" x14ac:dyDescent="0.25">
      <c r="H189">
        <v>188</v>
      </c>
      <c r="I189">
        <v>67.529334828164906</v>
      </c>
    </row>
    <row r="190" spans="8:9" x14ac:dyDescent="0.25">
      <c r="H190">
        <v>189</v>
      </c>
      <c r="I190">
        <v>56.665739225932469</v>
      </c>
    </row>
    <row r="191" spans="8:9" x14ac:dyDescent="0.25">
      <c r="H191">
        <v>190</v>
      </c>
      <c r="I191">
        <v>65.435404916763318</v>
      </c>
    </row>
    <row r="192" spans="8:9" x14ac:dyDescent="0.25">
      <c r="H192">
        <v>191</v>
      </c>
      <c r="I192">
        <v>69.61111805528644</v>
      </c>
    </row>
    <row r="193" spans="8:9" x14ac:dyDescent="0.25">
      <c r="H193">
        <v>192</v>
      </c>
      <c r="I193">
        <v>64.126601691690581</v>
      </c>
    </row>
    <row r="194" spans="8:9" x14ac:dyDescent="0.25">
      <c r="H194">
        <v>193</v>
      </c>
      <c r="I194">
        <v>67.145392818043177</v>
      </c>
    </row>
    <row r="195" spans="8:9" x14ac:dyDescent="0.25">
      <c r="H195">
        <v>194</v>
      </c>
      <c r="I195">
        <v>62.640054141003915</v>
      </c>
    </row>
    <row r="196" spans="8:9" x14ac:dyDescent="0.25">
      <c r="H196">
        <v>195</v>
      </c>
      <c r="I196">
        <v>59.261857366216503</v>
      </c>
    </row>
    <row r="197" spans="8:9" x14ac:dyDescent="0.25">
      <c r="H197">
        <v>196</v>
      </c>
      <c r="I197">
        <v>67.635458630636734</v>
      </c>
    </row>
    <row r="198" spans="8:9" x14ac:dyDescent="0.25">
      <c r="H198">
        <v>197</v>
      </c>
      <c r="I198">
        <v>57.657530701668485</v>
      </c>
    </row>
    <row r="199" spans="8:9" x14ac:dyDescent="0.25">
      <c r="H199">
        <v>198</v>
      </c>
      <c r="I199">
        <v>68.065150809639931</v>
      </c>
    </row>
    <row r="200" spans="8:9" x14ac:dyDescent="0.25">
      <c r="H200">
        <v>199</v>
      </c>
      <c r="I200">
        <v>63.473923503303205</v>
      </c>
    </row>
    <row r="201" spans="8:9" x14ac:dyDescent="0.25">
      <c r="H201">
        <v>200</v>
      </c>
      <c r="I201">
        <v>63.167361587090816</v>
      </c>
    </row>
    <row r="202" spans="8:9" x14ac:dyDescent="0.25">
      <c r="H202">
        <v>201</v>
      </c>
      <c r="I202">
        <v>52.745131312071564</v>
      </c>
    </row>
    <row r="203" spans="8:9" x14ac:dyDescent="0.25">
      <c r="H203">
        <v>202</v>
      </c>
      <c r="I203">
        <v>63.255326582343727</v>
      </c>
    </row>
    <row r="204" spans="8:9" x14ac:dyDescent="0.25">
      <c r="H204">
        <v>203</v>
      </c>
      <c r="I204">
        <v>70.85176387795957</v>
      </c>
    </row>
    <row r="205" spans="8:9" x14ac:dyDescent="0.25">
      <c r="H205">
        <v>204</v>
      </c>
      <c r="I205">
        <v>56.152356342606552</v>
      </c>
    </row>
    <row r="206" spans="8:9" x14ac:dyDescent="0.25">
      <c r="H206">
        <v>205</v>
      </c>
      <c r="I206">
        <v>61.732411745653152</v>
      </c>
    </row>
    <row r="207" spans="8:9" x14ac:dyDescent="0.25">
      <c r="H207">
        <v>206</v>
      </c>
      <c r="I207">
        <v>68.486333960789821</v>
      </c>
    </row>
    <row r="208" spans="8:9" x14ac:dyDescent="0.25">
      <c r="H208">
        <v>207</v>
      </c>
      <c r="I208">
        <v>65.158987653512909</v>
      </c>
    </row>
    <row r="209" spans="8:9" x14ac:dyDescent="0.25">
      <c r="H209">
        <v>208</v>
      </c>
      <c r="I209">
        <v>68.722084616054232</v>
      </c>
    </row>
    <row r="210" spans="8:9" x14ac:dyDescent="0.25">
      <c r="H210">
        <v>209</v>
      </c>
      <c r="I210">
        <v>63.355982070446899</v>
      </c>
    </row>
    <row r="211" spans="8:9" x14ac:dyDescent="0.25">
      <c r="H211">
        <v>210</v>
      </c>
      <c r="I211">
        <v>61.537191439395862</v>
      </c>
    </row>
    <row r="212" spans="8:9" x14ac:dyDescent="0.25">
      <c r="H212">
        <v>211</v>
      </c>
      <c r="I212">
        <v>52.100009455250472</v>
      </c>
    </row>
    <row r="213" spans="8:9" x14ac:dyDescent="0.25">
      <c r="H213">
        <v>212</v>
      </c>
      <c r="I213">
        <v>66.457309786870255</v>
      </c>
    </row>
    <row r="214" spans="8:9" x14ac:dyDescent="0.25">
      <c r="H214">
        <v>213</v>
      </c>
      <c r="I214">
        <v>62.40602724642229</v>
      </c>
    </row>
    <row r="215" spans="8:9" x14ac:dyDescent="0.25">
      <c r="H215">
        <v>214</v>
      </c>
      <c r="I215">
        <v>68.798642225300881</v>
      </c>
    </row>
    <row r="216" spans="8:9" x14ac:dyDescent="0.25">
      <c r="H216">
        <v>215</v>
      </c>
      <c r="I216">
        <v>58.868336652801894</v>
      </c>
    </row>
    <row r="217" spans="8:9" x14ac:dyDescent="0.25">
      <c r="H217">
        <v>216</v>
      </c>
      <c r="I217">
        <v>61.319493690075795</v>
      </c>
    </row>
    <row r="218" spans="8:9" x14ac:dyDescent="0.25">
      <c r="H218">
        <v>217</v>
      </c>
      <c r="I218">
        <v>51.708084230692521</v>
      </c>
    </row>
    <row r="219" spans="8:9" x14ac:dyDescent="0.25">
      <c r="H219">
        <v>218</v>
      </c>
      <c r="I219">
        <v>54.442369525061011</v>
      </c>
    </row>
    <row r="220" spans="8:9" x14ac:dyDescent="0.25">
      <c r="H220">
        <v>219</v>
      </c>
      <c r="I220">
        <v>67.403785101086271</v>
      </c>
    </row>
    <row r="221" spans="8:9" x14ac:dyDescent="0.25">
      <c r="H221">
        <v>220</v>
      </c>
      <c r="I221">
        <v>61.787869174424628</v>
      </c>
    </row>
    <row r="222" spans="8:9" x14ac:dyDescent="0.25">
      <c r="H222">
        <v>221</v>
      </c>
      <c r="I222">
        <v>68.962949410027619</v>
      </c>
    </row>
    <row r="223" spans="8:9" x14ac:dyDescent="0.25">
      <c r="H223">
        <v>222</v>
      </c>
      <c r="I223">
        <v>66.534005359820299</v>
      </c>
    </row>
    <row r="224" spans="8:9" x14ac:dyDescent="0.25">
      <c r="H224">
        <v>223</v>
      </c>
      <c r="I224">
        <v>61.584817032859306</v>
      </c>
    </row>
    <row r="225" spans="8:9" x14ac:dyDescent="0.25">
      <c r="H225">
        <v>224</v>
      </c>
      <c r="I225">
        <v>54.078700110218151</v>
      </c>
    </row>
    <row r="226" spans="8:9" x14ac:dyDescent="0.25">
      <c r="H226">
        <v>225</v>
      </c>
      <c r="I226">
        <v>62.280140283125888</v>
      </c>
    </row>
    <row r="227" spans="8:9" x14ac:dyDescent="0.25">
      <c r="H227">
        <v>226</v>
      </c>
      <c r="I227">
        <v>57.157871222003457</v>
      </c>
    </row>
    <row r="228" spans="8:9" x14ac:dyDescent="0.25">
      <c r="H228">
        <v>227</v>
      </c>
      <c r="I228">
        <v>68.062567509940848</v>
      </c>
    </row>
    <row r="229" spans="8:9" x14ac:dyDescent="0.25">
      <c r="H229">
        <v>228</v>
      </c>
      <c r="I229">
        <v>66.421765875479338</v>
      </c>
    </row>
    <row r="230" spans="8:9" x14ac:dyDescent="0.25">
      <c r="H230">
        <v>229</v>
      </c>
      <c r="I230">
        <v>68.71317941682095</v>
      </c>
    </row>
    <row r="231" spans="8:9" x14ac:dyDescent="0.25">
      <c r="H231">
        <v>230</v>
      </c>
      <c r="I231">
        <v>68.300623904558563</v>
      </c>
    </row>
    <row r="232" spans="8:9" x14ac:dyDescent="0.25">
      <c r="H232">
        <v>231</v>
      </c>
      <c r="I232">
        <v>58.108381882176943</v>
      </c>
    </row>
    <row r="233" spans="8:9" x14ac:dyDescent="0.25">
      <c r="H233">
        <v>232</v>
      </c>
      <c r="I233">
        <v>58.963757815227147</v>
      </c>
    </row>
    <row r="234" spans="8:9" x14ac:dyDescent="0.25">
      <c r="H234">
        <v>233</v>
      </c>
      <c r="I234">
        <v>68.15303806485008</v>
      </c>
    </row>
    <row r="235" spans="8:9" x14ac:dyDescent="0.25">
      <c r="H235">
        <v>234</v>
      </c>
      <c r="I235">
        <v>61.328802028106537</v>
      </c>
    </row>
    <row r="236" spans="8:9" x14ac:dyDescent="0.25">
      <c r="H236">
        <v>235</v>
      </c>
      <c r="I236">
        <v>63.190228191982449</v>
      </c>
    </row>
    <row r="237" spans="8:9" x14ac:dyDescent="0.25">
      <c r="H237">
        <v>236</v>
      </c>
      <c r="I237">
        <v>59.370320326578316</v>
      </c>
    </row>
    <row r="238" spans="8:9" x14ac:dyDescent="0.25">
      <c r="H238">
        <v>237</v>
      </c>
      <c r="I238">
        <v>57.26680551611198</v>
      </c>
    </row>
    <row r="239" spans="8:9" x14ac:dyDescent="0.25">
      <c r="H239">
        <v>238</v>
      </c>
      <c r="I239">
        <v>56.721385339771373</v>
      </c>
    </row>
    <row r="240" spans="8:9" x14ac:dyDescent="0.25">
      <c r="H240">
        <v>239</v>
      </c>
      <c r="I240">
        <v>67.101856599281206</v>
      </c>
    </row>
    <row r="241" spans="8:9" x14ac:dyDescent="0.25">
      <c r="H241">
        <v>240</v>
      </c>
      <c r="I241">
        <v>42.296012238932292</v>
      </c>
    </row>
    <row r="242" spans="8:9" x14ac:dyDescent="0.25">
      <c r="H242">
        <v>241</v>
      </c>
      <c r="I242">
        <v>63.7985454853345</v>
      </c>
    </row>
    <row r="243" spans="8:9" x14ac:dyDescent="0.25">
      <c r="H243">
        <v>242</v>
      </c>
      <c r="I243">
        <v>44.357699781489423</v>
      </c>
    </row>
    <row r="244" spans="8:9" x14ac:dyDescent="0.25">
      <c r="H244">
        <v>243</v>
      </c>
      <c r="I244">
        <v>52.097173697068904</v>
      </c>
    </row>
    <row r="245" spans="8:9" x14ac:dyDescent="0.25">
      <c r="H245">
        <v>244</v>
      </c>
      <c r="I245">
        <v>64.626011854922353</v>
      </c>
    </row>
    <row r="246" spans="8:9" x14ac:dyDescent="0.25">
      <c r="H246">
        <v>245</v>
      </c>
      <c r="I246">
        <v>63.830902229750009</v>
      </c>
    </row>
    <row r="247" spans="8:9" x14ac:dyDescent="0.25">
      <c r="H247">
        <v>246</v>
      </c>
      <c r="I247">
        <v>58.818241598711765</v>
      </c>
    </row>
    <row r="248" spans="8:9" x14ac:dyDescent="0.25">
      <c r="H248">
        <v>247</v>
      </c>
      <c r="I248">
        <v>56.001575220682426</v>
      </c>
    </row>
    <row r="249" spans="8:9" x14ac:dyDescent="0.25">
      <c r="H249">
        <v>248</v>
      </c>
      <c r="I249">
        <v>68.876791086438899</v>
      </c>
    </row>
    <row r="250" spans="8:9" x14ac:dyDescent="0.25">
      <c r="H250">
        <v>249</v>
      </c>
      <c r="I250">
        <v>64.871759855484015</v>
      </c>
    </row>
    <row r="251" spans="8:9" x14ac:dyDescent="0.25">
      <c r="H251">
        <v>250</v>
      </c>
      <c r="I251">
        <v>61.790313504765194</v>
      </c>
    </row>
    <row r="252" spans="8:9" x14ac:dyDescent="0.25">
      <c r="H252">
        <v>251</v>
      </c>
      <c r="I252">
        <v>56.884169635427</v>
      </c>
    </row>
    <row r="253" spans="8:9" x14ac:dyDescent="0.25">
      <c r="H253">
        <v>252</v>
      </c>
      <c r="I253">
        <v>43.30289477831559</v>
      </c>
    </row>
    <row r="254" spans="8:9" x14ac:dyDescent="0.25">
      <c r="H254">
        <v>253</v>
      </c>
      <c r="I254">
        <v>68.153471214253614</v>
      </c>
    </row>
    <row r="255" spans="8:9" x14ac:dyDescent="0.25">
      <c r="H255">
        <v>254</v>
      </c>
      <c r="I255">
        <v>62.334308175648147</v>
      </c>
    </row>
    <row r="256" spans="8:9" x14ac:dyDescent="0.25">
      <c r="H256">
        <v>255</v>
      </c>
      <c r="I256">
        <v>57.82771232801305</v>
      </c>
    </row>
    <row r="257" spans="8:9" x14ac:dyDescent="0.25">
      <c r="H257">
        <v>256</v>
      </c>
      <c r="I257">
        <v>57.809353844361169</v>
      </c>
    </row>
    <row r="258" spans="8:9" x14ac:dyDescent="0.25">
      <c r="H258">
        <v>257</v>
      </c>
      <c r="I258">
        <v>62.234841306394131</v>
      </c>
    </row>
    <row r="259" spans="8:9" x14ac:dyDescent="0.25">
      <c r="H259">
        <v>258</v>
      </c>
      <c r="I259">
        <v>68.383118365360147</v>
      </c>
    </row>
    <row r="260" spans="8:9" x14ac:dyDescent="0.25">
      <c r="H260">
        <v>259</v>
      </c>
      <c r="I260">
        <v>68.217098043870678</v>
      </c>
    </row>
    <row r="261" spans="8:9" x14ac:dyDescent="0.25">
      <c r="H261">
        <v>260</v>
      </c>
      <c r="I261">
        <v>62.405396229032114</v>
      </c>
    </row>
    <row r="262" spans="8:9" x14ac:dyDescent="0.25">
      <c r="H262">
        <v>261</v>
      </c>
      <c r="I262">
        <v>67.923698721079305</v>
      </c>
    </row>
    <row r="263" spans="8:9" x14ac:dyDescent="0.25">
      <c r="H263">
        <v>262</v>
      </c>
      <c r="I263">
        <v>56.31634614616371</v>
      </c>
    </row>
    <row r="264" spans="8:9" x14ac:dyDescent="0.25">
      <c r="H264">
        <v>263</v>
      </c>
      <c r="I264">
        <v>57.472554989400727</v>
      </c>
    </row>
    <row r="265" spans="8:9" x14ac:dyDescent="0.25">
      <c r="H265">
        <v>264</v>
      </c>
      <c r="I265">
        <v>62.897180140440923</v>
      </c>
    </row>
    <row r="266" spans="8:9" x14ac:dyDescent="0.25">
      <c r="H266">
        <v>265</v>
      </c>
      <c r="I266">
        <v>62.50871663370274</v>
      </c>
    </row>
    <row r="267" spans="8:9" x14ac:dyDescent="0.25">
      <c r="H267">
        <v>266</v>
      </c>
      <c r="I267">
        <v>67.902863376932444</v>
      </c>
    </row>
    <row r="268" spans="8:9" x14ac:dyDescent="0.25">
      <c r="H268">
        <v>267</v>
      </c>
      <c r="I268">
        <v>53.630360307322015</v>
      </c>
    </row>
    <row r="269" spans="8:9" x14ac:dyDescent="0.25">
      <c r="H269">
        <v>268</v>
      </c>
      <c r="I269">
        <v>67.996810307563223</v>
      </c>
    </row>
    <row r="270" spans="8:9" x14ac:dyDescent="0.25">
      <c r="H270">
        <v>269</v>
      </c>
      <c r="I270">
        <v>49.435125100966488</v>
      </c>
    </row>
    <row r="271" spans="8:9" x14ac:dyDescent="0.25">
      <c r="H271">
        <v>270</v>
      </c>
      <c r="I271">
        <v>59.928885125135309</v>
      </c>
    </row>
    <row r="272" spans="8:9" x14ac:dyDescent="0.25">
      <c r="H272">
        <v>271</v>
      </c>
      <c r="I272">
        <v>68.898976272205928</v>
      </c>
    </row>
    <row r="273" spans="8:9" x14ac:dyDescent="0.25">
      <c r="H273">
        <v>272</v>
      </c>
      <c r="I273">
        <v>63.296109933205784</v>
      </c>
    </row>
    <row r="274" spans="8:9" x14ac:dyDescent="0.25">
      <c r="H274">
        <v>273</v>
      </c>
      <c r="I274">
        <v>62.592491898453794</v>
      </c>
    </row>
    <row r="275" spans="8:9" x14ac:dyDescent="0.25">
      <c r="H275">
        <v>274</v>
      </c>
      <c r="I275">
        <v>68.976637903859455</v>
      </c>
    </row>
    <row r="276" spans="8:9" x14ac:dyDescent="0.25">
      <c r="H276">
        <v>275</v>
      </c>
      <c r="I276">
        <v>65.570529556695803</v>
      </c>
    </row>
    <row r="277" spans="8:9" x14ac:dyDescent="0.25">
      <c r="H277">
        <v>276</v>
      </c>
      <c r="I277">
        <v>57.161205696651777</v>
      </c>
    </row>
    <row r="278" spans="8:9" x14ac:dyDescent="0.25">
      <c r="H278">
        <v>277</v>
      </c>
      <c r="I278">
        <v>69.470538153856751</v>
      </c>
    </row>
    <row r="279" spans="8:9" x14ac:dyDescent="0.25">
      <c r="H279">
        <v>278</v>
      </c>
      <c r="I279">
        <v>61.433093844259034</v>
      </c>
    </row>
    <row r="280" spans="8:9" x14ac:dyDescent="0.25">
      <c r="H280">
        <v>279</v>
      </c>
      <c r="I280">
        <v>68.060532660630074</v>
      </c>
    </row>
    <row r="281" spans="8:9" x14ac:dyDescent="0.25">
      <c r="H281">
        <v>280</v>
      </c>
      <c r="I281">
        <v>62.582566897219145</v>
      </c>
    </row>
    <row r="282" spans="8:9" x14ac:dyDescent="0.25">
      <c r="H282">
        <v>281</v>
      </c>
      <c r="I282">
        <v>66.632789715495164</v>
      </c>
    </row>
    <row r="283" spans="8:9" x14ac:dyDescent="0.25">
      <c r="H283">
        <v>282</v>
      </c>
      <c r="I283">
        <v>69.729113205462184</v>
      </c>
    </row>
    <row r="284" spans="8:9" x14ac:dyDescent="0.25">
      <c r="H284">
        <v>283</v>
      </c>
      <c r="I284">
        <v>64.067857655435148</v>
      </c>
    </row>
    <row r="285" spans="8:9" x14ac:dyDescent="0.25">
      <c r="H285">
        <v>284</v>
      </c>
      <c r="I285">
        <v>66.352212061151135</v>
      </c>
    </row>
    <row r="286" spans="8:9" x14ac:dyDescent="0.25">
      <c r="H286">
        <v>285</v>
      </c>
      <c r="I286">
        <v>57.455633886415548</v>
      </c>
    </row>
    <row r="287" spans="8:9" x14ac:dyDescent="0.25">
      <c r="H287">
        <v>286</v>
      </c>
      <c r="I287">
        <v>62.890009448194711</v>
      </c>
    </row>
    <row r="288" spans="8:9" x14ac:dyDescent="0.25">
      <c r="H288">
        <v>287</v>
      </c>
      <c r="I288">
        <v>58.106286294389363</v>
      </c>
    </row>
    <row r="289" spans="8:9" x14ac:dyDescent="0.25">
      <c r="H289">
        <v>288</v>
      </c>
      <c r="I289">
        <v>69.301559106446817</v>
      </c>
    </row>
    <row r="290" spans="8:9" x14ac:dyDescent="0.25">
      <c r="H290">
        <v>289</v>
      </c>
      <c r="I290">
        <v>67.665066671649058</v>
      </c>
    </row>
    <row r="291" spans="8:9" x14ac:dyDescent="0.25">
      <c r="H291">
        <v>290</v>
      </c>
      <c r="I291">
        <v>50.432910162307209</v>
      </c>
    </row>
    <row r="292" spans="8:9" x14ac:dyDescent="0.25">
      <c r="H292">
        <v>291</v>
      </c>
      <c r="I292">
        <v>55.861986223197434</v>
      </c>
    </row>
    <row r="293" spans="8:9" x14ac:dyDescent="0.25">
      <c r="H293">
        <v>292</v>
      </c>
      <c r="I293">
        <v>68.571769089136012</v>
      </c>
    </row>
    <row r="294" spans="8:9" x14ac:dyDescent="0.25">
      <c r="H294">
        <v>293</v>
      </c>
      <c r="I294">
        <v>46.278662918703006</v>
      </c>
    </row>
    <row r="295" spans="8:9" x14ac:dyDescent="0.25">
      <c r="H295">
        <v>294</v>
      </c>
      <c r="I295">
        <v>65.401833085797691</v>
      </c>
    </row>
    <row r="296" spans="8:9" x14ac:dyDescent="0.25">
      <c r="H296">
        <v>295</v>
      </c>
      <c r="I296">
        <v>61.780577722073062</v>
      </c>
    </row>
    <row r="297" spans="8:9" x14ac:dyDescent="0.25">
      <c r="H297">
        <v>296</v>
      </c>
      <c r="I297">
        <v>65.608863593631924</v>
      </c>
    </row>
    <row r="298" spans="8:9" x14ac:dyDescent="0.25">
      <c r="H298">
        <v>297</v>
      </c>
      <c r="I298">
        <v>62.264688529913045</v>
      </c>
    </row>
    <row r="299" spans="8:9" x14ac:dyDescent="0.25">
      <c r="H299">
        <v>298</v>
      </c>
      <c r="I299">
        <v>59.075420129711922</v>
      </c>
    </row>
    <row r="300" spans="8:9" x14ac:dyDescent="0.25">
      <c r="H300">
        <v>299</v>
      </c>
      <c r="I300">
        <v>31.182162085698202</v>
      </c>
    </row>
    <row r="301" spans="8:9" x14ac:dyDescent="0.25">
      <c r="H301">
        <v>300</v>
      </c>
      <c r="I301">
        <v>68.383467743240672</v>
      </c>
    </row>
    <row r="302" spans="8:9" x14ac:dyDescent="0.25">
      <c r="H302">
        <v>301</v>
      </c>
      <c r="I302">
        <v>67.608508266504003</v>
      </c>
    </row>
    <row r="303" spans="8:9" x14ac:dyDescent="0.25">
      <c r="H303">
        <v>302</v>
      </c>
      <c r="I303">
        <v>66.895195224640631</v>
      </c>
    </row>
    <row r="304" spans="8:9" x14ac:dyDescent="0.25">
      <c r="H304">
        <v>303</v>
      </c>
      <c r="I304">
        <v>67.382538286942804</v>
      </c>
    </row>
    <row r="305" spans="8:9" x14ac:dyDescent="0.25">
      <c r="H305">
        <v>304</v>
      </c>
      <c r="I305">
        <v>55.983596076478676</v>
      </c>
    </row>
    <row r="306" spans="8:9" x14ac:dyDescent="0.25">
      <c r="H306">
        <v>305</v>
      </c>
      <c r="I306">
        <v>60.983670322906015</v>
      </c>
    </row>
    <row r="307" spans="8:9" x14ac:dyDescent="0.25">
      <c r="H307">
        <v>306</v>
      </c>
      <c r="I307">
        <v>68.721911867317829</v>
      </c>
    </row>
    <row r="308" spans="8:9" x14ac:dyDescent="0.25">
      <c r="H308">
        <v>307</v>
      </c>
      <c r="I308">
        <v>67.262637190422168</v>
      </c>
    </row>
    <row r="309" spans="8:9" x14ac:dyDescent="0.25">
      <c r="H309">
        <v>308</v>
      </c>
      <c r="I309">
        <v>67.96076940921634</v>
      </c>
    </row>
    <row r="310" spans="8:9" x14ac:dyDescent="0.25">
      <c r="H310">
        <v>309</v>
      </c>
      <c r="I310">
        <v>68.154242554202909</v>
      </c>
    </row>
    <row r="311" spans="8:9" x14ac:dyDescent="0.25">
      <c r="H311">
        <v>310</v>
      </c>
      <c r="I311">
        <v>59.273728132233209</v>
      </c>
    </row>
    <row r="312" spans="8:9" x14ac:dyDescent="0.25">
      <c r="H312">
        <v>311</v>
      </c>
      <c r="I312">
        <v>56.424597597011669</v>
      </c>
    </row>
    <row r="313" spans="8:9" x14ac:dyDescent="0.25">
      <c r="H313">
        <v>312</v>
      </c>
      <c r="I313">
        <v>66.535672618878834</v>
      </c>
    </row>
    <row r="314" spans="8:9" x14ac:dyDescent="0.25">
      <c r="H314">
        <v>313</v>
      </c>
      <c r="I314">
        <v>59.40546619345772</v>
      </c>
    </row>
    <row r="315" spans="8:9" x14ac:dyDescent="0.25">
      <c r="H315">
        <v>314</v>
      </c>
      <c r="I315">
        <v>62.02356137433808</v>
      </c>
    </row>
    <row r="316" spans="8:9" x14ac:dyDescent="0.25">
      <c r="H316">
        <v>315</v>
      </c>
      <c r="I316">
        <v>65.415154808726015</v>
      </c>
    </row>
    <row r="317" spans="8:9" x14ac:dyDescent="0.25">
      <c r="H317">
        <v>316</v>
      </c>
      <c r="I317">
        <v>62.383932613217873</v>
      </c>
    </row>
    <row r="318" spans="8:9" x14ac:dyDescent="0.25">
      <c r="H318">
        <v>317</v>
      </c>
      <c r="I318">
        <v>52.289744417286045</v>
      </c>
    </row>
    <row r="319" spans="8:9" x14ac:dyDescent="0.25">
      <c r="H319">
        <v>318</v>
      </c>
      <c r="I319">
        <v>53.5428106819475</v>
      </c>
    </row>
    <row r="320" spans="8:9" x14ac:dyDescent="0.25">
      <c r="H320">
        <v>319</v>
      </c>
      <c r="I320">
        <v>62.258699453796645</v>
      </c>
    </row>
    <row r="321" spans="8:9" x14ac:dyDescent="0.25">
      <c r="H321">
        <v>320</v>
      </c>
      <c r="I321">
        <v>67.805097069310222</v>
      </c>
    </row>
    <row r="322" spans="8:9" x14ac:dyDescent="0.25">
      <c r="H322">
        <v>321</v>
      </c>
      <c r="I322">
        <v>68.205249657114024</v>
      </c>
    </row>
    <row r="323" spans="8:9" x14ac:dyDescent="0.25">
      <c r="H323">
        <v>322</v>
      </c>
      <c r="I323">
        <v>68.158068475134399</v>
      </c>
    </row>
    <row r="324" spans="8:9" x14ac:dyDescent="0.25">
      <c r="H324">
        <v>323</v>
      </c>
      <c r="I324">
        <v>50.291937439087093</v>
      </c>
    </row>
    <row r="325" spans="8:9" x14ac:dyDescent="0.25">
      <c r="H325">
        <v>324</v>
      </c>
      <c r="I325">
        <v>62.99627597875665</v>
      </c>
    </row>
    <row r="326" spans="8:9" x14ac:dyDescent="0.25">
      <c r="H326">
        <v>325</v>
      </c>
      <c r="I326">
        <v>52.604240588444</v>
      </c>
    </row>
    <row r="327" spans="8:9" x14ac:dyDescent="0.25">
      <c r="H327">
        <v>326</v>
      </c>
      <c r="I327">
        <v>65.631417742637254</v>
      </c>
    </row>
    <row r="328" spans="8:9" x14ac:dyDescent="0.25">
      <c r="H328">
        <v>327</v>
      </c>
      <c r="I328">
        <v>62.329206200060675</v>
      </c>
    </row>
    <row r="329" spans="8:9" x14ac:dyDescent="0.25">
      <c r="H329">
        <v>328</v>
      </c>
      <c r="I329">
        <v>59.356278557118912</v>
      </c>
    </row>
    <row r="330" spans="8:9" x14ac:dyDescent="0.25">
      <c r="H330">
        <v>329</v>
      </c>
      <c r="I330">
        <v>61.075101006484033</v>
      </c>
    </row>
    <row r="331" spans="8:9" x14ac:dyDescent="0.25">
      <c r="H331">
        <v>330</v>
      </c>
      <c r="I331">
        <v>57.640417304045272</v>
      </c>
    </row>
    <row r="332" spans="8:9" x14ac:dyDescent="0.25">
      <c r="H332">
        <v>331</v>
      </c>
      <c r="I332">
        <v>60.456934524074633</v>
      </c>
    </row>
    <row r="333" spans="8:9" x14ac:dyDescent="0.25">
      <c r="H333">
        <v>332</v>
      </c>
      <c r="I333">
        <v>59.704621424441278</v>
      </c>
    </row>
    <row r="334" spans="8:9" x14ac:dyDescent="0.25">
      <c r="H334">
        <v>333</v>
      </c>
      <c r="I334">
        <v>66.051687111815596</v>
      </c>
    </row>
    <row r="335" spans="8:9" x14ac:dyDescent="0.25">
      <c r="H335">
        <v>334</v>
      </c>
      <c r="I335">
        <v>67.803727920265459</v>
      </c>
    </row>
    <row r="336" spans="8:9" x14ac:dyDescent="0.25">
      <c r="H336">
        <v>335</v>
      </c>
      <c r="I336">
        <v>68.69735572954653</v>
      </c>
    </row>
    <row r="337" spans="8:9" x14ac:dyDescent="0.25">
      <c r="H337">
        <v>336</v>
      </c>
      <c r="I337">
        <v>62.330373569432354</v>
      </c>
    </row>
    <row r="338" spans="8:9" x14ac:dyDescent="0.25">
      <c r="H338">
        <v>337</v>
      </c>
      <c r="I338">
        <v>61.731873712057727</v>
      </c>
    </row>
    <row r="339" spans="8:9" x14ac:dyDescent="0.25">
      <c r="H339">
        <v>338</v>
      </c>
      <c r="I339">
        <v>66.62004803145642</v>
      </c>
    </row>
    <row r="340" spans="8:9" x14ac:dyDescent="0.25">
      <c r="H340">
        <v>339</v>
      </c>
      <c r="I340">
        <v>65.511732494131621</v>
      </c>
    </row>
    <row r="341" spans="8:9" x14ac:dyDescent="0.25">
      <c r="H341">
        <v>340</v>
      </c>
      <c r="I341">
        <v>61.626297443855577</v>
      </c>
    </row>
    <row r="342" spans="8:9" x14ac:dyDescent="0.25">
      <c r="H342">
        <v>341</v>
      </c>
      <c r="I342">
        <v>52.483469319439138</v>
      </c>
    </row>
    <row r="343" spans="8:9" x14ac:dyDescent="0.25">
      <c r="H343">
        <v>342</v>
      </c>
      <c r="I343">
        <v>61.528442847332251</v>
      </c>
    </row>
    <row r="344" spans="8:9" x14ac:dyDescent="0.25">
      <c r="H344">
        <v>343</v>
      </c>
      <c r="I344">
        <v>67.210168371846848</v>
      </c>
    </row>
    <row r="345" spans="8:9" x14ac:dyDescent="0.25">
      <c r="H345">
        <v>344</v>
      </c>
      <c r="I345">
        <v>51.842433948881123</v>
      </c>
    </row>
    <row r="346" spans="8:9" x14ac:dyDescent="0.25">
      <c r="H346">
        <v>345</v>
      </c>
      <c r="I346">
        <v>67.081970711567237</v>
      </c>
    </row>
    <row r="347" spans="8:9" x14ac:dyDescent="0.25">
      <c r="H347">
        <v>346</v>
      </c>
      <c r="I347">
        <v>47.078715928802552</v>
      </c>
    </row>
    <row r="348" spans="8:9" x14ac:dyDescent="0.25">
      <c r="H348">
        <v>347</v>
      </c>
      <c r="I348">
        <v>56.102724298872097</v>
      </c>
    </row>
    <row r="349" spans="8:9" x14ac:dyDescent="0.25">
      <c r="H349">
        <v>348</v>
      </c>
      <c r="I349">
        <v>48.455615322602206</v>
      </c>
    </row>
    <row r="350" spans="8:9" x14ac:dyDescent="0.25">
      <c r="H350">
        <v>349</v>
      </c>
      <c r="I350">
        <v>57.641743527770366</v>
      </c>
    </row>
    <row r="351" spans="8:9" x14ac:dyDescent="0.25">
      <c r="H351">
        <v>350</v>
      </c>
      <c r="I351">
        <v>63.801839418322302</v>
      </c>
    </row>
    <row r="352" spans="8:9" x14ac:dyDescent="0.25">
      <c r="H352">
        <v>351</v>
      </c>
      <c r="I352">
        <v>63.141294766644421</v>
      </c>
    </row>
    <row r="353" spans="8:9" x14ac:dyDescent="0.25">
      <c r="H353">
        <v>352</v>
      </c>
      <c r="I353">
        <v>64.522667723890294</v>
      </c>
    </row>
    <row r="354" spans="8:9" x14ac:dyDescent="0.25">
      <c r="H354">
        <v>353</v>
      </c>
      <c r="I354">
        <v>68.109620484186749</v>
      </c>
    </row>
    <row r="355" spans="8:9" x14ac:dyDescent="0.25">
      <c r="H355">
        <v>354</v>
      </c>
      <c r="I355">
        <v>67.076236819682507</v>
      </c>
    </row>
    <row r="356" spans="8:9" x14ac:dyDescent="0.25">
      <c r="H356">
        <v>355</v>
      </c>
      <c r="I356">
        <v>64.805825295806855</v>
      </c>
    </row>
    <row r="357" spans="8:9" x14ac:dyDescent="0.25">
      <c r="H357">
        <v>356</v>
      </c>
      <c r="I357">
        <v>69.793257902395126</v>
      </c>
    </row>
    <row r="358" spans="8:9" x14ac:dyDescent="0.25">
      <c r="H358">
        <v>357</v>
      </c>
      <c r="I358">
        <v>68.057945219236871</v>
      </c>
    </row>
    <row r="359" spans="8:9" x14ac:dyDescent="0.25">
      <c r="H359">
        <v>358</v>
      </c>
      <c r="I359">
        <v>62.046204907174783</v>
      </c>
    </row>
    <row r="360" spans="8:9" x14ac:dyDescent="0.25">
      <c r="H360">
        <v>359</v>
      </c>
      <c r="I360">
        <v>48.065132027125252</v>
      </c>
    </row>
    <row r="361" spans="8:9" x14ac:dyDescent="0.25">
      <c r="H361">
        <v>360</v>
      </c>
      <c r="I361">
        <v>65.613572393351149</v>
      </c>
    </row>
    <row r="362" spans="8:9" x14ac:dyDescent="0.25">
      <c r="H362">
        <v>361</v>
      </c>
      <c r="I362">
        <v>68.068202197293502</v>
      </c>
    </row>
    <row r="363" spans="8:9" x14ac:dyDescent="0.25">
      <c r="H363">
        <v>362</v>
      </c>
      <c r="I363">
        <v>67.963211665814725</v>
      </c>
    </row>
    <row r="364" spans="8:9" x14ac:dyDescent="0.25">
      <c r="H364">
        <v>363</v>
      </c>
      <c r="I364">
        <v>59.580759305844197</v>
      </c>
    </row>
    <row r="365" spans="8:9" x14ac:dyDescent="0.25">
      <c r="H365">
        <v>364</v>
      </c>
      <c r="I365">
        <v>67.553810523500019</v>
      </c>
    </row>
    <row r="366" spans="8:9" x14ac:dyDescent="0.25">
      <c r="H366">
        <v>365</v>
      </c>
      <c r="I366">
        <v>59.78073218512484</v>
      </c>
    </row>
    <row r="367" spans="8:9" x14ac:dyDescent="0.25">
      <c r="H367">
        <v>366</v>
      </c>
      <c r="I367">
        <v>63.47434159968585</v>
      </c>
    </row>
    <row r="368" spans="8:9" x14ac:dyDescent="0.25">
      <c r="H368">
        <v>367</v>
      </c>
      <c r="I368">
        <v>66.689482227527847</v>
      </c>
    </row>
    <row r="369" spans="8:9" x14ac:dyDescent="0.25">
      <c r="H369">
        <v>368</v>
      </c>
      <c r="I369">
        <v>68.618333244490131</v>
      </c>
    </row>
    <row r="370" spans="8:9" x14ac:dyDescent="0.25">
      <c r="H370">
        <v>369</v>
      </c>
      <c r="I370">
        <v>53.511116548415849</v>
      </c>
    </row>
    <row r="371" spans="8:9" x14ac:dyDescent="0.25">
      <c r="H371">
        <v>370</v>
      </c>
      <c r="I371">
        <v>64.171271730097885</v>
      </c>
    </row>
    <row r="372" spans="8:9" x14ac:dyDescent="0.25">
      <c r="H372">
        <v>371</v>
      </c>
      <c r="I372">
        <v>51.827389351446271</v>
      </c>
    </row>
    <row r="373" spans="8:9" x14ac:dyDescent="0.25">
      <c r="H373">
        <v>372</v>
      </c>
      <c r="I373">
        <v>57.402125911003658</v>
      </c>
    </row>
    <row r="374" spans="8:9" x14ac:dyDescent="0.25">
      <c r="H374">
        <v>373</v>
      </c>
      <c r="I374">
        <v>56.379756992834992</v>
      </c>
    </row>
    <row r="375" spans="8:9" x14ac:dyDescent="0.25">
      <c r="H375">
        <v>374</v>
      </c>
      <c r="I375">
        <v>66.940798924805748</v>
      </c>
    </row>
    <row r="376" spans="8:9" x14ac:dyDescent="0.25">
      <c r="H376">
        <v>375</v>
      </c>
      <c r="I376">
        <v>60.54734388598537</v>
      </c>
    </row>
    <row r="377" spans="8:9" x14ac:dyDescent="0.25">
      <c r="H377">
        <v>376</v>
      </c>
      <c r="I377">
        <v>55.777956756982505</v>
      </c>
    </row>
    <row r="378" spans="8:9" x14ac:dyDescent="0.25">
      <c r="H378">
        <v>377</v>
      </c>
      <c r="I378">
        <v>67.225492667123262</v>
      </c>
    </row>
    <row r="379" spans="8:9" x14ac:dyDescent="0.25">
      <c r="H379">
        <v>378</v>
      </c>
      <c r="I379">
        <v>70.168498918537935</v>
      </c>
    </row>
    <row r="380" spans="8:9" x14ac:dyDescent="0.25">
      <c r="H380">
        <v>379</v>
      </c>
      <c r="I380">
        <v>63.866487891853311</v>
      </c>
    </row>
    <row r="381" spans="8:9" x14ac:dyDescent="0.25">
      <c r="H381">
        <v>380</v>
      </c>
      <c r="I381">
        <v>61.473179719181623</v>
      </c>
    </row>
    <row r="382" spans="8:9" x14ac:dyDescent="0.25">
      <c r="H382">
        <v>381</v>
      </c>
      <c r="I382">
        <v>54.794096914320079</v>
      </c>
    </row>
    <row r="383" spans="8:9" x14ac:dyDescent="0.25">
      <c r="H383">
        <v>382</v>
      </c>
      <c r="I383">
        <v>57.390999077499536</v>
      </c>
    </row>
    <row r="384" spans="8:9" x14ac:dyDescent="0.25">
      <c r="H384">
        <v>383</v>
      </c>
      <c r="I384">
        <v>52.241983248334421</v>
      </c>
    </row>
    <row r="385" spans="8:9" x14ac:dyDescent="0.25">
      <c r="H385">
        <v>384</v>
      </c>
      <c r="I385">
        <v>42.732034706005862</v>
      </c>
    </row>
    <row r="386" spans="8:9" x14ac:dyDescent="0.25">
      <c r="H386">
        <v>385</v>
      </c>
      <c r="I386">
        <v>57.047043283702557</v>
      </c>
    </row>
    <row r="387" spans="8:9" x14ac:dyDescent="0.25">
      <c r="H387">
        <v>386</v>
      </c>
      <c r="I387">
        <v>57.385494589303349</v>
      </c>
    </row>
    <row r="388" spans="8:9" x14ac:dyDescent="0.25">
      <c r="H388">
        <v>387</v>
      </c>
      <c r="I388">
        <v>54.87954352273384</v>
      </c>
    </row>
    <row r="389" spans="8:9" x14ac:dyDescent="0.25">
      <c r="H389">
        <v>388</v>
      </c>
      <c r="I389">
        <v>57.086266994047321</v>
      </c>
    </row>
    <row r="390" spans="8:9" x14ac:dyDescent="0.25">
      <c r="H390">
        <v>389</v>
      </c>
      <c r="I390">
        <v>48.455307139843043</v>
      </c>
    </row>
    <row r="391" spans="8:9" x14ac:dyDescent="0.25">
      <c r="H391">
        <v>390</v>
      </c>
      <c r="I391">
        <v>67.946115611396209</v>
      </c>
    </row>
    <row r="392" spans="8:9" x14ac:dyDescent="0.25">
      <c r="H392">
        <v>391</v>
      </c>
      <c r="I392">
        <v>67.948477088901285</v>
      </c>
    </row>
    <row r="393" spans="8:9" x14ac:dyDescent="0.25">
      <c r="H393">
        <v>392</v>
      </c>
      <c r="I393">
        <v>67.450385675131585</v>
      </c>
    </row>
    <row r="394" spans="8:9" x14ac:dyDescent="0.25">
      <c r="H394">
        <v>393</v>
      </c>
      <c r="I394">
        <v>68.203065739567421</v>
      </c>
    </row>
    <row r="395" spans="8:9" x14ac:dyDescent="0.25">
      <c r="H395">
        <v>394</v>
      </c>
      <c r="I395">
        <v>60.006186835645401</v>
      </c>
    </row>
    <row r="396" spans="8:9" x14ac:dyDescent="0.25">
      <c r="H396">
        <v>395</v>
      </c>
      <c r="I396">
        <v>50.385502725435799</v>
      </c>
    </row>
    <row r="397" spans="8:9" x14ac:dyDescent="0.25">
      <c r="H397">
        <v>396</v>
      </c>
      <c r="I397">
        <v>63.426506065086031</v>
      </c>
    </row>
    <row r="398" spans="8:9" x14ac:dyDescent="0.25">
      <c r="H398">
        <v>397</v>
      </c>
      <c r="I398">
        <v>56.196059903070278</v>
      </c>
    </row>
    <row r="399" spans="8:9" x14ac:dyDescent="0.25">
      <c r="H399">
        <v>398</v>
      </c>
      <c r="I399">
        <v>47.739759586365317</v>
      </c>
    </row>
    <row r="400" spans="8:9" x14ac:dyDescent="0.25">
      <c r="H400">
        <v>399</v>
      </c>
      <c r="I400">
        <v>68.142859967157705</v>
      </c>
    </row>
    <row r="401" spans="8:9" x14ac:dyDescent="0.25">
      <c r="H401">
        <v>400</v>
      </c>
      <c r="I401">
        <v>58.036299923312185</v>
      </c>
    </row>
    <row r="402" spans="8:9" x14ac:dyDescent="0.25">
      <c r="H402">
        <v>401</v>
      </c>
      <c r="I402">
        <v>56.005888956785796</v>
      </c>
    </row>
    <row r="403" spans="8:9" x14ac:dyDescent="0.25">
      <c r="H403">
        <v>402</v>
      </c>
      <c r="I403">
        <v>69.061804525467224</v>
      </c>
    </row>
    <row r="404" spans="8:9" x14ac:dyDescent="0.25">
      <c r="H404">
        <v>403</v>
      </c>
      <c r="I404">
        <v>67.283647543387659</v>
      </c>
    </row>
    <row r="405" spans="8:9" x14ac:dyDescent="0.25">
      <c r="H405">
        <v>404</v>
      </c>
      <c r="I405">
        <v>56.311487327141002</v>
      </c>
    </row>
    <row r="406" spans="8:9" x14ac:dyDescent="0.25">
      <c r="H406">
        <v>405</v>
      </c>
      <c r="I406">
        <v>64.07502731083531</v>
      </c>
    </row>
    <row r="407" spans="8:9" x14ac:dyDescent="0.25">
      <c r="H407">
        <v>406</v>
      </c>
      <c r="I407">
        <v>62.132611604380855</v>
      </c>
    </row>
    <row r="408" spans="8:9" x14ac:dyDescent="0.25">
      <c r="H408">
        <v>407</v>
      </c>
      <c r="I408">
        <v>54.297534428453062</v>
      </c>
    </row>
    <row r="409" spans="8:9" x14ac:dyDescent="0.25">
      <c r="H409">
        <v>408</v>
      </c>
      <c r="I409">
        <v>68.539171551193903</v>
      </c>
    </row>
    <row r="410" spans="8:9" x14ac:dyDescent="0.25">
      <c r="H410">
        <v>409</v>
      </c>
      <c r="I410">
        <v>65.800204891164981</v>
      </c>
    </row>
    <row r="411" spans="8:9" x14ac:dyDescent="0.25">
      <c r="H411">
        <v>410</v>
      </c>
      <c r="I411">
        <v>62.17529130829999</v>
      </c>
    </row>
    <row r="412" spans="8:9" x14ac:dyDescent="0.25">
      <c r="H412">
        <v>411</v>
      </c>
      <c r="I412">
        <v>39.95387218186184</v>
      </c>
    </row>
    <row r="413" spans="8:9" x14ac:dyDescent="0.25">
      <c r="H413">
        <v>412</v>
      </c>
      <c r="I413">
        <v>60.593970930401895</v>
      </c>
    </row>
    <row r="414" spans="8:9" x14ac:dyDescent="0.25">
      <c r="H414">
        <v>413</v>
      </c>
      <c r="I414">
        <v>66.528889597998869</v>
      </c>
    </row>
    <row r="415" spans="8:9" x14ac:dyDescent="0.25">
      <c r="H415">
        <v>414</v>
      </c>
      <c r="I415">
        <v>68.096953481285865</v>
      </c>
    </row>
    <row r="416" spans="8:9" x14ac:dyDescent="0.25">
      <c r="H416">
        <v>415</v>
      </c>
      <c r="I416">
        <v>53.200567596841474</v>
      </c>
    </row>
    <row r="417" spans="8:9" x14ac:dyDescent="0.25">
      <c r="H417">
        <v>416</v>
      </c>
      <c r="I417">
        <v>60.761163954269179</v>
      </c>
    </row>
    <row r="418" spans="8:9" x14ac:dyDescent="0.25">
      <c r="H418">
        <v>417</v>
      </c>
      <c r="I418">
        <v>58.460513079584871</v>
      </c>
    </row>
    <row r="419" spans="8:9" x14ac:dyDescent="0.25">
      <c r="H419">
        <v>418</v>
      </c>
      <c r="I419">
        <v>65.974116556532664</v>
      </c>
    </row>
    <row r="420" spans="8:9" x14ac:dyDescent="0.25">
      <c r="H420">
        <v>419</v>
      </c>
      <c r="I420">
        <v>58.597487827874488</v>
      </c>
    </row>
    <row r="421" spans="8:9" x14ac:dyDescent="0.25">
      <c r="H421">
        <v>420</v>
      </c>
      <c r="I421">
        <v>68.251679606202757</v>
      </c>
    </row>
    <row r="422" spans="8:9" x14ac:dyDescent="0.25">
      <c r="H422">
        <v>421</v>
      </c>
      <c r="I422">
        <v>67.671753653559804</v>
      </c>
    </row>
    <row r="423" spans="8:9" x14ac:dyDescent="0.25">
      <c r="H423">
        <v>422</v>
      </c>
      <c r="I423">
        <v>59.807079787051322</v>
      </c>
    </row>
    <row r="424" spans="8:9" x14ac:dyDescent="0.25">
      <c r="H424">
        <v>423</v>
      </c>
      <c r="I424">
        <v>68.686684428764508</v>
      </c>
    </row>
    <row r="425" spans="8:9" x14ac:dyDescent="0.25">
      <c r="H425">
        <v>424</v>
      </c>
      <c r="I425">
        <v>61.692749746498436</v>
      </c>
    </row>
    <row r="426" spans="8:9" x14ac:dyDescent="0.25">
      <c r="H426">
        <v>425</v>
      </c>
      <c r="I426">
        <v>56.185004188649216</v>
      </c>
    </row>
    <row r="427" spans="8:9" x14ac:dyDescent="0.25">
      <c r="H427">
        <v>426</v>
      </c>
      <c r="I427">
        <v>63.876581504271655</v>
      </c>
    </row>
    <row r="428" spans="8:9" x14ac:dyDescent="0.25">
      <c r="H428">
        <v>427</v>
      </c>
      <c r="I428">
        <v>64.128164351335954</v>
      </c>
    </row>
    <row r="429" spans="8:9" x14ac:dyDescent="0.25">
      <c r="H429">
        <v>428</v>
      </c>
      <c r="I429">
        <v>61.50767766237167</v>
      </c>
    </row>
    <row r="430" spans="8:9" x14ac:dyDescent="0.25">
      <c r="H430">
        <v>429</v>
      </c>
      <c r="I430">
        <v>61.872181956660746</v>
      </c>
    </row>
    <row r="431" spans="8:9" x14ac:dyDescent="0.25">
      <c r="H431">
        <v>430</v>
      </c>
      <c r="I431">
        <v>64.913209823834322</v>
      </c>
    </row>
    <row r="432" spans="8:9" x14ac:dyDescent="0.25">
      <c r="H432">
        <v>431</v>
      </c>
      <c r="I432">
        <v>53.58222773631644</v>
      </c>
    </row>
    <row r="433" spans="8:9" x14ac:dyDescent="0.25">
      <c r="H433">
        <v>432</v>
      </c>
      <c r="I433">
        <v>68.746681897587138</v>
      </c>
    </row>
    <row r="434" spans="8:9" x14ac:dyDescent="0.25">
      <c r="H434">
        <v>433</v>
      </c>
      <c r="I434">
        <v>60.276587487116551</v>
      </c>
    </row>
    <row r="435" spans="8:9" x14ac:dyDescent="0.25">
      <c r="H435">
        <v>434</v>
      </c>
      <c r="I435">
        <v>67.710055789835693</v>
      </c>
    </row>
    <row r="436" spans="8:9" x14ac:dyDescent="0.25">
      <c r="H436">
        <v>435</v>
      </c>
      <c r="I436">
        <v>52.278666749775653</v>
      </c>
    </row>
    <row r="437" spans="8:9" x14ac:dyDescent="0.25">
      <c r="H437">
        <v>436</v>
      </c>
      <c r="I437">
        <v>58.546053471519272</v>
      </c>
    </row>
    <row r="438" spans="8:9" x14ac:dyDescent="0.25">
      <c r="H438">
        <v>437</v>
      </c>
      <c r="I438">
        <v>67.717091207041619</v>
      </c>
    </row>
    <row r="439" spans="8:9" x14ac:dyDescent="0.25">
      <c r="H439">
        <v>438</v>
      </c>
      <c r="I439">
        <v>57.422481470316072</v>
      </c>
    </row>
    <row r="440" spans="8:9" x14ac:dyDescent="0.25">
      <c r="H440">
        <v>439</v>
      </c>
      <c r="I440">
        <v>68.569801523745028</v>
      </c>
    </row>
    <row r="441" spans="8:9" x14ac:dyDescent="0.25">
      <c r="H441">
        <v>440</v>
      </c>
      <c r="I441">
        <v>65.553628407089363</v>
      </c>
    </row>
    <row r="442" spans="8:9" x14ac:dyDescent="0.25">
      <c r="H442">
        <v>441</v>
      </c>
      <c r="I442">
        <v>41.804296396353358</v>
      </c>
    </row>
    <row r="443" spans="8:9" x14ac:dyDescent="0.25">
      <c r="H443">
        <v>442</v>
      </c>
      <c r="I443">
        <v>49.824107911745536</v>
      </c>
    </row>
    <row r="444" spans="8:9" x14ac:dyDescent="0.25">
      <c r="H444">
        <v>443</v>
      </c>
      <c r="I444">
        <v>56.702244072184627</v>
      </c>
    </row>
    <row r="445" spans="8:9" x14ac:dyDescent="0.25">
      <c r="H445">
        <v>444</v>
      </c>
      <c r="I445">
        <v>62.643384499919257</v>
      </c>
    </row>
    <row r="446" spans="8:9" x14ac:dyDescent="0.25">
      <c r="H446">
        <v>445</v>
      </c>
      <c r="I446">
        <v>54.6346001157128</v>
      </c>
    </row>
    <row r="447" spans="8:9" x14ac:dyDescent="0.25">
      <c r="H447">
        <v>446</v>
      </c>
      <c r="I447">
        <v>48.424506174985837</v>
      </c>
    </row>
    <row r="448" spans="8:9" x14ac:dyDescent="0.25">
      <c r="H448">
        <v>447</v>
      </c>
      <c r="I448">
        <v>63.098704616069675</v>
      </c>
    </row>
    <row r="449" spans="8:9" x14ac:dyDescent="0.25">
      <c r="H449">
        <v>448</v>
      </c>
      <c r="I449">
        <v>49.814279280142038</v>
      </c>
    </row>
    <row r="450" spans="8:9" x14ac:dyDescent="0.25">
      <c r="H450">
        <v>449</v>
      </c>
      <c r="I450">
        <v>63.298806313691621</v>
      </c>
    </row>
    <row r="451" spans="8:9" x14ac:dyDescent="0.25">
      <c r="H451">
        <v>450</v>
      </c>
      <c r="I451">
        <v>60.489092400715364</v>
      </c>
    </row>
    <row r="452" spans="8:9" x14ac:dyDescent="0.25">
      <c r="H452">
        <v>451</v>
      </c>
      <c r="I452">
        <v>66.973545326515307</v>
      </c>
    </row>
    <row r="453" spans="8:9" x14ac:dyDescent="0.25">
      <c r="H453">
        <v>452</v>
      </c>
      <c r="I453">
        <v>57.911209631185457</v>
      </c>
    </row>
    <row r="454" spans="8:9" x14ac:dyDescent="0.25">
      <c r="H454">
        <v>453</v>
      </c>
      <c r="I454">
        <v>60.358742263168693</v>
      </c>
    </row>
    <row r="455" spans="8:9" x14ac:dyDescent="0.25">
      <c r="H455">
        <v>454</v>
      </c>
      <c r="I455">
        <v>53.139132343963887</v>
      </c>
    </row>
    <row r="456" spans="8:9" x14ac:dyDescent="0.25">
      <c r="H456">
        <v>455</v>
      </c>
      <c r="I456">
        <v>67.742287587850655</v>
      </c>
    </row>
    <row r="457" spans="8:9" x14ac:dyDescent="0.25">
      <c r="H457">
        <v>456</v>
      </c>
      <c r="I457">
        <v>69.2551661580613</v>
      </c>
    </row>
    <row r="458" spans="8:9" x14ac:dyDescent="0.25">
      <c r="H458">
        <v>457</v>
      </c>
      <c r="I458">
        <v>68.144080576043351</v>
      </c>
    </row>
    <row r="459" spans="8:9" x14ac:dyDescent="0.25">
      <c r="H459">
        <v>458</v>
      </c>
      <c r="I459">
        <v>68.214296156965219</v>
      </c>
    </row>
    <row r="460" spans="8:9" x14ac:dyDescent="0.25">
      <c r="H460">
        <v>459</v>
      </c>
      <c r="I460">
        <v>68.014039536703791</v>
      </c>
    </row>
    <row r="461" spans="8:9" x14ac:dyDescent="0.25">
      <c r="H461">
        <v>460</v>
      </c>
      <c r="I461">
        <v>68.81118859242865</v>
      </c>
    </row>
    <row r="462" spans="8:9" x14ac:dyDescent="0.25">
      <c r="H462">
        <v>461</v>
      </c>
      <c r="I462">
        <v>58.350989400229111</v>
      </c>
    </row>
    <row r="463" spans="8:9" x14ac:dyDescent="0.25">
      <c r="H463">
        <v>462</v>
      </c>
      <c r="I463">
        <v>68.654659643041214</v>
      </c>
    </row>
    <row r="464" spans="8:9" x14ac:dyDescent="0.25">
      <c r="H464">
        <v>463</v>
      </c>
      <c r="I464">
        <v>58.869757922559629</v>
      </c>
    </row>
    <row r="465" spans="8:9" x14ac:dyDescent="0.25">
      <c r="H465">
        <v>464</v>
      </c>
      <c r="I465">
        <v>54.905864875571488</v>
      </c>
    </row>
    <row r="466" spans="8:9" x14ac:dyDescent="0.25">
      <c r="H466">
        <v>465</v>
      </c>
      <c r="I466">
        <v>61.452260506001643</v>
      </c>
    </row>
    <row r="467" spans="8:9" x14ac:dyDescent="0.25">
      <c r="H467">
        <v>466</v>
      </c>
      <c r="I467">
        <v>59.839079378854564</v>
      </c>
    </row>
    <row r="468" spans="8:9" x14ac:dyDescent="0.25">
      <c r="H468">
        <v>467</v>
      </c>
      <c r="I468">
        <v>59.912028680234187</v>
      </c>
    </row>
    <row r="469" spans="8:9" x14ac:dyDescent="0.25">
      <c r="H469">
        <v>468</v>
      </c>
      <c r="I469">
        <v>52.668691121911358</v>
      </c>
    </row>
    <row r="470" spans="8:9" x14ac:dyDescent="0.25">
      <c r="H470">
        <v>469</v>
      </c>
      <c r="I470">
        <v>60.997150271905859</v>
      </c>
    </row>
    <row r="471" spans="8:9" x14ac:dyDescent="0.25">
      <c r="H471">
        <v>470</v>
      </c>
      <c r="I471">
        <v>51.714357296105511</v>
      </c>
    </row>
    <row r="472" spans="8:9" x14ac:dyDescent="0.25">
      <c r="H472">
        <v>471</v>
      </c>
      <c r="I472">
        <v>62.140969191595886</v>
      </c>
    </row>
    <row r="473" spans="8:9" x14ac:dyDescent="0.25">
      <c r="H473">
        <v>472</v>
      </c>
      <c r="I473">
        <v>62.5641355781489</v>
      </c>
    </row>
    <row r="474" spans="8:9" x14ac:dyDescent="0.25">
      <c r="H474">
        <v>473</v>
      </c>
      <c r="I474">
        <v>68.147825199862154</v>
      </c>
    </row>
    <row r="475" spans="8:9" x14ac:dyDescent="0.25">
      <c r="H475">
        <v>474</v>
      </c>
      <c r="I475">
        <v>58.162266144065782</v>
      </c>
    </row>
    <row r="476" spans="8:9" x14ac:dyDescent="0.25">
      <c r="H476">
        <v>475</v>
      </c>
      <c r="I476">
        <v>50.06253279046097</v>
      </c>
    </row>
    <row r="477" spans="8:9" x14ac:dyDescent="0.25">
      <c r="H477">
        <v>476</v>
      </c>
      <c r="I477">
        <v>50.667115477812537</v>
      </c>
    </row>
    <row r="478" spans="8:9" x14ac:dyDescent="0.25">
      <c r="H478">
        <v>477</v>
      </c>
      <c r="I478">
        <v>61.222795749779451</v>
      </c>
    </row>
    <row r="479" spans="8:9" x14ac:dyDescent="0.25">
      <c r="H479">
        <v>478</v>
      </c>
      <c r="I479">
        <v>62.711368729619117</v>
      </c>
    </row>
    <row r="480" spans="8:9" x14ac:dyDescent="0.25">
      <c r="H480">
        <v>479</v>
      </c>
      <c r="I480">
        <v>67.273547770172939</v>
      </c>
    </row>
    <row r="481" spans="8:9" x14ac:dyDescent="0.25">
      <c r="H481">
        <v>480</v>
      </c>
      <c r="I481">
        <v>59.845556576333088</v>
      </c>
    </row>
    <row r="482" spans="8:9" x14ac:dyDescent="0.25">
      <c r="H482">
        <v>481</v>
      </c>
      <c r="I482">
        <v>62.75276184358016</v>
      </c>
    </row>
    <row r="483" spans="8:9" x14ac:dyDescent="0.25">
      <c r="H483">
        <v>482</v>
      </c>
      <c r="I483">
        <v>65.682789199225354</v>
      </c>
    </row>
    <row r="484" spans="8:9" x14ac:dyDescent="0.25">
      <c r="H484">
        <v>483</v>
      </c>
      <c r="I484">
        <v>60.744661044656219</v>
      </c>
    </row>
    <row r="485" spans="8:9" x14ac:dyDescent="0.25">
      <c r="H485">
        <v>484</v>
      </c>
      <c r="I485">
        <v>57.338217747577438</v>
      </c>
    </row>
    <row r="486" spans="8:9" x14ac:dyDescent="0.25">
      <c r="H486">
        <v>485</v>
      </c>
      <c r="I486">
        <v>67.001739485990328</v>
      </c>
    </row>
    <row r="487" spans="8:9" x14ac:dyDescent="0.25">
      <c r="H487">
        <v>486</v>
      </c>
      <c r="I487">
        <v>47.422246219888216</v>
      </c>
    </row>
    <row r="488" spans="8:9" x14ac:dyDescent="0.25">
      <c r="H488">
        <v>487</v>
      </c>
      <c r="I488">
        <v>56.349628369310274</v>
      </c>
    </row>
    <row r="489" spans="8:9" x14ac:dyDescent="0.25">
      <c r="H489">
        <v>488</v>
      </c>
      <c r="I489">
        <v>65.239684616971331</v>
      </c>
    </row>
    <row r="490" spans="8:9" x14ac:dyDescent="0.25">
      <c r="H490">
        <v>489</v>
      </c>
      <c r="I490">
        <v>61.539352373064773</v>
      </c>
    </row>
    <row r="491" spans="8:9" x14ac:dyDescent="0.25">
      <c r="H491">
        <v>490</v>
      </c>
      <c r="I491">
        <v>55.31932310619522</v>
      </c>
    </row>
    <row r="492" spans="8:9" x14ac:dyDescent="0.25">
      <c r="H492">
        <v>491</v>
      </c>
      <c r="I492">
        <v>66.749049523353619</v>
      </c>
    </row>
    <row r="493" spans="8:9" x14ac:dyDescent="0.25">
      <c r="H493">
        <v>492</v>
      </c>
      <c r="I493">
        <v>64.59839708370535</v>
      </c>
    </row>
    <row r="494" spans="8:9" x14ac:dyDescent="0.25">
      <c r="H494">
        <v>493</v>
      </c>
      <c r="I494">
        <v>56.466068590259034</v>
      </c>
    </row>
    <row r="495" spans="8:9" x14ac:dyDescent="0.25">
      <c r="H495">
        <v>494</v>
      </c>
      <c r="I495">
        <v>50.607553082173226</v>
      </c>
    </row>
    <row r="496" spans="8:9" x14ac:dyDescent="0.25">
      <c r="H496">
        <v>495</v>
      </c>
      <c r="I496">
        <v>68.072412547901621</v>
      </c>
    </row>
    <row r="497" spans="8:9" x14ac:dyDescent="0.25">
      <c r="H497">
        <v>496</v>
      </c>
      <c r="I497">
        <v>66.713380816118729</v>
      </c>
    </row>
    <row r="498" spans="8:9" x14ac:dyDescent="0.25">
      <c r="H498">
        <v>497</v>
      </c>
      <c r="I498">
        <v>67.250409663629469</v>
      </c>
    </row>
    <row r="499" spans="8:9" x14ac:dyDescent="0.25">
      <c r="H499">
        <v>498</v>
      </c>
      <c r="I499">
        <v>36.887746732303562</v>
      </c>
    </row>
    <row r="500" spans="8:9" x14ac:dyDescent="0.25">
      <c r="H500">
        <v>499</v>
      </c>
      <c r="I500">
        <v>62.834489317963104</v>
      </c>
    </row>
    <row r="501" spans="8:9" x14ac:dyDescent="0.25">
      <c r="H501">
        <v>500</v>
      </c>
      <c r="I501">
        <v>52.473789108341464</v>
      </c>
    </row>
    <row r="502" spans="8:9" x14ac:dyDescent="0.25">
      <c r="H502">
        <v>501</v>
      </c>
      <c r="I502">
        <v>61.104522693488917</v>
      </c>
    </row>
    <row r="503" spans="8:9" x14ac:dyDescent="0.25">
      <c r="H503">
        <v>502</v>
      </c>
      <c r="I503">
        <v>52.915723096313492</v>
      </c>
    </row>
    <row r="504" spans="8:9" x14ac:dyDescent="0.25">
      <c r="H504">
        <v>503</v>
      </c>
      <c r="I504">
        <v>62.259301904057565</v>
      </c>
    </row>
    <row r="505" spans="8:9" x14ac:dyDescent="0.25">
      <c r="H505">
        <v>504</v>
      </c>
      <c r="I505">
        <v>68.146183333872628</v>
      </c>
    </row>
    <row r="506" spans="8:9" x14ac:dyDescent="0.25">
      <c r="H506">
        <v>505</v>
      </c>
      <c r="I506">
        <v>67.430658515327082</v>
      </c>
    </row>
    <row r="507" spans="8:9" x14ac:dyDescent="0.25">
      <c r="H507">
        <v>506</v>
      </c>
      <c r="I507">
        <v>56.964186789697074</v>
      </c>
    </row>
    <row r="508" spans="8:9" x14ac:dyDescent="0.25">
      <c r="H508">
        <v>507</v>
      </c>
      <c r="I508">
        <v>70.260087848235656</v>
      </c>
    </row>
    <row r="509" spans="8:9" x14ac:dyDescent="0.25">
      <c r="H509">
        <v>508</v>
      </c>
      <c r="I509">
        <v>47.86676345308684</v>
      </c>
    </row>
    <row r="510" spans="8:9" x14ac:dyDescent="0.25">
      <c r="H510">
        <v>509</v>
      </c>
      <c r="I510">
        <v>60.167087433319281</v>
      </c>
    </row>
    <row r="511" spans="8:9" x14ac:dyDescent="0.25">
      <c r="H511">
        <v>510</v>
      </c>
      <c r="I511">
        <v>64.677807282749825</v>
      </c>
    </row>
    <row r="512" spans="8:9" x14ac:dyDescent="0.25">
      <c r="H512">
        <v>511</v>
      </c>
      <c r="I512">
        <v>67.615606434151729</v>
      </c>
    </row>
    <row r="513" spans="8:9" x14ac:dyDescent="0.25">
      <c r="H513">
        <v>512</v>
      </c>
      <c r="I513">
        <v>60.715178214548203</v>
      </c>
    </row>
    <row r="514" spans="8:9" x14ac:dyDescent="0.25">
      <c r="H514">
        <v>513</v>
      </c>
      <c r="I514">
        <v>55.768041639339799</v>
      </c>
    </row>
    <row r="515" spans="8:9" x14ac:dyDescent="0.25">
      <c r="H515">
        <v>514</v>
      </c>
      <c r="I515">
        <v>67.585155464089681</v>
      </c>
    </row>
    <row r="516" spans="8:9" x14ac:dyDescent="0.25">
      <c r="H516">
        <v>515</v>
      </c>
      <c r="I516">
        <v>57.327306116199424</v>
      </c>
    </row>
    <row r="517" spans="8:9" x14ac:dyDescent="0.25">
      <c r="H517">
        <v>516</v>
      </c>
      <c r="I517">
        <v>45.205090334767199</v>
      </c>
    </row>
    <row r="518" spans="8:9" x14ac:dyDescent="0.25">
      <c r="H518">
        <v>517</v>
      </c>
      <c r="I518">
        <v>69.483246141887207</v>
      </c>
    </row>
    <row r="519" spans="8:9" x14ac:dyDescent="0.25">
      <c r="H519">
        <v>518</v>
      </c>
      <c r="I519">
        <v>67.908655906788056</v>
      </c>
    </row>
    <row r="520" spans="8:9" x14ac:dyDescent="0.25">
      <c r="H520">
        <v>519</v>
      </c>
      <c r="I520">
        <v>64.142793012430971</v>
      </c>
    </row>
    <row r="521" spans="8:9" x14ac:dyDescent="0.25">
      <c r="H521">
        <v>520</v>
      </c>
      <c r="I521">
        <v>59.721189399035111</v>
      </c>
    </row>
    <row r="522" spans="8:9" x14ac:dyDescent="0.25">
      <c r="H522">
        <v>521</v>
      </c>
      <c r="I522">
        <v>60.072893481667279</v>
      </c>
    </row>
    <row r="523" spans="8:9" x14ac:dyDescent="0.25">
      <c r="H523">
        <v>522</v>
      </c>
      <c r="I523">
        <v>56.573777052108959</v>
      </c>
    </row>
    <row r="524" spans="8:9" x14ac:dyDescent="0.25">
      <c r="H524">
        <v>523</v>
      </c>
      <c r="I524">
        <v>68.920191487642995</v>
      </c>
    </row>
    <row r="525" spans="8:9" x14ac:dyDescent="0.25">
      <c r="H525">
        <v>524</v>
      </c>
      <c r="I525">
        <v>63.499544192089907</v>
      </c>
    </row>
    <row r="526" spans="8:9" x14ac:dyDescent="0.25">
      <c r="H526">
        <v>525</v>
      </c>
      <c r="I526">
        <v>59.630705485626827</v>
      </c>
    </row>
    <row r="527" spans="8:9" x14ac:dyDescent="0.25">
      <c r="H527">
        <v>526</v>
      </c>
      <c r="I527">
        <v>68.743738507954049</v>
      </c>
    </row>
    <row r="528" spans="8:9" x14ac:dyDescent="0.25">
      <c r="H528">
        <v>527</v>
      </c>
      <c r="I528">
        <v>56.075508094417195</v>
      </c>
    </row>
    <row r="529" spans="8:9" x14ac:dyDescent="0.25">
      <c r="H529">
        <v>528</v>
      </c>
      <c r="I529">
        <v>60.405559071826595</v>
      </c>
    </row>
    <row r="530" spans="8:9" x14ac:dyDescent="0.25">
      <c r="H530">
        <v>529</v>
      </c>
      <c r="I530">
        <v>68.612707166657898</v>
      </c>
    </row>
    <row r="531" spans="8:9" x14ac:dyDescent="0.25">
      <c r="H531">
        <v>530</v>
      </c>
      <c r="I531">
        <v>52.572241369969902</v>
      </c>
    </row>
    <row r="532" spans="8:9" x14ac:dyDescent="0.25">
      <c r="H532">
        <v>531</v>
      </c>
      <c r="I532">
        <v>47.156583418079435</v>
      </c>
    </row>
    <row r="533" spans="8:9" x14ac:dyDescent="0.25">
      <c r="H533">
        <v>532</v>
      </c>
      <c r="I533">
        <v>67.12867426508673</v>
      </c>
    </row>
    <row r="534" spans="8:9" x14ac:dyDescent="0.25">
      <c r="H534">
        <v>533</v>
      </c>
      <c r="I534">
        <v>59.295095535679351</v>
      </c>
    </row>
    <row r="535" spans="8:9" x14ac:dyDescent="0.25">
      <c r="H535">
        <v>534</v>
      </c>
      <c r="I535">
        <v>52.504926317715871</v>
      </c>
    </row>
    <row r="536" spans="8:9" x14ac:dyDescent="0.25">
      <c r="H536">
        <v>535</v>
      </c>
      <c r="I536">
        <v>64.453677641257087</v>
      </c>
    </row>
    <row r="537" spans="8:9" x14ac:dyDescent="0.25">
      <c r="H537">
        <v>536</v>
      </c>
      <c r="I537">
        <v>62.275897419478895</v>
      </c>
    </row>
    <row r="538" spans="8:9" x14ac:dyDescent="0.25">
      <c r="H538">
        <v>537</v>
      </c>
      <c r="I538">
        <v>62.902617120711199</v>
      </c>
    </row>
    <row r="539" spans="8:9" x14ac:dyDescent="0.25">
      <c r="H539">
        <v>538</v>
      </c>
      <c r="I539">
        <v>62.441100646004365</v>
      </c>
    </row>
    <row r="540" spans="8:9" x14ac:dyDescent="0.25">
      <c r="H540">
        <v>539</v>
      </c>
      <c r="I540">
        <v>60.687056164687249</v>
      </c>
    </row>
    <row r="541" spans="8:9" x14ac:dyDescent="0.25">
      <c r="H541">
        <v>540</v>
      </c>
      <c r="I541">
        <v>67.731204115869005</v>
      </c>
    </row>
    <row r="542" spans="8:9" x14ac:dyDescent="0.25">
      <c r="H542">
        <v>541</v>
      </c>
      <c r="I542">
        <v>68.404983313724458</v>
      </c>
    </row>
    <row r="543" spans="8:9" x14ac:dyDescent="0.25">
      <c r="H543">
        <v>542</v>
      </c>
      <c r="I543">
        <v>50.426116848374235</v>
      </c>
    </row>
    <row r="544" spans="8:9" x14ac:dyDescent="0.25">
      <c r="H544">
        <v>543</v>
      </c>
      <c r="I544">
        <v>61.87768370036958</v>
      </c>
    </row>
    <row r="545" spans="8:9" x14ac:dyDescent="0.25">
      <c r="H545">
        <v>544</v>
      </c>
      <c r="I545">
        <v>67.641326119371755</v>
      </c>
    </row>
    <row r="546" spans="8:9" x14ac:dyDescent="0.25">
      <c r="H546">
        <v>545</v>
      </c>
      <c r="I546">
        <v>63.100404334850452</v>
      </c>
    </row>
    <row r="547" spans="8:9" x14ac:dyDescent="0.25">
      <c r="H547">
        <v>546</v>
      </c>
      <c r="I547">
        <v>64.228751395898826</v>
      </c>
    </row>
    <row r="548" spans="8:9" x14ac:dyDescent="0.25">
      <c r="H548">
        <v>547</v>
      </c>
      <c r="I548">
        <v>65.019074249749551</v>
      </c>
    </row>
    <row r="549" spans="8:9" x14ac:dyDescent="0.25">
      <c r="H549">
        <v>548</v>
      </c>
      <c r="I549">
        <v>69.768687655047756</v>
      </c>
    </row>
    <row r="550" spans="8:9" x14ac:dyDescent="0.25">
      <c r="H550">
        <v>549</v>
      </c>
      <c r="I550">
        <v>62.360232210291066</v>
      </c>
    </row>
    <row r="551" spans="8:9" x14ac:dyDescent="0.25">
      <c r="H551">
        <v>550</v>
      </c>
      <c r="I551">
        <v>68.439800539011074</v>
      </c>
    </row>
    <row r="552" spans="8:9" x14ac:dyDescent="0.25">
      <c r="H552">
        <v>551</v>
      </c>
      <c r="I552">
        <v>39.035223962450637</v>
      </c>
    </row>
    <row r="553" spans="8:9" x14ac:dyDescent="0.25">
      <c r="H553">
        <v>552</v>
      </c>
      <c r="I553">
        <v>61.136030662084664</v>
      </c>
    </row>
    <row r="554" spans="8:9" x14ac:dyDescent="0.25">
      <c r="H554">
        <v>553</v>
      </c>
      <c r="I554">
        <v>68.865229476312322</v>
      </c>
    </row>
    <row r="555" spans="8:9" x14ac:dyDescent="0.25">
      <c r="H555">
        <v>554</v>
      </c>
      <c r="I555">
        <v>62.318293949836047</v>
      </c>
    </row>
    <row r="556" spans="8:9" x14ac:dyDescent="0.25">
      <c r="H556">
        <v>555</v>
      </c>
      <c r="I556">
        <v>68.28360303731624</v>
      </c>
    </row>
    <row r="557" spans="8:9" x14ac:dyDescent="0.25">
      <c r="H557">
        <v>556</v>
      </c>
      <c r="I557">
        <v>56.41474403136867</v>
      </c>
    </row>
    <row r="558" spans="8:9" x14ac:dyDescent="0.25">
      <c r="H558">
        <v>557</v>
      </c>
      <c r="I558">
        <v>68.883515623672253</v>
      </c>
    </row>
    <row r="559" spans="8:9" x14ac:dyDescent="0.25">
      <c r="H559">
        <v>558</v>
      </c>
      <c r="I559">
        <v>67.314701669366741</v>
      </c>
    </row>
    <row r="560" spans="8:9" x14ac:dyDescent="0.25">
      <c r="H560">
        <v>559</v>
      </c>
      <c r="I560">
        <v>64.782345932117735</v>
      </c>
    </row>
    <row r="561" spans="8:9" x14ac:dyDescent="0.25">
      <c r="H561">
        <v>560</v>
      </c>
      <c r="I561">
        <v>52.316613215161887</v>
      </c>
    </row>
    <row r="562" spans="8:9" x14ac:dyDescent="0.25">
      <c r="H562">
        <v>561</v>
      </c>
      <c r="I562">
        <v>56.125607543286421</v>
      </c>
    </row>
    <row r="563" spans="8:9" x14ac:dyDescent="0.25">
      <c r="H563">
        <v>562</v>
      </c>
      <c r="I563">
        <v>64.760449861652575</v>
      </c>
    </row>
    <row r="564" spans="8:9" x14ac:dyDescent="0.25">
      <c r="H564">
        <v>563</v>
      </c>
      <c r="I564">
        <v>58.144417904316192</v>
      </c>
    </row>
    <row r="565" spans="8:9" x14ac:dyDescent="0.25">
      <c r="H565">
        <v>564</v>
      </c>
      <c r="I565">
        <v>57.423683731883287</v>
      </c>
    </row>
    <row r="566" spans="8:9" x14ac:dyDescent="0.25">
      <c r="H566">
        <v>565</v>
      </c>
      <c r="I566">
        <v>53.33659700322162</v>
      </c>
    </row>
    <row r="567" spans="8:9" x14ac:dyDescent="0.25">
      <c r="H567">
        <v>566</v>
      </c>
      <c r="I567">
        <v>69.098816771670201</v>
      </c>
    </row>
    <row r="568" spans="8:9" x14ac:dyDescent="0.25">
      <c r="H568">
        <v>567</v>
      </c>
      <c r="I568">
        <v>55.136814479941407</v>
      </c>
    </row>
    <row r="569" spans="8:9" x14ac:dyDescent="0.25">
      <c r="H569">
        <v>568</v>
      </c>
      <c r="I569">
        <v>64.269909148873822</v>
      </c>
    </row>
    <row r="570" spans="8:9" x14ac:dyDescent="0.25">
      <c r="H570">
        <v>569</v>
      </c>
      <c r="I570">
        <v>63.047049244765716</v>
      </c>
    </row>
    <row r="571" spans="8:9" x14ac:dyDescent="0.25">
      <c r="H571">
        <v>570</v>
      </c>
      <c r="I571">
        <v>51.070760176838853</v>
      </c>
    </row>
    <row r="572" spans="8:9" x14ac:dyDescent="0.25">
      <c r="H572">
        <v>571</v>
      </c>
      <c r="I572">
        <v>53.955664786557847</v>
      </c>
    </row>
    <row r="573" spans="8:9" x14ac:dyDescent="0.25">
      <c r="H573">
        <v>572</v>
      </c>
      <c r="I573">
        <v>48.268417638988517</v>
      </c>
    </row>
    <row r="574" spans="8:9" x14ac:dyDescent="0.25">
      <c r="H574">
        <v>573</v>
      </c>
      <c r="I574">
        <v>39.322401539540053</v>
      </c>
    </row>
    <row r="575" spans="8:9" x14ac:dyDescent="0.25">
      <c r="H575">
        <v>574</v>
      </c>
      <c r="I575">
        <v>64.594320197843246</v>
      </c>
    </row>
    <row r="576" spans="8:9" x14ac:dyDescent="0.25">
      <c r="H576">
        <v>575</v>
      </c>
      <c r="I576">
        <v>60.927818740744087</v>
      </c>
    </row>
    <row r="577" spans="8:9" x14ac:dyDescent="0.25">
      <c r="H577">
        <v>576</v>
      </c>
      <c r="I577">
        <v>58.607956895493501</v>
      </c>
    </row>
    <row r="578" spans="8:9" x14ac:dyDescent="0.25">
      <c r="H578">
        <v>577</v>
      </c>
      <c r="I578">
        <v>62.034268707511067</v>
      </c>
    </row>
    <row r="579" spans="8:9" x14ac:dyDescent="0.25">
      <c r="H579">
        <v>578</v>
      </c>
      <c r="I579">
        <v>67.859648095969803</v>
      </c>
    </row>
    <row r="580" spans="8:9" x14ac:dyDescent="0.25">
      <c r="H580">
        <v>579</v>
      </c>
      <c r="I580">
        <v>54.576997804439522</v>
      </c>
    </row>
    <row r="581" spans="8:9" x14ac:dyDescent="0.25">
      <c r="H581">
        <v>580</v>
      </c>
      <c r="I581">
        <v>51.163630847221242</v>
      </c>
    </row>
    <row r="582" spans="8:9" x14ac:dyDescent="0.25">
      <c r="H582">
        <v>581</v>
      </c>
      <c r="I582">
        <v>59.269952576745247</v>
      </c>
    </row>
    <row r="583" spans="8:9" x14ac:dyDescent="0.25">
      <c r="H583">
        <v>582</v>
      </c>
      <c r="I583">
        <v>65.940022001066524</v>
      </c>
    </row>
    <row r="584" spans="8:9" x14ac:dyDescent="0.25">
      <c r="H584">
        <v>583</v>
      </c>
      <c r="I584">
        <v>57.159847726485658</v>
      </c>
    </row>
    <row r="585" spans="8:9" x14ac:dyDescent="0.25">
      <c r="H585">
        <v>584</v>
      </c>
      <c r="I585">
        <v>62.191929218954428</v>
      </c>
    </row>
    <row r="586" spans="8:9" x14ac:dyDescent="0.25">
      <c r="H586">
        <v>585</v>
      </c>
      <c r="I586">
        <v>56.443457542740589</v>
      </c>
    </row>
    <row r="587" spans="8:9" x14ac:dyDescent="0.25">
      <c r="H587">
        <v>586</v>
      </c>
      <c r="I587">
        <v>42.954536057205281</v>
      </c>
    </row>
    <row r="588" spans="8:9" x14ac:dyDescent="0.25">
      <c r="H588">
        <v>587</v>
      </c>
      <c r="I588">
        <v>63.080146916922921</v>
      </c>
    </row>
    <row r="589" spans="8:9" x14ac:dyDescent="0.25">
      <c r="H589">
        <v>588</v>
      </c>
      <c r="I589">
        <v>62.89237709612879</v>
      </c>
    </row>
    <row r="590" spans="8:9" x14ac:dyDescent="0.25">
      <c r="H590">
        <v>589</v>
      </c>
      <c r="I590">
        <v>65.713002143773522</v>
      </c>
    </row>
    <row r="591" spans="8:9" x14ac:dyDescent="0.25">
      <c r="H591">
        <v>590</v>
      </c>
      <c r="I591">
        <v>67.823284518970894</v>
      </c>
    </row>
    <row r="592" spans="8:9" x14ac:dyDescent="0.25">
      <c r="H592">
        <v>591</v>
      </c>
      <c r="I592">
        <v>68.040602839894362</v>
      </c>
    </row>
    <row r="593" spans="8:9" x14ac:dyDescent="0.25">
      <c r="H593">
        <v>592</v>
      </c>
      <c r="I593">
        <v>63.602369489160829</v>
      </c>
    </row>
    <row r="594" spans="8:9" x14ac:dyDescent="0.25">
      <c r="H594">
        <v>593</v>
      </c>
      <c r="I594">
        <v>57.517228769617944</v>
      </c>
    </row>
    <row r="595" spans="8:9" x14ac:dyDescent="0.25">
      <c r="H595">
        <v>594</v>
      </c>
      <c r="I595">
        <v>68.911764261623475</v>
      </c>
    </row>
    <row r="596" spans="8:9" x14ac:dyDescent="0.25">
      <c r="H596">
        <v>595</v>
      </c>
      <c r="I596">
        <v>68.843260779782653</v>
      </c>
    </row>
    <row r="597" spans="8:9" x14ac:dyDescent="0.25">
      <c r="H597">
        <v>596</v>
      </c>
      <c r="I597">
        <v>59.358657148065568</v>
      </c>
    </row>
    <row r="598" spans="8:9" x14ac:dyDescent="0.25">
      <c r="H598">
        <v>597</v>
      </c>
      <c r="I598">
        <v>66.33526125818814</v>
      </c>
    </row>
    <row r="599" spans="8:9" x14ac:dyDescent="0.25">
      <c r="H599">
        <v>598</v>
      </c>
      <c r="I599">
        <v>66.783315268366366</v>
      </c>
    </row>
    <row r="600" spans="8:9" x14ac:dyDescent="0.25">
      <c r="H600">
        <v>599</v>
      </c>
      <c r="I600">
        <v>65.46231954788918</v>
      </c>
    </row>
    <row r="601" spans="8:9" x14ac:dyDescent="0.25">
      <c r="H601">
        <v>600</v>
      </c>
      <c r="I601">
        <v>62.89011197604615</v>
      </c>
    </row>
    <row r="602" spans="8:9" x14ac:dyDescent="0.25">
      <c r="H602">
        <v>601</v>
      </c>
      <c r="I602">
        <v>67.913001489807328</v>
      </c>
    </row>
    <row r="603" spans="8:9" x14ac:dyDescent="0.25">
      <c r="H603">
        <v>602</v>
      </c>
      <c r="I603">
        <v>58.359090068056737</v>
      </c>
    </row>
    <row r="604" spans="8:9" x14ac:dyDescent="0.25">
      <c r="H604">
        <v>603</v>
      </c>
      <c r="I604">
        <v>55.712349289969538</v>
      </c>
    </row>
    <row r="605" spans="8:9" x14ac:dyDescent="0.25">
      <c r="H605">
        <v>604</v>
      </c>
      <c r="I605">
        <v>67.375334618827182</v>
      </c>
    </row>
    <row r="606" spans="8:9" x14ac:dyDescent="0.25">
      <c r="H606">
        <v>605</v>
      </c>
      <c r="I606">
        <v>69.042967362833437</v>
      </c>
    </row>
    <row r="607" spans="8:9" x14ac:dyDescent="0.25">
      <c r="H607">
        <v>606</v>
      </c>
      <c r="I607">
        <v>56.776119194221451</v>
      </c>
    </row>
    <row r="608" spans="8:9" x14ac:dyDescent="0.25">
      <c r="H608">
        <v>607</v>
      </c>
      <c r="I608">
        <v>66.917125902031231</v>
      </c>
    </row>
    <row r="609" spans="8:9" x14ac:dyDescent="0.25">
      <c r="H609">
        <v>608</v>
      </c>
      <c r="I609">
        <v>38.844522679641088</v>
      </c>
    </row>
    <row r="610" spans="8:9" x14ac:dyDescent="0.25">
      <c r="H610">
        <v>609</v>
      </c>
      <c r="I610">
        <v>68.033785442862552</v>
      </c>
    </row>
    <row r="611" spans="8:9" x14ac:dyDescent="0.25">
      <c r="H611">
        <v>610</v>
      </c>
      <c r="I611">
        <v>69.809884327311011</v>
      </c>
    </row>
    <row r="612" spans="8:9" x14ac:dyDescent="0.25">
      <c r="H612">
        <v>611</v>
      </c>
      <c r="I612">
        <v>58.34016754715433</v>
      </c>
    </row>
    <row r="613" spans="8:9" x14ac:dyDescent="0.25">
      <c r="H613">
        <v>612</v>
      </c>
      <c r="I613">
        <v>54.610051572871768</v>
      </c>
    </row>
    <row r="614" spans="8:9" x14ac:dyDescent="0.25">
      <c r="H614">
        <v>613</v>
      </c>
      <c r="I614">
        <v>67.603955602596074</v>
      </c>
    </row>
    <row r="615" spans="8:9" x14ac:dyDescent="0.25">
      <c r="H615">
        <v>614</v>
      </c>
      <c r="I615">
        <v>68.460767996152711</v>
      </c>
    </row>
    <row r="616" spans="8:9" x14ac:dyDescent="0.25">
      <c r="H616">
        <v>615</v>
      </c>
      <c r="I616">
        <v>67.753150234980708</v>
      </c>
    </row>
    <row r="617" spans="8:9" x14ac:dyDescent="0.25">
      <c r="H617">
        <v>616</v>
      </c>
      <c r="I617">
        <v>52.257352545414157</v>
      </c>
    </row>
    <row r="618" spans="8:9" x14ac:dyDescent="0.25">
      <c r="H618">
        <v>617</v>
      </c>
      <c r="I618">
        <v>60.483858578163094</v>
      </c>
    </row>
    <row r="619" spans="8:9" x14ac:dyDescent="0.25">
      <c r="H619">
        <v>618</v>
      </c>
      <c r="I619">
        <v>56.657933180604878</v>
      </c>
    </row>
    <row r="620" spans="8:9" x14ac:dyDescent="0.25">
      <c r="H620">
        <v>619</v>
      </c>
      <c r="I620">
        <v>66.571418688174617</v>
      </c>
    </row>
    <row r="621" spans="8:9" x14ac:dyDescent="0.25">
      <c r="H621">
        <v>620</v>
      </c>
      <c r="I621">
        <v>61.276083609375739</v>
      </c>
    </row>
    <row r="622" spans="8:9" x14ac:dyDescent="0.25">
      <c r="H622">
        <v>621</v>
      </c>
      <c r="I622">
        <v>66.279153481202854</v>
      </c>
    </row>
    <row r="623" spans="8:9" x14ac:dyDescent="0.25">
      <c r="H623">
        <v>622</v>
      </c>
      <c r="I623">
        <v>63.577736467013167</v>
      </c>
    </row>
    <row r="624" spans="8:9" x14ac:dyDescent="0.25">
      <c r="H624">
        <v>623</v>
      </c>
      <c r="I624">
        <v>68.048861299599594</v>
      </c>
    </row>
    <row r="625" spans="8:9" x14ac:dyDescent="0.25">
      <c r="H625">
        <v>624</v>
      </c>
      <c r="I625">
        <v>64.328347649398793</v>
      </c>
    </row>
    <row r="626" spans="8:9" x14ac:dyDescent="0.25">
      <c r="H626">
        <v>625</v>
      </c>
      <c r="I626">
        <v>66.341179457262086</v>
      </c>
    </row>
    <row r="627" spans="8:9" x14ac:dyDescent="0.25">
      <c r="H627">
        <v>626</v>
      </c>
      <c r="I627">
        <v>61.638726565143649</v>
      </c>
    </row>
    <row r="628" spans="8:9" x14ac:dyDescent="0.25">
      <c r="H628">
        <v>627</v>
      </c>
      <c r="I628">
        <v>54.617475222905028</v>
      </c>
    </row>
    <row r="629" spans="8:9" x14ac:dyDescent="0.25">
      <c r="H629">
        <v>628</v>
      </c>
      <c r="I629">
        <v>61.315379608068611</v>
      </c>
    </row>
    <row r="630" spans="8:9" x14ac:dyDescent="0.25">
      <c r="H630">
        <v>629</v>
      </c>
      <c r="I630">
        <v>47.487585790675034</v>
      </c>
    </row>
    <row r="631" spans="8:9" x14ac:dyDescent="0.25">
      <c r="H631">
        <v>630</v>
      </c>
      <c r="I631">
        <v>58.373504016003821</v>
      </c>
    </row>
    <row r="632" spans="8:9" x14ac:dyDescent="0.25">
      <c r="H632">
        <v>631</v>
      </c>
      <c r="I632">
        <v>61.351603808945342</v>
      </c>
    </row>
    <row r="633" spans="8:9" x14ac:dyDescent="0.25">
      <c r="H633">
        <v>632</v>
      </c>
      <c r="I633">
        <v>52.588943862392156</v>
      </c>
    </row>
    <row r="634" spans="8:9" x14ac:dyDescent="0.25">
      <c r="H634">
        <v>633</v>
      </c>
      <c r="I634">
        <v>61.952304248341918</v>
      </c>
    </row>
    <row r="635" spans="8:9" x14ac:dyDescent="0.25">
      <c r="H635">
        <v>634</v>
      </c>
      <c r="I635">
        <v>61.259473640696115</v>
      </c>
    </row>
    <row r="636" spans="8:9" x14ac:dyDescent="0.25">
      <c r="H636">
        <v>635</v>
      </c>
      <c r="I636">
        <v>67.907105775097975</v>
      </c>
    </row>
    <row r="637" spans="8:9" x14ac:dyDescent="0.25">
      <c r="H637">
        <v>636</v>
      </c>
      <c r="I637">
        <v>53.520465027878629</v>
      </c>
    </row>
    <row r="638" spans="8:9" x14ac:dyDescent="0.25">
      <c r="H638">
        <v>637</v>
      </c>
      <c r="I638">
        <v>64.760448302215821</v>
      </c>
    </row>
    <row r="639" spans="8:9" x14ac:dyDescent="0.25">
      <c r="H639">
        <v>638</v>
      </c>
      <c r="I639">
        <v>66.299820050521873</v>
      </c>
    </row>
    <row r="640" spans="8:9" x14ac:dyDescent="0.25">
      <c r="H640">
        <v>639</v>
      </c>
      <c r="I640">
        <v>60.080526404004786</v>
      </c>
    </row>
    <row r="641" spans="8:9" x14ac:dyDescent="0.25">
      <c r="H641">
        <v>640</v>
      </c>
      <c r="I641">
        <v>53.201920311785045</v>
      </c>
    </row>
    <row r="642" spans="8:9" x14ac:dyDescent="0.25">
      <c r="H642">
        <v>641</v>
      </c>
      <c r="I642">
        <v>68.24047701170889</v>
      </c>
    </row>
    <row r="643" spans="8:9" x14ac:dyDescent="0.25">
      <c r="H643">
        <v>642</v>
      </c>
      <c r="I643">
        <v>66.453526445048865</v>
      </c>
    </row>
    <row r="644" spans="8:9" x14ac:dyDescent="0.25">
      <c r="H644">
        <v>643</v>
      </c>
      <c r="I644">
        <v>65.101054671168868</v>
      </c>
    </row>
    <row r="645" spans="8:9" x14ac:dyDescent="0.25">
      <c r="H645">
        <v>644</v>
      </c>
      <c r="I645">
        <v>69.679095818985203</v>
      </c>
    </row>
    <row r="646" spans="8:9" x14ac:dyDescent="0.25">
      <c r="H646">
        <v>645</v>
      </c>
      <c r="I646">
        <v>59.734316191180625</v>
      </c>
    </row>
    <row r="647" spans="8:9" x14ac:dyDescent="0.25">
      <c r="H647">
        <v>646</v>
      </c>
      <c r="I647">
        <v>62.432684647045065</v>
      </c>
    </row>
    <row r="648" spans="8:9" x14ac:dyDescent="0.25">
      <c r="H648">
        <v>647</v>
      </c>
      <c r="I648">
        <v>65.563571262251315</v>
      </c>
    </row>
    <row r="649" spans="8:9" x14ac:dyDescent="0.25">
      <c r="H649">
        <v>648</v>
      </c>
      <c r="I649">
        <v>51.691581111120243</v>
      </c>
    </row>
    <row r="650" spans="8:9" x14ac:dyDescent="0.25">
      <c r="H650">
        <v>649</v>
      </c>
      <c r="I650">
        <v>61.302427439488632</v>
      </c>
    </row>
    <row r="651" spans="8:9" x14ac:dyDescent="0.25">
      <c r="H651">
        <v>650</v>
      </c>
      <c r="I651">
        <v>60.249378617498927</v>
      </c>
    </row>
    <row r="652" spans="8:9" x14ac:dyDescent="0.25">
      <c r="H652">
        <v>651</v>
      </c>
      <c r="I652">
        <v>58.536063790179362</v>
      </c>
    </row>
    <row r="653" spans="8:9" x14ac:dyDescent="0.25">
      <c r="H653">
        <v>652</v>
      </c>
      <c r="I653">
        <v>55.157302875510325</v>
      </c>
    </row>
    <row r="654" spans="8:9" x14ac:dyDescent="0.25">
      <c r="H654">
        <v>653</v>
      </c>
      <c r="I654">
        <v>68.257054087120608</v>
      </c>
    </row>
    <row r="655" spans="8:9" x14ac:dyDescent="0.25">
      <c r="H655">
        <v>654</v>
      </c>
      <c r="I655">
        <v>69.457386453687889</v>
      </c>
    </row>
    <row r="656" spans="8:9" x14ac:dyDescent="0.25">
      <c r="H656">
        <v>655</v>
      </c>
      <c r="I656">
        <v>68.182790503109274</v>
      </c>
    </row>
    <row r="657" spans="8:9" x14ac:dyDescent="0.25">
      <c r="H657">
        <v>656</v>
      </c>
      <c r="I657">
        <v>51.436832660965443</v>
      </c>
    </row>
    <row r="658" spans="8:9" x14ac:dyDescent="0.25">
      <c r="H658">
        <v>657</v>
      </c>
      <c r="I658">
        <v>57.471269183874455</v>
      </c>
    </row>
    <row r="659" spans="8:9" x14ac:dyDescent="0.25">
      <c r="H659">
        <v>658</v>
      </c>
      <c r="I659">
        <v>68.88035385261685</v>
      </c>
    </row>
    <row r="660" spans="8:9" x14ac:dyDescent="0.25">
      <c r="H660">
        <v>659</v>
      </c>
      <c r="I660">
        <v>61.243923720905755</v>
      </c>
    </row>
    <row r="661" spans="8:9" x14ac:dyDescent="0.25">
      <c r="H661">
        <v>660</v>
      </c>
      <c r="I661">
        <v>51.033449660496835</v>
      </c>
    </row>
    <row r="662" spans="8:9" x14ac:dyDescent="0.25">
      <c r="H662">
        <v>661</v>
      </c>
      <c r="I662">
        <v>64.914691680965078</v>
      </c>
    </row>
    <row r="663" spans="8:9" x14ac:dyDescent="0.25">
      <c r="H663">
        <v>662</v>
      </c>
      <c r="I663">
        <v>69.364317688429125</v>
      </c>
    </row>
    <row r="664" spans="8:9" x14ac:dyDescent="0.25">
      <c r="H664">
        <v>663</v>
      </c>
      <c r="I664">
        <v>62.681840946982035</v>
      </c>
    </row>
    <row r="665" spans="8:9" x14ac:dyDescent="0.25">
      <c r="H665">
        <v>664</v>
      </c>
      <c r="I665">
        <v>57.683905046911761</v>
      </c>
    </row>
    <row r="666" spans="8:9" x14ac:dyDescent="0.25">
      <c r="H666">
        <v>665</v>
      </c>
      <c r="I666">
        <v>67.756851782957639</v>
      </c>
    </row>
    <row r="667" spans="8:9" x14ac:dyDescent="0.25">
      <c r="H667">
        <v>666</v>
      </c>
      <c r="I667">
        <v>64.549436114905475</v>
      </c>
    </row>
    <row r="668" spans="8:9" x14ac:dyDescent="0.25">
      <c r="H668">
        <v>667</v>
      </c>
      <c r="I668">
        <v>68.957382878230504</v>
      </c>
    </row>
    <row r="669" spans="8:9" x14ac:dyDescent="0.25">
      <c r="H669">
        <v>668</v>
      </c>
      <c r="I669">
        <v>64.648793876910446</v>
      </c>
    </row>
    <row r="670" spans="8:9" x14ac:dyDescent="0.25">
      <c r="H670">
        <v>669</v>
      </c>
      <c r="I670">
        <v>66.173669149922958</v>
      </c>
    </row>
    <row r="671" spans="8:9" x14ac:dyDescent="0.25">
      <c r="H671">
        <v>670</v>
      </c>
      <c r="I671">
        <v>66.510350938508935</v>
      </c>
    </row>
    <row r="672" spans="8:9" x14ac:dyDescent="0.25">
      <c r="H672">
        <v>671</v>
      </c>
      <c r="I672">
        <v>57.286870118969475</v>
      </c>
    </row>
    <row r="673" spans="8:9" x14ac:dyDescent="0.25">
      <c r="H673">
        <v>672</v>
      </c>
      <c r="I673">
        <v>64.493674490338989</v>
      </c>
    </row>
    <row r="674" spans="8:9" x14ac:dyDescent="0.25">
      <c r="H674">
        <v>673</v>
      </c>
      <c r="I674">
        <v>55.641078430235439</v>
      </c>
    </row>
    <row r="675" spans="8:9" x14ac:dyDescent="0.25">
      <c r="H675">
        <v>674</v>
      </c>
      <c r="I675">
        <v>62.689169076303124</v>
      </c>
    </row>
    <row r="676" spans="8:9" x14ac:dyDescent="0.25">
      <c r="H676">
        <v>675</v>
      </c>
      <c r="I676">
        <v>69.477544930571142</v>
      </c>
    </row>
    <row r="677" spans="8:9" x14ac:dyDescent="0.25">
      <c r="H677">
        <v>676</v>
      </c>
      <c r="I677">
        <v>47.171550047563692</v>
      </c>
    </row>
    <row r="678" spans="8:9" x14ac:dyDescent="0.25">
      <c r="H678">
        <v>677</v>
      </c>
      <c r="I678">
        <v>55.361184316660662</v>
      </c>
    </row>
    <row r="679" spans="8:9" x14ac:dyDescent="0.25">
      <c r="H679">
        <v>678</v>
      </c>
      <c r="I679">
        <v>64.964216474019935</v>
      </c>
    </row>
    <row r="680" spans="8:9" x14ac:dyDescent="0.25">
      <c r="H680">
        <v>679</v>
      </c>
      <c r="I680">
        <v>57.247998448151989</v>
      </c>
    </row>
    <row r="681" spans="8:9" x14ac:dyDescent="0.25">
      <c r="H681">
        <v>680</v>
      </c>
      <c r="I681">
        <v>64.165026652018511</v>
      </c>
    </row>
    <row r="682" spans="8:9" x14ac:dyDescent="0.25">
      <c r="H682">
        <v>681</v>
      </c>
      <c r="I682">
        <v>68.584995031193031</v>
      </c>
    </row>
    <row r="683" spans="8:9" x14ac:dyDescent="0.25">
      <c r="H683">
        <v>682</v>
      </c>
      <c r="I683">
        <v>62.571768819950528</v>
      </c>
    </row>
    <row r="684" spans="8:9" x14ac:dyDescent="0.25">
      <c r="H684">
        <v>683</v>
      </c>
      <c r="I684">
        <v>61.73884435736548</v>
      </c>
    </row>
    <row r="685" spans="8:9" x14ac:dyDescent="0.25">
      <c r="H685">
        <v>684</v>
      </c>
      <c r="I685">
        <v>33.877781526611471</v>
      </c>
    </row>
    <row r="686" spans="8:9" x14ac:dyDescent="0.25">
      <c r="H686">
        <v>685</v>
      </c>
      <c r="I686">
        <v>59.970538866711863</v>
      </c>
    </row>
    <row r="687" spans="8:9" x14ac:dyDescent="0.25">
      <c r="H687">
        <v>686</v>
      </c>
      <c r="I687">
        <v>62.218733768730459</v>
      </c>
    </row>
    <row r="688" spans="8:9" x14ac:dyDescent="0.25">
      <c r="H688">
        <v>687</v>
      </c>
      <c r="I688">
        <v>60.980593149120836</v>
      </c>
    </row>
    <row r="689" spans="8:9" x14ac:dyDescent="0.25">
      <c r="H689">
        <v>688</v>
      </c>
      <c r="I689">
        <v>57.505262707572911</v>
      </c>
    </row>
    <row r="690" spans="8:9" x14ac:dyDescent="0.25">
      <c r="H690">
        <v>689</v>
      </c>
      <c r="I690">
        <v>63.387775749139749</v>
      </c>
    </row>
    <row r="691" spans="8:9" x14ac:dyDescent="0.25">
      <c r="H691">
        <v>690</v>
      </c>
      <c r="I691">
        <v>51.997067668600238</v>
      </c>
    </row>
    <row r="692" spans="8:9" x14ac:dyDescent="0.25">
      <c r="H692">
        <v>691</v>
      </c>
      <c r="I692">
        <v>61.029797647822306</v>
      </c>
    </row>
    <row r="693" spans="8:9" x14ac:dyDescent="0.25">
      <c r="H693">
        <v>692</v>
      </c>
      <c r="I693">
        <v>61.070428157076975</v>
      </c>
    </row>
    <row r="694" spans="8:9" x14ac:dyDescent="0.25">
      <c r="H694">
        <v>693</v>
      </c>
      <c r="I694">
        <v>48.37628692696763</v>
      </c>
    </row>
    <row r="695" spans="8:9" x14ac:dyDescent="0.25">
      <c r="H695">
        <v>694</v>
      </c>
      <c r="I695">
        <v>60.283084487320821</v>
      </c>
    </row>
    <row r="696" spans="8:9" x14ac:dyDescent="0.25">
      <c r="H696">
        <v>695</v>
      </c>
      <c r="I696">
        <v>60.444688663419385</v>
      </c>
    </row>
    <row r="697" spans="8:9" x14ac:dyDescent="0.25">
      <c r="H697">
        <v>696</v>
      </c>
      <c r="I697">
        <v>60.00910547339717</v>
      </c>
    </row>
    <row r="698" spans="8:9" x14ac:dyDescent="0.25">
      <c r="H698">
        <v>697</v>
      </c>
      <c r="I698">
        <v>65.734201007866574</v>
      </c>
    </row>
    <row r="699" spans="8:9" x14ac:dyDescent="0.25">
      <c r="H699">
        <v>698</v>
      </c>
      <c r="I699">
        <v>61.80379625189348</v>
      </c>
    </row>
    <row r="700" spans="8:9" x14ac:dyDescent="0.25">
      <c r="H700">
        <v>699</v>
      </c>
      <c r="I700">
        <v>58.785435339844597</v>
      </c>
    </row>
    <row r="701" spans="8:9" x14ac:dyDescent="0.25">
      <c r="H701">
        <v>700</v>
      </c>
      <c r="I701">
        <v>46.493707484944863</v>
      </c>
    </row>
    <row r="702" spans="8:9" x14ac:dyDescent="0.25">
      <c r="H702">
        <v>701</v>
      </c>
      <c r="I702">
        <v>63.350097394704846</v>
      </c>
    </row>
    <row r="703" spans="8:9" x14ac:dyDescent="0.25">
      <c r="H703">
        <v>702</v>
      </c>
      <c r="I703">
        <v>65.064630034049173</v>
      </c>
    </row>
    <row r="704" spans="8:9" x14ac:dyDescent="0.25">
      <c r="H704">
        <v>703</v>
      </c>
      <c r="I704">
        <v>57.731666472154586</v>
      </c>
    </row>
    <row r="705" spans="8:9" x14ac:dyDescent="0.25">
      <c r="H705">
        <v>704</v>
      </c>
      <c r="I705">
        <v>62.892938924026922</v>
      </c>
    </row>
    <row r="706" spans="8:9" x14ac:dyDescent="0.25">
      <c r="H706">
        <v>705</v>
      </c>
      <c r="I706">
        <v>68.724744032161766</v>
      </c>
    </row>
    <row r="707" spans="8:9" x14ac:dyDescent="0.25">
      <c r="H707">
        <v>706</v>
      </c>
      <c r="I707">
        <v>56.53225495434129</v>
      </c>
    </row>
    <row r="708" spans="8:9" x14ac:dyDescent="0.25">
      <c r="H708">
        <v>707</v>
      </c>
      <c r="I708">
        <v>60.239262555889432</v>
      </c>
    </row>
    <row r="709" spans="8:9" x14ac:dyDescent="0.25">
      <c r="H709">
        <v>708</v>
      </c>
      <c r="I709">
        <v>48.835390641350948</v>
      </c>
    </row>
    <row r="710" spans="8:9" x14ac:dyDescent="0.25">
      <c r="H710">
        <v>709</v>
      </c>
      <c r="I710">
        <v>54.894891799152802</v>
      </c>
    </row>
    <row r="711" spans="8:9" x14ac:dyDescent="0.25">
      <c r="H711">
        <v>710</v>
      </c>
      <c r="I711">
        <v>56.933106087084354</v>
      </c>
    </row>
    <row r="712" spans="8:9" x14ac:dyDescent="0.25">
      <c r="H712">
        <v>711</v>
      </c>
      <c r="I712">
        <v>50.444355574376942</v>
      </c>
    </row>
    <row r="713" spans="8:9" x14ac:dyDescent="0.25">
      <c r="H713">
        <v>712</v>
      </c>
      <c r="I713">
        <v>69.795846533551966</v>
      </c>
    </row>
    <row r="714" spans="8:9" x14ac:dyDescent="0.25">
      <c r="H714">
        <v>713</v>
      </c>
      <c r="I714">
        <v>61.570078788761798</v>
      </c>
    </row>
    <row r="715" spans="8:9" x14ac:dyDescent="0.25">
      <c r="H715">
        <v>714</v>
      </c>
      <c r="I715">
        <v>47.503892436296084</v>
      </c>
    </row>
    <row r="716" spans="8:9" x14ac:dyDescent="0.25">
      <c r="H716">
        <v>715</v>
      </c>
      <c r="I716">
        <v>67.843267716290285</v>
      </c>
    </row>
    <row r="717" spans="8:9" x14ac:dyDescent="0.25">
      <c r="H717">
        <v>716</v>
      </c>
      <c r="I717">
        <v>65.435619977094518</v>
      </c>
    </row>
    <row r="718" spans="8:9" x14ac:dyDescent="0.25">
      <c r="H718">
        <v>717</v>
      </c>
      <c r="I718">
        <v>42.515942308666325</v>
      </c>
    </row>
    <row r="719" spans="8:9" x14ac:dyDescent="0.25">
      <c r="H719">
        <v>718</v>
      </c>
      <c r="I719">
        <v>61.13190163622864</v>
      </c>
    </row>
    <row r="720" spans="8:9" x14ac:dyDescent="0.25">
      <c r="H720">
        <v>719</v>
      </c>
      <c r="I720">
        <v>59.282373909265303</v>
      </c>
    </row>
    <row r="721" spans="8:9" x14ac:dyDescent="0.25">
      <c r="H721">
        <v>720</v>
      </c>
      <c r="I721">
        <v>66.787364871789038</v>
      </c>
    </row>
    <row r="722" spans="8:9" x14ac:dyDescent="0.25">
      <c r="H722">
        <v>721</v>
      </c>
      <c r="I722">
        <v>58.072126287377614</v>
      </c>
    </row>
    <row r="723" spans="8:9" x14ac:dyDescent="0.25">
      <c r="H723">
        <v>722</v>
      </c>
      <c r="I723">
        <v>66.098709567001251</v>
      </c>
    </row>
    <row r="724" spans="8:9" x14ac:dyDescent="0.25">
      <c r="H724">
        <v>723</v>
      </c>
      <c r="I724">
        <v>64.73143903329013</v>
      </c>
    </row>
    <row r="725" spans="8:9" x14ac:dyDescent="0.25">
      <c r="H725">
        <v>724</v>
      </c>
      <c r="I725">
        <v>60.348760404103594</v>
      </c>
    </row>
    <row r="726" spans="8:9" x14ac:dyDescent="0.25">
      <c r="H726">
        <v>725</v>
      </c>
      <c r="I726">
        <v>68.769778962532271</v>
      </c>
    </row>
    <row r="727" spans="8:9" x14ac:dyDescent="0.25">
      <c r="H727">
        <v>726</v>
      </c>
      <c r="I727">
        <v>52.246003217142835</v>
      </c>
    </row>
    <row r="728" spans="8:9" x14ac:dyDescent="0.25">
      <c r="H728">
        <v>727</v>
      </c>
      <c r="I728">
        <v>62.698217816906627</v>
      </c>
    </row>
    <row r="729" spans="8:9" x14ac:dyDescent="0.25">
      <c r="H729">
        <v>728</v>
      </c>
      <c r="I729">
        <v>57.250495011508079</v>
      </c>
    </row>
    <row r="730" spans="8:9" x14ac:dyDescent="0.25">
      <c r="H730">
        <v>729</v>
      </c>
      <c r="I730">
        <v>66.806555730493244</v>
      </c>
    </row>
    <row r="731" spans="8:9" x14ac:dyDescent="0.25">
      <c r="H731">
        <v>730</v>
      </c>
      <c r="I731">
        <v>43.780200471473954</v>
      </c>
    </row>
    <row r="732" spans="8:9" x14ac:dyDescent="0.25">
      <c r="H732">
        <v>731</v>
      </c>
      <c r="I732">
        <v>68.595826202857808</v>
      </c>
    </row>
    <row r="733" spans="8:9" x14ac:dyDescent="0.25">
      <c r="H733">
        <v>732</v>
      </c>
      <c r="I733">
        <v>59.955192197717942</v>
      </c>
    </row>
    <row r="734" spans="8:9" x14ac:dyDescent="0.25">
      <c r="H734">
        <v>733</v>
      </c>
      <c r="I734">
        <v>52.413104508786205</v>
      </c>
    </row>
    <row r="735" spans="8:9" x14ac:dyDescent="0.25">
      <c r="H735">
        <v>734</v>
      </c>
      <c r="I735">
        <v>52.622464981740109</v>
      </c>
    </row>
    <row r="736" spans="8:9" x14ac:dyDescent="0.25">
      <c r="H736">
        <v>735</v>
      </c>
      <c r="I736">
        <v>58.668500275765894</v>
      </c>
    </row>
    <row r="737" spans="8:9" x14ac:dyDescent="0.25">
      <c r="H737">
        <v>736</v>
      </c>
      <c r="I737">
        <v>53.323993257023837</v>
      </c>
    </row>
    <row r="738" spans="8:9" x14ac:dyDescent="0.25">
      <c r="H738">
        <v>737</v>
      </c>
      <c r="I738">
        <v>68.323618396283379</v>
      </c>
    </row>
    <row r="739" spans="8:9" x14ac:dyDescent="0.25">
      <c r="H739">
        <v>738</v>
      </c>
      <c r="I739">
        <v>67.129781888179906</v>
      </c>
    </row>
    <row r="740" spans="8:9" x14ac:dyDescent="0.25">
      <c r="H740">
        <v>739</v>
      </c>
      <c r="I740">
        <v>64.151776771109596</v>
      </c>
    </row>
    <row r="741" spans="8:9" x14ac:dyDescent="0.25">
      <c r="H741">
        <v>740</v>
      </c>
      <c r="I741">
        <v>64.861241505177105</v>
      </c>
    </row>
    <row r="742" spans="8:9" x14ac:dyDescent="0.25">
      <c r="H742">
        <v>741</v>
      </c>
      <c r="I742">
        <v>49.495072794414781</v>
      </c>
    </row>
    <row r="743" spans="8:9" x14ac:dyDescent="0.25">
      <c r="H743">
        <v>742</v>
      </c>
      <c r="I743">
        <v>66.807962746813899</v>
      </c>
    </row>
    <row r="744" spans="8:9" x14ac:dyDescent="0.25">
      <c r="H744">
        <v>743</v>
      </c>
      <c r="I744">
        <v>56.577364255867195</v>
      </c>
    </row>
    <row r="745" spans="8:9" x14ac:dyDescent="0.25">
      <c r="H745">
        <v>744</v>
      </c>
      <c r="I745">
        <v>58.059090765487205</v>
      </c>
    </row>
    <row r="746" spans="8:9" x14ac:dyDescent="0.25">
      <c r="H746">
        <v>745</v>
      </c>
      <c r="I746">
        <v>62.184028215910487</v>
      </c>
    </row>
    <row r="747" spans="8:9" x14ac:dyDescent="0.25">
      <c r="H747">
        <v>746</v>
      </c>
      <c r="I747">
        <v>57.107980511714906</v>
      </c>
    </row>
    <row r="748" spans="8:9" x14ac:dyDescent="0.25">
      <c r="H748">
        <v>747</v>
      </c>
      <c r="I748">
        <v>55.506723926707942</v>
      </c>
    </row>
    <row r="749" spans="8:9" x14ac:dyDescent="0.25">
      <c r="H749">
        <v>748</v>
      </c>
      <c r="I749">
        <v>66.474687179666418</v>
      </c>
    </row>
    <row r="750" spans="8:9" x14ac:dyDescent="0.25">
      <c r="H750">
        <v>749</v>
      </c>
      <c r="I750">
        <v>66.678337152639372</v>
      </c>
    </row>
    <row r="751" spans="8:9" x14ac:dyDescent="0.25">
      <c r="H751">
        <v>750</v>
      </c>
      <c r="I751">
        <v>66.874861510538835</v>
      </c>
    </row>
    <row r="752" spans="8:9" x14ac:dyDescent="0.25">
      <c r="H752">
        <v>751</v>
      </c>
      <c r="I752">
        <v>69.638259923024634</v>
      </c>
    </row>
    <row r="753" spans="8:9" x14ac:dyDescent="0.25">
      <c r="H753">
        <v>752</v>
      </c>
      <c r="I753">
        <v>64.161407130942479</v>
      </c>
    </row>
    <row r="754" spans="8:9" x14ac:dyDescent="0.25">
      <c r="H754">
        <v>753</v>
      </c>
      <c r="I754">
        <v>60.853625912410038</v>
      </c>
    </row>
    <row r="755" spans="8:9" x14ac:dyDescent="0.25">
      <c r="H755">
        <v>754</v>
      </c>
      <c r="I755">
        <v>68.375966530099632</v>
      </c>
    </row>
    <row r="756" spans="8:9" x14ac:dyDescent="0.25">
      <c r="H756">
        <v>755</v>
      </c>
      <c r="I756">
        <v>49.500255078146857</v>
      </c>
    </row>
    <row r="757" spans="8:9" x14ac:dyDescent="0.25">
      <c r="H757">
        <v>756</v>
      </c>
      <c r="I757">
        <v>59.007871606210166</v>
      </c>
    </row>
    <row r="758" spans="8:9" x14ac:dyDescent="0.25">
      <c r="H758">
        <v>757</v>
      </c>
      <c r="I758">
        <v>58.628175691311142</v>
      </c>
    </row>
    <row r="759" spans="8:9" x14ac:dyDescent="0.25">
      <c r="H759">
        <v>758</v>
      </c>
      <c r="I759">
        <v>58.378277859778699</v>
      </c>
    </row>
    <row r="760" spans="8:9" x14ac:dyDescent="0.25">
      <c r="H760">
        <v>759</v>
      </c>
      <c r="I760">
        <v>62.45971034338784</v>
      </c>
    </row>
    <row r="761" spans="8:9" x14ac:dyDescent="0.25">
      <c r="H761">
        <v>760</v>
      </c>
      <c r="I761">
        <v>39.308502960391635</v>
      </c>
    </row>
    <row r="762" spans="8:9" x14ac:dyDescent="0.25">
      <c r="H762">
        <v>761</v>
      </c>
      <c r="I762">
        <v>67.624597731960861</v>
      </c>
    </row>
    <row r="763" spans="8:9" x14ac:dyDescent="0.25">
      <c r="H763">
        <v>762</v>
      </c>
      <c r="I763">
        <v>66.804492279469713</v>
      </c>
    </row>
    <row r="764" spans="8:9" x14ac:dyDescent="0.25">
      <c r="H764">
        <v>763</v>
      </c>
      <c r="I764">
        <v>53.885460568363882</v>
      </c>
    </row>
    <row r="765" spans="8:9" x14ac:dyDescent="0.25">
      <c r="H765">
        <v>764</v>
      </c>
      <c r="I765">
        <v>39.820661717250232</v>
      </c>
    </row>
    <row r="766" spans="8:9" x14ac:dyDescent="0.25">
      <c r="H766">
        <v>765</v>
      </c>
      <c r="I766">
        <v>66.992067985920642</v>
      </c>
    </row>
    <row r="767" spans="8:9" x14ac:dyDescent="0.25">
      <c r="H767">
        <v>766</v>
      </c>
      <c r="I767">
        <v>36.996628554446659</v>
      </c>
    </row>
    <row r="768" spans="8:9" x14ac:dyDescent="0.25">
      <c r="H768">
        <v>767</v>
      </c>
      <c r="I768">
        <v>56.161029879307975</v>
      </c>
    </row>
    <row r="769" spans="8:9" x14ac:dyDescent="0.25">
      <c r="H769">
        <v>768</v>
      </c>
      <c r="I769">
        <v>65.246400932197801</v>
      </c>
    </row>
    <row r="770" spans="8:9" x14ac:dyDescent="0.25">
      <c r="H770">
        <v>769</v>
      </c>
      <c r="I770">
        <v>44.600768522017773</v>
      </c>
    </row>
    <row r="771" spans="8:9" x14ac:dyDescent="0.25">
      <c r="H771">
        <v>770</v>
      </c>
      <c r="I771">
        <v>66.68907173193594</v>
      </c>
    </row>
    <row r="772" spans="8:9" x14ac:dyDescent="0.25">
      <c r="H772">
        <v>771</v>
      </c>
      <c r="I772">
        <v>39.845881116791908</v>
      </c>
    </row>
    <row r="773" spans="8:9" x14ac:dyDescent="0.25">
      <c r="H773">
        <v>772</v>
      </c>
      <c r="I773">
        <v>68.507282266080352</v>
      </c>
    </row>
    <row r="774" spans="8:9" x14ac:dyDescent="0.25">
      <c r="H774">
        <v>773</v>
      </c>
      <c r="I774">
        <v>70.398149343239695</v>
      </c>
    </row>
    <row r="775" spans="8:9" x14ac:dyDescent="0.25">
      <c r="H775">
        <v>774</v>
      </c>
      <c r="I775">
        <v>53.994487785453991</v>
      </c>
    </row>
    <row r="776" spans="8:9" x14ac:dyDescent="0.25">
      <c r="H776">
        <v>775</v>
      </c>
      <c r="I776">
        <v>66.284696935673026</v>
      </c>
    </row>
    <row r="777" spans="8:9" x14ac:dyDescent="0.25">
      <c r="H777">
        <v>776</v>
      </c>
      <c r="I777">
        <v>66.09774065061292</v>
      </c>
    </row>
    <row r="778" spans="8:9" x14ac:dyDescent="0.25">
      <c r="H778">
        <v>777</v>
      </c>
      <c r="I778">
        <v>59.742496249460771</v>
      </c>
    </row>
    <row r="779" spans="8:9" x14ac:dyDescent="0.25">
      <c r="H779">
        <v>778</v>
      </c>
      <c r="I779">
        <v>51.506754071950418</v>
      </c>
    </row>
    <row r="780" spans="8:9" x14ac:dyDescent="0.25">
      <c r="H780">
        <v>779</v>
      </c>
      <c r="I780">
        <v>64.763045277755168</v>
      </c>
    </row>
    <row r="781" spans="8:9" x14ac:dyDescent="0.25">
      <c r="H781">
        <v>780</v>
      </c>
      <c r="I781">
        <v>63.435894310559604</v>
      </c>
    </row>
    <row r="782" spans="8:9" x14ac:dyDescent="0.25">
      <c r="H782">
        <v>781</v>
      </c>
      <c r="I782">
        <v>58.28215909891491</v>
      </c>
    </row>
    <row r="783" spans="8:9" x14ac:dyDescent="0.25">
      <c r="H783">
        <v>782</v>
      </c>
      <c r="I783">
        <v>60.939650552025448</v>
      </c>
    </row>
    <row r="784" spans="8:9" x14ac:dyDescent="0.25">
      <c r="H784">
        <v>783</v>
      </c>
      <c r="I784">
        <v>63.16223893329316</v>
      </c>
    </row>
    <row r="785" spans="8:9" x14ac:dyDescent="0.25">
      <c r="H785">
        <v>784</v>
      </c>
      <c r="I785">
        <v>67.920346146639545</v>
      </c>
    </row>
    <row r="786" spans="8:9" x14ac:dyDescent="0.25">
      <c r="H786">
        <v>785</v>
      </c>
      <c r="I786">
        <v>57.887204545376555</v>
      </c>
    </row>
    <row r="787" spans="8:9" x14ac:dyDescent="0.25">
      <c r="H787">
        <v>786</v>
      </c>
      <c r="I787">
        <v>58.493957001612145</v>
      </c>
    </row>
    <row r="788" spans="8:9" x14ac:dyDescent="0.25">
      <c r="H788">
        <v>787</v>
      </c>
      <c r="I788">
        <v>66.713544811767093</v>
      </c>
    </row>
    <row r="789" spans="8:9" x14ac:dyDescent="0.25">
      <c r="H789">
        <v>788</v>
      </c>
      <c r="I789">
        <v>58.119695298509541</v>
      </c>
    </row>
    <row r="790" spans="8:9" x14ac:dyDescent="0.25">
      <c r="H790">
        <v>789</v>
      </c>
      <c r="I790">
        <v>54.19792980818886</v>
      </c>
    </row>
    <row r="791" spans="8:9" x14ac:dyDescent="0.25">
      <c r="H791">
        <v>790</v>
      </c>
      <c r="I791">
        <v>61.884511142799774</v>
      </c>
    </row>
    <row r="792" spans="8:9" x14ac:dyDescent="0.25">
      <c r="H792">
        <v>791</v>
      </c>
      <c r="I792">
        <v>67.039854687584437</v>
      </c>
    </row>
    <row r="793" spans="8:9" x14ac:dyDescent="0.25">
      <c r="H793">
        <v>792</v>
      </c>
      <c r="I793">
        <v>57.46775752430375</v>
      </c>
    </row>
    <row r="794" spans="8:9" x14ac:dyDescent="0.25">
      <c r="H794">
        <v>793</v>
      </c>
      <c r="I794">
        <v>43.262146014674165</v>
      </c>
    </row>
    <row r="795" spans="8:9" x14ac:dyDescent="0.25">
      <c r="H795">
        <v>794</v>
      </c>
      <c r="I795">
        <v>62.133694389558144</v>
      </c>
    </row>
    <row r="796" spans="8:9" x14ac:dyDescent="0.25">
      <c r="H796">
        <v>795</v>
      </c>
      <c r="I796">
        <v>69.457331198051421</v>
      </c>
    </row>
    <row r="797" spans="8:9" x14ac:dyDescent="0.25">
      <c r="H797">
        <v>796</v>
      </c>
      <c r="I797">
        <v>66.406826239871961</v>
      </c>
    </row>
    <row r="798" spans="8:9" x14ac:dyDescent="0.25">
      <c r="H798">
        <v>797</v>
      </c>
      <c r="I798">
        <v>61.166607163077472</v>
      </c>
    </row>
    <row r="799" spans="8:9" x14ac:dyDescent="0.25">
      <c r="H799">
        <v>798</v>
      </c>
      <c r="I799">
        <v>67.881895240928273</v>
      </c>
    </row>
    <row r="800" spans="8:9" x14ac:dyDescent="0.25">
      <c r="H800">
        <v>799</v>
      </c>
      <c r="I800">
        <v>59.428287369975166</v>
      </c>
    </row>
    <row r="801" spans="8:9" x14ac:dyDescent="0.25">
      <c r="H801">
        <v>800</v>
      </c>
      <c r="I801">
        <v>70.438916706795581</v>
      </c>
    </row>
    <row r="802" spans="8:9" x14ac:dyDescent="0.25">
      <c r="H802">
        <v>801</v>
      </c>
      <c r="I802">
        <v>56.782210574203809</v>
      </c>
    </row>
    <row r="803" spans="8:9" x14ac:dyDescent="0.25">
      <c r="H803">
        <v>802</v>
      </c>
      <c r="I803">
        <v>47.09864897320908</v>
      </c>
    </row>
    <row r="804" spans="8:9" x14ac:dyDescent="0.25">
      <c r="H804">
        <v>803</v>
      </c>
      <c r="I804">
        <v>63.10591214769758</v>
      </c>
    </row>
    <row r="805" spans="8:9" x14ac:dyDescent="0.25">
      <c r="H805">
        <v>804</v>
      </c>
      <c r="I805">
        <v>66.646125512727224</v>
      </c>
    </row>
    <row r="806" spans="8:9" x14ac:dyDescent="0.25">
      <c r="H806">
        <v>805</v>
      </c>
      <c r="I806">
        <v>62.418218227564289</v>
      </c>
    </row>
    <row r="807" spans="8:9" x14ac:dyDescent="0.25">
      <c r="H807">
        <v>806</v>
      </c>
      <c r="I807">
        <v>57.570663550641406</v>
      </c>
    </row>
    <row r="808" spans="8:9" x14ac:dyDescent="0.25">
      <c r="H808">
        <v>807</v>
      </c>
      <c r="I808">
        <v>53.243365865941854</v>
      </c>
    </row>
    <row r="809" spans="8:9" x14ac:dyDescent="0.25">
      <c r="H809">
        <v>808</v>
      </c>
      <c r="I809">
        <v>67.692430967346937</v>
      </c>
    </row>
    <row r="810" spans="8:9" x14ac:dyDescent="0.25">
      <c r="H810">
        <v>809</v>
      </c>
      <c r="I810">
        <v>54.541822472993545</v>
      </c>
    </row>
    <row r="811" spans="8:9" x14ac:dyDescent="0.25">
      <c r="H811">
        <v>810</v>
      </c>
      <c r="I811">
        <v>58.075234626766949</v>
      </c>
    </row>
    <row r="812" spans="8:9" x14ac:dyDescent="0.25">
      <c r="H812">
        <v>811</v>
      </c>
      <c r="I812">
        <v>61.428696857850774</v>
      </c>
    </row>
    <row r="813" spans="8:9" x14ac:dyDescent="0.25">
      <c r="H813">
        <v>812</v>
      </c>
      <c r="I813">
        <v>68.02185989043015</v>
      </c>
    </row>
    <row r="814" spans="8:9" x14ac:dyDescent="0.25">
      <c r="H814">
        <v>813</v>
      </c>
      <c r="I814">
        <v>55.272635035908614</v>
      </c>
    </row>
    <row r="815" spans="8:9" x14ac:dyDescent="0.25">
      <c r="H815">
        <v>814</v>
      </c>
      <c r="I815">
        <v>62.128525331374931</v>
      </c>
    </row>
    <row r="816" spans="8:9" x14ac:dyDescent="0.25">
      <c r="H816">
        <v>815</v>
      </c>
      <c r="I816">
        <v>62.612747694598042</v>
      </c>
    </row>
    <row r="817" spans="8:9" x14ac:dyDescent="0.25">
      <c r="H817">
        <v>816</v>
      </c>
      <c r="I817">
        <v>66.981175589004835</v>
      </c>
    </row>
    <row r="818" spans="8:9" x14ac:dyDescent="0.25">
      <c r="H818">
        <v>817</v>
      </c>
      <c r="I818">
        <v>61.371700488359025</v>
      </c>
    </row>
    <row r="819" spans="8:9" x14ac:dyDescent="0.25">
      <c r="H819">
        <v>818</v>
      </c>
      <c r="I819">
        <v>46.20376473737393</v>
      </c>
    </row>
    <row r="820" spans="8:9" x14ac:dyDescent="0.25">
      <c r="H820">
        <v>819</v>
      </c>
      <c r="I820">
        <v>63.294138112937517</v>
      </c>
    </row>
    <row r="821" spans="8:9" x14ac:dyDescent="0.25">
      <c r="H821">
        <v>820</v>
      </c>
      <c r="I821">
        <v>69.026041769331371</v>
      </c>
    </row>
    <row r="822" spans="8:9" x14ac:dyDescent="0.25">
      <c r="H822">
        <v>821</v>
      </c>
      <c r="I822">
        <v>68.468635761290486</v>
      </c>
    </row>
    <row r="823" spans="8:9" x14ac:dyDescent="0.25">
      <c r="H823">
        <v>822</v>
      </c>
      <c r="I823">
        <v>64.661638365445981</v>
      </c>
    </row>
    <row r="824" spans="8:9" x14ac:dyDescent="0.25">
      <c r="H824">
        <v>823</v>
      </c>
      <c r="I824">
        <v>63.614280811202235</v>
      </c>
    </row>
    <row r="825" spans="8:9" x14ac:dyDescent="0.25">
      <c r="H825">
        <v>824</v>
      </c>
      <c r="I825">
        <v>49.675930462091557</v>
      </c>
    </row>
    <row r="826" spans="8:9" x14ac:dyDescent="0.25">
      <c r="H826">
        <v>825</v>
      </c>
      <c r="I826">
        <v>55.913553213242139</v>
      </c>
    </row>
    <row r="827" spans="8:9" x14ac:dyDescent="0.25">
      <c r="H827">
        <v>826</v>
      </c>
      <c r="I827">
        <v>68.652819280202564</v>
      </c>
    </row>
    <row r="828" spans="8:9" x14ac:dyDescent="0.25">
      <c r="H828">
        <v>827</v>
      </c>
      <c r="I828">
        <v>55.033930807886378</v>
      </c>
    </row>
    <row r="829" spans="8:9" x14ac:dyDescent="0.25">
      <c r="H829">
        <v>828</v>
      </c>
      <c r="I829">
        <v>63.308729032649424</v>
      </c>
    </row>
    <row r="830" spans="8:9" x14ac:dyDescent="0.25">
      <c r="H830">
        <v>829</v>
      </c>
      <c r="I830">
        <v>61.682685367227194</v>
      </c>
    </row>
    <row r="831" spans="8:9" x14ac:dyDescent="0.25">
      <c r="H831">
        <v>830</v>
      </c>
      <c r="I831">
        <v>67.571949215780464</v>
      </c>
    </row>
    <row r="832" spans="8:9" x14ac:dyDescent="0.25">
      <c r="H832">
        <v>831</v>
      </c>
      <c r="I832">
        <v>63.109869780650037</v>
      </c>
    </row>
    <row r="833" spans="8:9" x14ac:dyDescent="0.25">
      <c r="H833">
        <v>832</v>
      </c>
      <c r="I833">
        <v>67.594343428376476</v>
      </c>
    </row>
    <row r="834" spans="8:9" x14ac:dyDescent="0.25">
      <c r="H834">
        <v>833</v>
      </c>
      <c r="I834">
        <v>63.309787406723551</v>
      </c>
    </row>
    <row r="835" spans="8:9" x14ac:dyDescent="0.25">
      <c r="H835">
        <v>834</v>
      </c>
      <c r="I835">
        <v>69.313606489296461</v>
      </c>
    </row>
    <row r="836" spans="8:9" x14ac:dyDescent="0.25">
      <c r="H836">
        <v>835</v>
      </c>
      <c r="I836">
        <v>63.917478499370837</v>
      </c>
    </row>
    <row r="837" spans="8:9" x14ac:dyDescent="0.25">
      <c r="H837">
        <v>836</v>
      </c>
      <c r="I837">
        <v>67.53651996488837</v>
      </c>
    </row>
    <row r="838" spans="8:9" x14ac:dyDescent="0.25">
      <c r="H838">
        <v>837</v>
      </c>
      <c r="I838">
        <v>69.117612515661861</v>
      </c>
    </row>
    <row r="839" spans="8:9" x14ac:dyDescent="0.25">
      <c r="H839">
        <v>838</v>
      </c>
      <c r="I839">
        <v>55.344457537885873</v>
      </c>
    </row>
    <row r="840" spans="8:9" x14ac:dyDescent="0.25">
      <c r="H840">
        <v>839</v>
      </c>
      <c r="I840">
        <v>67.395464931645591</v>
      </c>
    </row>
    <row r="841" spans="8:9" x14ac:dyDescent="0.25">
      <c r="H841">
        <v>840</v>
      </c>
      <c r="I841">
        <v>50.07531511588418</v>
      </c>
    </row>
    <row r="842" spans="8:9" x14ac:dyDescent="0.25">
      <c r="H842">
        <v>841</v>
      </c>
      <c r="I842">
        <v>53.556575126260121</v>
      </c>
    </row>
    <row r="843" spans="8:9" x14ac:dyDescent="0.25">
      <c r="H843">
        <v>842</v>
      </c>
      <c r="I843">
        <v>54.741091774866561</v>
      </c>
    </row>
    <row r="844" spans="8:9" x14ac:dyDescent="0.25">
      <c r="H844">
        <v>843</v>
      </c>
      <c r="I844">
        <v>47.153855275516193</v>
      </c>
    </row>
    <row r="845" spans="8:9" x14ac:dyDescent="0.25">
      <c r="H845">
        <v>844</v>
      </c>
      <c r="I845">
        <v>51.373263197126008</v>
      </c>
    </row>
    <row r="846" spans="8:9" x14ac:dyDescent="0.25">
      <c r="H846">
        <v>845</v>
      </c>
      <c r="I846">
        <v>68.516946214504031</v>
      </c>
    </row>
    <row r="847" spans="8:9" x14ac:dyDescent="0.25">
      <c r="H847">
        <v>846</v>
      </c>
      <c r="I847">
        <v>56.529804949023031</v>
      </c>
    </row>
    <row r="848" spans="8:9" x14ac:dyDescent="0.25">
      <c r="H848">
        <v>847</v>
      </c>
      <c r="I848">
        <v>43.610236481695388</v>
      </c>
    </row>
    <row r="849" spans="8:9" x14ac:dyDescent="0.25">
      <c r="H849">
        <v>848</v>
      </c>
      <c r="I849">
        <v>55.704728950234419</v>
      </c>
    </row>
    <row r="850" spans="8:9" x14ac:dyDescent="0.25">
      <c r="H850">
        <v>849</v>
      </c>
      <c r="I850">
        <v>58.123301616673679</v>
      </c>
    </row>
    <row r="851" spans="8:9" x14ac:dyDescent="0.25">
      <c r="H851">
        <v>850</v>
      </c>
      <c r="I851">
        <v>67.251727742685688</v>
      </c>
    </row>
    <row r="852" spans="8:9" x14ac:dyDescent="0.25">
      <c r="H852">
        <v>851</v>
      </c>
      <c r="I852">
        <v>41.402645697764846</v>
      </c>
    </row>
    <row r="853" spans="8:9" x14ac:dyDescent="0.25">
      <c r="H853">
        <v>852</v>
      </c>
      <c r="I853">
        <v>70.564343354946544</v>
      </c>
    </row>
    <row r="854" spans="8:9" x14ac:dyDescent="0.25">
      <c r="H854">
        <v>853</v>
      </c>
      <c r="I854">
        <v>67.748333250680403</v>
      </c>
    </row>
    <row r="855" spans="8:9" x14ac:dyDescent="0.25">
      <c r="H855">
        <v>854</v>
      </c>
      <c r="I855">
        <v>64.046798345133354</v>
      </c>
    </row>
    <row r="856" spans="8:9" x14ac:dyDescent="0.25">
      <c r="H856">
        <v>855</v>
      </c>
      <c r="I856">
        <v>63.56786235669108</v>
      </c>
    </row>
    <row r="857" spans="8:9" x14ac:dyDescent="0.25">
      <c r="H857">
        <v>856</v>
      </c>
      <c r="I857">
        <v>49.309266140543883</v>
      </c>
    </row>
    <row r="858" spans="8:9" x14ac:dyDescent="0.25">
      <c r="H858">
        <v>857</v>
      </c>
      <c r="I858">
        <v>59.444419271075574</v>
      </c>
    </row>
    <row r="859" spans="8:9" x14ac:dyDescent="0.25">
      <c r="H859">
        <v>858</v>
      </c>
      <c r="I859">
        <v>56.763792396852857</v>
      </c>
    </row>
    <row r="860" spans="8:9" x14ac:dyDescent="0.25">
      <c r="H860">
        <v>859</v>
      </c>
      <c r="I860">
        <v>69.269382083535135</v>
      </c>
    </row>
    <row r="861" spans="8:9" x14ac:dyDescent="0.25">
      <c r="H861">
        <v>860</v>
      </c>
      <c r="I861">
        <v>60.363912710230572</v>
      </c>
    </row>
    <row r="862" spans="8:9" x14ac:dyDescent="0.25">
      <c r="H862">
        <v>861</v>
      </c>
      <c r="I862">
        <v>56.013429526115637</v>
      </c>
    </row>
    <row r="863" spans="8:9" x14ac:dyDescent="0.25">
      <c r="H863">
        <v>862</v>
      </c>
      <c r="I863">
        <v>56.889075791794212</v>
      </c>
    </row>
    <row r="864" spans="8:9" x14ac:dyDescent="0.25">
      <c r="H864">
        <v>863</v>
      </c>
      <c r="I864">
        <v>51.58443317895177</v>
      </c>
    </row>
    <row r="865" spans="8:9" x14ac:dyDescent="0.25">
      <c r="H865">
        <v>864</v>
      </c>
      <c r="I865">
        <v>64.012940688551808</v>
      </c>
    </row>
    <row r="866" spans="8:9" x14ac:dyDescent="0.25">
      <c r="H866">
        <v>865</v>
      </c>
      <c r="I866">
        <v>46.365281373216092</v>
      </c>
    </row>
    <row r="867" spans="8:9" x14ac:dyDescent="0.25">
      <c r="H867">
        <v>866</v>
      </c>
      <c r="I867">
        <v>61.914453270959939</v>
      </c>
    </row>
    <row r="868" spans="8:9" x14ac:dyDescent="0.25">
      <c r="H868">
        <v>867</v>
      </c>
      <c r="I868">
        <v>59.834437519627301</v>
      </c>
    </row>
    <row r="869" spans="8:9" x14ac:dyDescent="0.25">
      <c r="H869">
        <v>868</v>
      </c>
      <c r="I869">
        <v>47.34527405122212</v>
      </c>
    </row>
    <row r="870" spans="8:9" x14ac:dyDescent="0.25">
      <c r="H870">
        <v>869</v>
      </c>
      <c r="I870">
        <v>65.344790435518945</v>
      </c>
    </row>
    <row r="871" spans="8:9" x14ac:dyDescent="0.25">
      <c r="H871">
        <v>870</v>
      </c>
      <c r="I871">
        <v>50.173714329096114</v>
      </c>
    </row>
    <row r="872" spans="8:9" x14ac:dyDescent="0.25">
      <c r="H872">
        <v>871</v>
      </c>
      <c r="I872">
        <v>61.571879568157271</v>
      </c>
    </row>
    <row r="873" spans="8:9" x14ac:dyDescent="0.25">
      <c r="H873">
        <v>872</v>
      </c>
      <c r="I873">
        <v>65.808041733452768</v>
      </c>
    </row>
    <row r="874" spans="8:9" x14ac:dyDescent="0.25">
      <c r="H874">
        <v>873</v>
      </c>
      <c r="I874">
        <v>65.209431104686686</v>
      </c>
    </row>
    <row r="875" spans="8:9" x14ac:dyDescent="0.25">
      <c r="H875">
        <v>874</v>
      </c>
      <c r="I875">
        <v>69.456799644493444</v>
      </c>
    </row>
    <row r="876" spans="8:9" x14ac:dyDescent="0.25">
      <c r="H876">
        <v>875</v>
      </c>
      <c r="I876">
        <v>61.750734428854351</v>
      </c>
    </row>
    <row r="877" spans="8:9" x14ac:dyDescent="0.25">
      <c r="H877">
        <v>876</v>
      </c>
      <c r="I877">
        <v>63.868640402465964</v>
      </c>
    </row>
    <row r="878" spans="8:9" x14ac:dyDescent="0.25">
      <c r="H878">
        <v>877</v>
      </c>
      <c r="I878">
        <v>49.84544037236634</v>
      </c>
    </row>
    <row r="879" spans="8:9" x14ac:dyDescent="0.25">
      <c r="H879">
        <v>878</v>
      </c>
      <c r="I879">
        <v>45.077937205720431</v>
      </c>
    </row>
    <row r="880" spans="8:9" x14ac:dyDescent="0.25">
      <c r="H880">
        <v>879</v>
      </c>
      <c r="I880">
        <v>51.332797894458075</v>
      </c>
    </row>
    <row r="881" spans="8:9" x14ac:dyDescent="0.25">
      <c r="H881">
        <v>880</v>
      </c>
      <c r="I881">
        <v>58.198753800015993</v>
      </c>
    </row>
    <row r="882" spans="8:9" x14ac:dyDescent="0.25">
      <c r="H882">
        <v>881</v>
      </c>
      <c r="I882">
        <v>61.537240924307447</v>
      </c>
    </row>
    <row r="883" spans="8:9" x14ac:dyDescent="0.25">
      <c r="H883">
        <v>882</v>
      </c>
      <c r="I883">
        <v>57.120709240574364</v>
      </c>
    </row>
    <row r="884" spans="8:9" x14ac:dyDescent="0.25">
      <c r="H884">
        <v>883</v>
      </c>
      <c r="I884">
        <v>60.9087784609764</v>
      </c>
    </row>
    <row r="885" spans="8:9" x14ac:dyDescent="0.25">
      <c r="H885">
        <v>884</v>
      </c>
      <c r="I885">
        <v>65.030317417111689</v>
      </c>
    </row>
    <row r="886" spans="8:9" x14ac:dyDescent="0.25">
      <c r="H886">
        <v>885</v>
      </c>
      <c r="I886">
        <v>61.255406360308086</v>
      </c>
    </row>
    <row r="887" spans="8:9" x14ac:dyDescent="0.25">
      <c r="H887">
        <v>886</v>
      </c>
      <c r="I887">
        <v>67.80092909030914</v>
      </c>
    </row>
    <row r="888" spans="8:9" x14ac:dyDescent="0.25">
      <c r="H888">
        <v>887</v>
      </c>
      <c r="I888">
        <v>51.232541661629845</v>
      </c>
    </row>
    <row r="889" spans="8:9" x14ac:dyDescent="0.25">
      <c r="H889">
        <v>888</v>
      </c>
      <c r="I889">
        <v>46.287899929753237</v>
      </c>
    </row>
    <row r="890" spans="8:9" x14ac:dyDescent="0.25">
      <c r="H890">
        <v>889</v>
      </c>
      <c r="I890">
        <v>66.742061531422181</v>
      </c>
    </row>
    <row r="891" spans="8:9" x14ac:dyDescent="0.25">
      <c r="H891">
        <v>890</v>
      </c>
      <c r="I891">
        <v>58.632375164767737</v>
      </c>
    </row>
    <row r="892" spans="8:9" x14ac:dyDescent="0.25">
      <c r="H892">
        <v>891</v>
      </c>
      <c r="I892">
        <v>58.819882646840711</v>
      </c>
    </row>
    <row r="893" spans="8:9" x14ac:dyDescent="0.25">
      <c r="H893">
        <v>892</v>
      </c>
      <c r="I893">
        <v>59.731459437313703</v>
      </c>
    </row>
    <row r="894" spans="8:9" x14ac:dyDescent="0.25">
      <c r="H894">
        <v>893</v>
      </c>
      <c r="I894">
        <v>64.061594627279575</v>
      </c>
    </row>
    <row r="895" spans="8:9" x14ac:dyDescent="0.25">
      <c r="H895">
        <v>894</v>
      </c>
      <c r="I895">
        <v>56.893404477058041</v>
      </c>
    </row>
    <row r="896" spans="8:9" x14ac:dyDescent="0.25">
      <c r="H896">
        <v>895</v>
      </c>
      <c r="I896">
        <v>61.114707725532725</v>
      </c>
    </row>
    <row r="897" spans="8:9" x14ac:dyDescent="0.25">
      <c r="H897">
        <v>896</v>
      </c>
      <c r="I897">
        <v>65.809129166035135</v>
      </c>
    </row>
    <row r="898" spans="8:9" x14ac:dyDescent="0.25">
      <c r="H898">
        <v>897</v>
      </c>
      <c r="I898">
        <v>67.249012721178929</v>
      </c>
    </row>
    <row r="899" spans="8:9" x14ac:dyDescent="0.25">
      <c r="H899">
        <v>898</v>
      </c>
      <c r="I899">
        <v>58.022382584854611</v>
      </c>
    </row>
    <row r="900" spans="8:9" x14ac:dyDescent="0.25">
      <c r="H900">
        <v>899</v>
      </c>
      <c r="I900">
        <v>54.108069120134758</v>
      </c>
    </row>
    <row r="901" spans="8:9" x14ac:dyDescent="0.25">
      <c r="H901">
        <v>900</v>
      </c>
      <c r="I901">
        <v>65.485466619732691</v>
      </c>
    </row>
    <row r="902" spans="8:9" x14ac:dyDescent="0.25">
      <c r="H902">
        <v>901</v>
      </c>
      <c r="I902">
        <v>71.219120982755783</v>
      </c>
    </row>
    <row r="903" spans="8:9" x14ac:dyDescent="0.25">
      <c r="H903">
        <v>902</v>
      </c>
      <c r="I903">
        <v>66.132680659252742</v>
      </c>
    </row>
    <row r="904" spans="8:9" x14ac:dyDescent="0.25">
      <c r="H904">
        <v>903</v>
      </c>
      <c r="I904">
        <v>52.344747155365269</v>
      </c>
    </row>
    <row r="905" spans="8:9" x14ac:dyDescent="0.25">
      <c r="H905">
        <v>904</v>
      </c>
      <c r="I905">
        <v>68.571074013047578</v>
      </c>
    </row>
    <row r="906" spans="8:9" x14ac:dyDescent="0.25">
      <c r="H906">
        <v>905</v>
      </c>
      <c r="I906">
        <v>55.810157067286283</v>
      </c>
    </row>
    <row r="907" spans="8:9" x14ac:dyDescent="0.25">
      <c r="H907">
        <v>906</v>
      </c>
      <c r="I907">
        <v>57.81940068210222</v>
      </c>
    </row>
    <row r="908" spans="8:9" x14ac:dyDescent="0.25">
      <c r="H908">
        <v>907</v>
      </c>
      <c r="I908">
        <v>57.169174388597355</v>
      </c>
    </row>
    <row r="909" spans="8:9" x14ac:dyDescent="0.25">
      <c r="H909">
        <v>908</v>
      </c>
      <c r="I909">
        <v>61.614087355083583</v>
      </c>
    </row>
    <row r="910" spans="8:9" x14ac:dyDescent="0.25">
      <c r="H910">
        <v>909</v>
      </c>
      <c r="I910">
        <v>59.893699167023087</v>
      </c>
    </row>
    <row r="911" spans="8:9" x14ac:dyDescent="0.25">
      <c r="H911">
        <v>910</v>
      </c>
      <c r="I911">
        <v>68.140214052002804</v>
      </c>
    </row>
    <row r="912" spans="8:9" x14ac:dyDescent="0.25">
      <c r="H912">
        <v>911</v>
      </c>
      <c r="I912">
        <v>67.138142223295858</v>
      </c>
    </row>
    <row r="913" spans="8:9" x14ac:dyDescent="0.25">
      <c r="H913">
        <v>912</v>
      </c>
      <c r="I913">
        <v>65.629589317714519</v>
      </c>
    </row>
    <row r="914" spans="8:9" x14ac:dyDescent="0.25">
      <c r="H914">
        <v>913</v>
      </c>
      <c r="I914">
        <v>56.834291122341085</v>
      </c>
    </row>
    <row r="915" spans="8:9" x14ac:dyDescent="0.25">
      <c r="H915">
        <v>914</v>
      </c>
      <c r="I915">
        <v>64.802760325601099</v>
      </c>
    </row>
    <row r="916" spans="8:9" x14ac:dyDescent="0.25">
      <c r="H916">
        <v>915</v>
      </c>
      <c r="I916">
        <v>57.154104590995701</v>
      </c>
    </row>
    <row r="917" spans="8:9" x14ac:dyDescent="0.25">
      <c r="H917">
        <v>916</v>
      </c>
      <c r="I917">
        <v>68.755757262681925</v>
      </c>
    </row>
    <row r="918" spans="8:9" x14ac:dyDescent="0.25">
      <c r="H918">
        <v>917</v>
      </c>
      <c r="I918">
        <v>53.495111264787006</v>
      </c>
    </row>
    <row r="919" spans="8:9" x14ac:dyDescent="0.25">
      <c r="H919">
        <v>918</v>
      </c>
      <c r="I919">
        <v>63.166441625596406</v>
      </c>
    </row>
    <row r="920" spans="8:9" x14ac:dyDescent="0.25">
      <c r="H920">
        <v>919</v>
      </c>
      <c r="I920">
        <v>67.61633541518836</v>
      </c>
    </row>
    <row r="921" spans="8:9" x14ac:dyDescent="0.25">
      <c r="H921">
        <v>920</v>
      </c>
      <c r="I921">
        <v>56.262672465170908</v>
      </c>
    </row>
    <row r="922" spans="8:9" x14ac:dyDescent="0.25">
      <c r="H922">
        <v>921</v>
      </c>
      <c r="I922">
        <v>68.033959577921152</v>
      </c>
    </row>
    <row r="923" spans="8:9" x14ac:dyDescent="0.25">
      <c r="H923">
        <v>922</v>
      </c>
      <c r="I923">
        <v>56.690797827781324</v>
      </c>
    </row>
    <row r="924" spans="8:9" x14ac:dyDescent="0.25">
      <c r="H924">
        <v>923</v>
      </c>
      <c r="I924">
        <v>64.704083657720162</v>
      </c>
    </row>
    <row r="925" spans="8:9" x14ac:dyDescent="0.25">
      <c r="H925">
        <v>924</v>
      </c>
      <c r="I925">
        <v>61.204474192327908</v>
      </c>
    </row>
    <row r="926" spans="8:9" x14ac:dyDescent="0.25">
      <c r="H926">
        <v>925</v>
      </c>
      <c r="I926">
        <v>62.544943560334346</v>
      </c>
    </row>
    <row r="927" spans="8:9" x14ac:dyDescent="0.25">
      <c r="H927">
        <v>926</v>
      </c>
      <c r="I927">
        <v>60.544495313563829</v>
      </c>
    </row>
    <row r="928" spans="8:9" x14ac:dyDescent="0.25">
      <c r="H928">
        <v>927</v>
      </c>
      <c r="I928">
        <v>35.991918665243098</v>
      </c>
    </row>
    <row r="929" spans="8:9" x14ac:dyDescent="0.25">
      <c r="H929">
        <v>928</v>
      </c>
      <c r="I929">
        <v>60.849101091951212</v>
      </c>
    </row>
    <row r="930" spans="8:9" x14ac:dyDescent="0.25">
      <c r="H930">
        <v>929</v>
      </c>
      <c r="I930">
        <v>69.151985038621063</v>
      </c>
    </row>
    <row r="931" spans="8:9" x14ac:dyDescent="0.25">
      <c r="H931">
        <v>930</v>
      </c>
      <c r="I931">
        <v>65.772831493208727</v>
      </c>
    </row>
    <row r="932" spans="8:9" x14ac:dyDescent="0.25">
      <c r="H932">
        <v>931</v>
      </c>
      <c r="I932">
        <v>64.723544304019498</v>
      </c>
    </row>
    <row r="933" spans="8:9" x14ac:dyDescent="0.25">
      <c r="H933">
        <v>932</v>
      </c>
      <c r="I933">
        <v>53.227796182848621</v>
      </c>
    </row>
    <row r="934" spans="8:9" x14ac:dyDescent="0.25">
      <c r="H934">
        <v>933</v>
      </c>
      <c r="I934">
        <v>60.225242066253443</v>
      </c>
    </row>
    <row r="935" spans="8:9" x14ac:dyDescent="0.25">
      <c r="H935">
        <v>934</v>
      </c>
      <c r="I935">
        <v>63.135046159642854</v>
      </c>
    </row>
    <row r="936" spans="8:9" x14ac:dyDescent="0.25">
      <c r="H936">
        <v>935</v>
      </c>
      <c r="I936">
        <v>59.582218299696052</v>
      </c>
    </row>
    <row r="937" spans="8:9" x14ac:dyDescent="0.25">
      <c r="H937">
        <v>936</v>
      </c>
      <c r="I937">
        <v>70.039080141509984</v>
      </c>
    </row>
    <row r="938" spans="8:9" x14ac:dyDescent="0.25">
      <c r="H938">
        <v>937</v>
      </c>
      <c r="I938">
        <v>60.95271064489534</v>
      </c>
    </row>
    <row r="939" spans="8:9" x14ac:dyDescent="0.25">
      <c r="H939">
        <v>938</v>
      </c>
      <c r="I939">
        <v>68.221765975700023</v>
      </c>
    </row>
    <row r="940" spans="8:9" x14ac:dyDescent="0.25">
      <c r="H940">
        <v>939</v>
      </c>
      <c r="I940">
        <v>62.103923727238566</v>
      </c>
    </row>
    <row r="941" spans="8:9" x14ac:dyDescent="0.25">
      <c r="H941">
        <v>940</v>
      </c>
      <c r="I941">
        <v>52.868231485827721</v>
      </c>
    </row>
    <row r="942" spans="8:9" x14ac:dyDescent="0.25">
      <c r="H942">
        <v>941</v>
      </c>
      <c r="I942">
        <v>58.703906156312883</v>
      </c>
    </row>
    <row r="943" spans="8:9" x14ac:dyDescent="0.25">
      <c r="H943">
        <v>942</v>
      </c>
      <c r="I943">
        <v>57.993687851905847</v>
      </c>
    </row>
    <row r="944" spans="8:9" x14ac:dyDescent="0.25">
      <c r="H944">
        <v>943</v>
      </c>
      <c r="I944">
        <v>59.229141780130433</v>
      </c>
    </row>
    <row r="945" spans="8:9" x14ac:dyDescent="0.25">
      <c r="H945">
        <v>944</v>
      </c>
      <c r="I945">
        <v>69.065969096638497</v>
      </c>
    </row>
    <row r="946" spans="8:9" x14ac:dyDescent="0.25">
      <c r="H946">
        <v>945</v>
      </c>
      <c r="I946">
        <v>62.877995810835046</v>
      </c>
    </row>
    <row r="947" spans="8:9" x14ac:dyDescent="0.25">
      <c r="H947">
        <v>946</v>
      </c>
      <c r="I947">
        <v>55.438019079298655</v>
      </c>
    </row>
    <row r="948" spans="8:9" x14ac:dyDescent="0.25">
      <c r="H948">
        <v>947</v>
      </c>
      <c r="I948">
        <v>62.097263576094093</v>
      </c>
    </row>
    <row r="949" spans="8:9" x14ac:dyDescent="0.25">
      <c r="H949">
        <v>948</v>
      </c>
      <c r="I949">
        <v>50.333452953624167</v>
      </c>
    </row>
    <row r="950" spans="8:9" x14ac:dyDescent="0.25">
      <c r="H950">
        <v>949</v>
      </c>
      <c r="I950">
        <v>54.535951118926405</v>
      </c>
    </row>
    <row r="951" spans="8:9" x14ac:dyDescent="0.25">
      <c r="H951">
        <v>950</v>
      </c>
      <c r="I951">
        <v>51.460257473191156</v>
      </c>
    </row>
    <row r="952" spans="8:9" x14ac:dyDescent="0.25">
      <c r="H952">
        <v>951</v>
      </c>
      <c r="I952">
        <v>58.288692048226601</v>
      </c>
    </row>
    <row r="953" spans="8:9" x14ac:dyDescent="0.25">
      <c r="H953">
        <v>952</v>
      </c>
      <c r="I953">
        <v>60.75826957897295</v>
      </c>
    </row>
    <row r="954" spans="8:9" x14ac:dyDescent="0.25">
      <c r="H954">
        <v>953</v>
      </c>
      <c r="I954">
        <v>61.576796460655991</v>
      </c>
    </row>
    <row r="955" spans="8:9" x14ac:dyDescent="0.25">
      <c r="H955">
        <v>954</v>
      </c>
      <c r="I955">
        <v>58.695093245751437</v>
      </c>
    </row>
    <row r="956" spans="8:9" x14ac:dyDescent="0.25">
      <c r="H956">
        <v>955</v>
      </c>
      <c r="I956">
        <v>67.364551228508418</v>
      </c>
    </row>
    <row r="957" spans="8:9" x14ac:dyDescent="0.25">
      <c r="H957">
        <v>956</v>
      </c>
      <c r="I957">
        <v>65.544219748123751</v>
      </c>
    </row>
    <row r="958" spans="8:9" x14ac:dyDescent="0.25">
      <c r="H958">
        <v>957</v>
      </c>
      <c r="I958">
        <v>63.127470848306977</v>
      </c>
    </row>
    <row r="959" spans="8:9" x14ac:dyDescent="0.25">
      <c r="H959">
        <v>958</v>
      </c>
      <c r="I959">
        <v>59.253302273679928</v>
      </c>
    </row>
    <row r="960" spans="8:9" x14ac:dyDescent="0.25">
      <c r="H960">
        <v>959</v>
      </c>
      <c r="I960">
        <v>65.33038123217753</v>
      </c>
    </row>
    <row r="961" spans="8:9" x14ac:dyDescent="0.25">
      <c r="H961">
        <v>960</v>
      </c>
      <c r="I961">
        <v>67.276975231097779</v>
      </c>
    </row>
    <row r="962" spans="8:9" x14ac:dyDescent="0.25">
      <c r="H962">
        <v>961</v>
      </c>
      <c r="I962">
        <v>68.9182471135301</v>
      </c>
    </row>
    <row r="963" spans="8:9" x14ac:dyDescent="0.25">
      <c r="H963">
        <v>962</v>
      </c>
      <c r="I963">
        <v>52.153826168082588</v>
      </c>
    </row>
    <row r="964" spans="8:9" x14ac:dyDescent="0.25">
      <c r="H964">
        <v>963</v>
      </c>
      <c r="I964">
        <v>65.033046640598812</v>
      </c>
    </row>
    <row r="965" spans="8:9" x14ac:dyDescent="0.25">
      <c r="H965">
        <v>964</v>
      </c>
      <c r="I965">
        <v>48.322019267044865</v>
      </c>
    </row>
    <row r="966" spans="8:9" x14ac:dyDescent="0.25">
      <c r="H966">
        <v>965</v>
      </c>
      <c r="I966">
        <v>51.886707396713419</v>
      </c>
    </row>
    <row r="967" spans="8:9" x14ac:dyDescent="0.25">
      <c r="H967">
        <v>966</v>
      </c>
      <c r="I967">
        <v>56.535218589659678</v>
      </c>
    </row>
    <row r="968" spans="8:9" x14ac:dyDescent="0.25">
      <c r="H968">
        <v>967</v>
      </c>
      <c r="I968">
        <v>61.642655496532612</v>
      </c>
    </row>
    <row r="969" spans="8:9" x14ac:dyDescent="0.25">
      <c r="H969">
        <v>968</v>
      </c>
      <c r="I969">
        <v>54.944126597038768</v>
      </c>
    </row>
    <row r="970" spans="8:9" x14ac:dyDescent="0.25">
      <c r="H970">
        <v>969</v>
      </c>
      <c r="I970">
        <v>58.349823139861492</v>
      </c>
    </row>
    <row r="971" spans="8:9" x14ac:dyDescent="0.25">
      <c r="H971">
        <v>970</v>
      </c>
      <c r="I971">
        <v>67.033185831823474</v>
      </c>
    </row>
    <row r="972" spans="8:9" x14ac:dyDescent="0.25">
      <c r="H972">
        <v>971</v>
      </c>
      <c r="I972">
        <v>61.133817451925857</v>
      </c>
    </row>
    <row r="973" spans="8:9" x14ac:dyDescent="0.25">
      <c r="H973">
        <v>972</v>
      </c>
      <c r="I973">
        <v>63.470434214782664</v>
      </c>
    </row>
    <row r="974" spans="8:9" x14ac:dyDescent="0.25">
      <c r="H974">
        <v>973</v>
      </c>
      <c r="I974">
        <v>52.132460338529171</v>
      </c>
    </row>
    <row r="975" spans="8:9" x14ac:dyDescent="0.25">
      <c r="H975">
        <v>974</v>
      </c>
      <c r="I975">
        <v>69.05924427673591</v>
      </c>
    </row>
    <row r="976" spans="8:9" x14ac:dyDescent="0.25">
      <c r="H976">
        <v>975</v>
      </c>
      <c r="I976">
        <v>66.014649019917613</v>
      </c>
    </row>
    <row r="977" spans="8:9" x14ac:dyDescent="0.25">
      <c r="H977">
        <v>976</v>
      </c>
      <c r="I977">
        <v>62.114775080766762</v>
      </c>
    </row>
    <row r="978" spans="8:9" x14ac:dyDescent="0.25">
      <c r="H978">
        <v>977</v>
      </c>
      <c r="I978">
        <v>53.473274299940478</v>
      </c>
    </row>
    <row r="979" spans="8:9" x14ac:dyDescent="0.25">
      <c r="H979">
        <v>978</v>
      </c>
      <c r="I979">
        <v>49.523805645468144</v>
      </c>
    </row>
    <row r="980" spans="8:9" x14ac:dyDescent="0.25">
      <c r="H980">
        <v>979</v>
      </c>
      <c r="I980">
        <v>67.549383525903679</v>
      </c>
    </row>
    <row r="981" spans="8:9" x14ac:dyDescent="0.25">
      <c r="H981">
        <v>980</v>
      </c>
      <c r="I981">
        <v>51.679190564231178</v>
      </c>
    </row>
    <row r="982" spans="8:9" x14ac:dyDescent="0.25">
      <c r="H982">
        <v>981</v>
      </c>
      <c r="I982">
        <v>62.862539512225176</v>
      </c>
    </row>
    <row r="983" spans="8:9" x14ac:dyDescent="0.25">
      <c r="H983">
        <v>982</v>
      </c>
      <c r="I983">
        <v>63.079314432272213</v>
      </c>
    </row>
    <row r="984" spans="8:9" x14ac:dyDescent="0.25">
      <c r="H984">
        <v>983</v>
      </c>
      <c r="I984">
        <v>62.169953708990938</v>
      </c>
    </row>
    <row r="985" spans="8:9" x14ac:dyDescent="0.25">
      <c r="H985">
        <v>984</v>
      </c>
      <c r="I985">
        <v>63.126011429892856</v>
      </c>
    </row>
    <row r="986" spans="8:9" x14ac:dyDescent="0.25">
      <c r="H986">
        <v>985</v>
      </c>
      <c r="I986">
        <v>63.875071236348724</v>
      </c>
    </row>
    <row r="987" spans="8:9" x14ac:dyDescent="0.25">
      <c r="H987">
        <v>986</v>
      </c>
      <c r="I987">
        <v>68.491361216620717</v>
      </c>
    </row>
    <row r="988" spans="8:9" x14ac:dyDescent="0.25">
      <c r="H988">
        <v>987</v>
      </c>
      <c r="I988">
        <v>63.687793979658892</v>
      </c>
    </row>
    <row r="989" spans="8:9" x14ac:dyDescent="0.25">
      <c r="H989">
        <v>988</v>
      </c>
      <c r="I989">
        <v>65.925077830101984</v>
      </c>
    </row>
    <row r="990" spans="8:9" x14ac:dyDescent="0.25">
      <c r="H990">
        <v>989</v>
      </c>
      <c r="I990">
        <v>69.897115853693947</v>
      </c>
    </row>
    <row r="991" spans="8:9" x14ac:dyDescent="0.25">
      <c r="H991">
        <v>990</v>
      </c>
      <c r="I991">
        <v>61.572618926568666</v>
      </c>
    </row>
    <row r="992" spans="8:9" x14ac:dyDescent="0.25">
      <c r="H992">
        <v>991</v>
      </c>
      <c r="I992">
        <v>58.897631902927642</v>
      </c>
    </row>
    <row r="993" spans="8:9" x14ac:dyDescent="0.25">
      <c r="H993">
        <v>992</v>
      </c>
      <c r="I993">
        <v>62.047797053908035</v>
      </c>
    </row>
    <row r="994" spans="8:9" x14ac:dyDescent="0.25">
      <c r="H994">
        <v>993</v>
      </c>
      <c r="I994">
        <v>65.952513974864772</v>
      </c>
    </row>
    <row r="995" spans="8:9" x14ac:dyDescent="0.25">
      <c r="H995">
        <v>994</v>
      </c>
      <c r="I995">
        <v>57.840388648004087</v>
      </c>
    </row>
    <row r="996" spans="8:9" x14ac:dyDescent="0.25">
      <c r="H996">
        <v>995</v>
      </c>
      <c r="I996">
        <v>66.533437250050923</v>
      </c>
    </row>
    <row r="997" spans="8:9" x14ac:dyDescent="0.25">
      <c r="H997">
        <v>996</v>
      </c>
      <c r="I997">
        <v>58.6734775178993</v>
      </c>
    </row>
    <row r="998" spans="8:9" x14ac:dyDescent="0.25">
      <c r="H998">
        <v>997</v>
      </c>
      <c r="I998">
        <v>60.053949034033714</v>
      </c>
    </row>
    <row r="999" spans="8:9" x14ac:dyDescent="0.25">
      <c r="H999">
        <v>998</v>
      </c>
      <c r="I999">
        <v>66.995607658872231</v>
      </c>
    </row>
    <row r="1000" spans="8:9" x14ac:dyDescent="0.25">
      <c r="H1000">
        <v>999</v>
      </c>
      <c r="I1000">
        <v>51.611457890902415</v>
      </c>
    </row>
    <row r="1001" spans="8:9" x14ac:dyDescent="0.25">
      <c r="H1001">
        <v>1000</v>
      </c>
      <c r="I1001">
        <v>56.259088119236523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8825-ED75-4B5C-A70F-B93D9A6FD065}">
  <dimension ref="A1:BO324"/>
  <sheetViews>
    <sheetView workbookViewId="0">
      <pane xSplit="3" topLeftCell="AY1" activePane="topRight" state="frozen"/>
      <selection pane="topRight" activeCell="A2" sqref="A2:A9"/>
    </sheetView>
  </sheetViews>
  <sheetFormatPr defaultRowHeight="15" x14ac:dyDescent="0.25"/>
  <cols>
    <col min="1" max="1" width="24.28515625" bestFit="1" customWidth="1"/>
    <col min="2" max="2" width="15.28515625" bestFit="1" customWidth="1"/>
    <col min="3" max="3" width="8.42578125" bestFit="1" customWidth="1"/>
    <col min="4" max="4" width="4.28515625" bestFit="1" customWidth="1"/>
    <col min="5" max="5" width="5.85546875" bestFit="1" customWidth="1"/>
    <col min="6" max="7" width="3.5703125" bestFit="1" customWidth="1"/>
    <col min="8" max="10" width="5" bestFit="1" customWidth="1"/>
    <col min="11" max="11" width="6" bestFit="1" customWidth="1"/>
    <col min="12" max="12" width="4" bestFit="1" customWidth="1"/>
    <col min="13" max="13" width="5" bestFit="1" customWidth="1"/>
    <col min="14" max="14" width="6" bestFit="1" customWidth="1"/>
    <col min="15" max="16" width="5" bestFit="1" customWidth="1"/>
    <col min="17" max="17" width="6" bestFit="1" customWidth="1"/>
    <col min="18" max="18" width="6.140625" bestFit="1" customWidth="1"/>
    <col min="19" max="19" width="4" bestFit="1" customWidth="1"/>
    <col min="20" max="20" width="5" bestFit="1" customWidth="1"/>
    <col min="21" max="21" width="6" bestFit="1" customWidth="1"/>
    <col min="22" max="23" width="4.85546875" bestFit="1" customWidth="1"/>
    <col min="24" max="25" width="5" bestFit="1" customWidth="1"/>
    <col min="26" max="26" width="4.140625" bestFit="1" customWidth="1"/>
    <col min="27" max="27" width="4.28515625" bestFit="1" customWidth="1"/>
    <col min="28" max="28" width="4.5703125" bestFit="1" customWidth="1"/>
    <col min="29" max="29" width="4" bestFit="1" customWidth="1"/>
    <col min="30" max="30" width="5" bestFit="1" customWidth="1"/>
    <col min="31" max="31" width="13.28515625" bestFit="1" customWidth="1"/>
    <col min="32" max="32" width="5" bestFit="1" customWidth="1"/>
    <col min="33" max="35" width="6" bestFit="1" customWidth="1"/>
    <col min="36" max="37" width="6.42578125" bestFit="1" customWidth="1"/>
    <col min="38" max="38" width="6" bestFit="1" customWidth="1"/>
    <col min="39" max="39" width="5.85546875" bestFit="1" customWidth="1"/>
    <col min="40" max="40" width="5.7109375" bestFit="1" customWidth="1"/>
    <col min="41" max="41" width="5.85546875" bestFit="1" customWidth="1"/>
    <col min="42" max="42" width="6.140625" bestFit="1" customWidth="1"/>
    <col min="43" max="43" width="6.42578125" bestFit="1" customWidth="1"/>
    <col min="44" max="45" width="5.42578125" bestFit="1" customWidth="1"/>
    <col min="46" max="46" width="5" bestFit="1" customWidth="1"/>
    <col min="47" max="47" width="6.7109375" bestFit="1" customWidth="1"/>
    <col min="48" max="49" width="6.28515625" bestFit="1" customWidth="1"/>
    <col min="50" max="50" width="4.85546875" bestFit="1" customWidth="1"/>
    <col min="51" max="51" width="6" bestFit="1" customWidth="1"/>
    <col min="52" max="52" width="11.7109375" style="8" customWidth="1"/>
    <col min="53" max="53" width="17.5703125" style="8" customWidth="1"/>
    <col min="54" max="54" width="18.5703125" customWidth="1"/>
    <col min="56" max="56" width="10.7109375" bestFit="1" customWidth="1"/>
    <col min="57" max="57" width="16.28515625" bestFit="1" customWidth="1"/>
    <col min="58" max="58" width="12.28515625" bestFit="1" customWidth="1"/>
    <col min="59" max="60" width="10" bestFit="1" customWidth="1"/>
    <col min="64" max="64" width="16.28515625" bestFit="1" customWidth="1"/>
    <col min="65" max="65" width="11.14062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552</v>
      </c>
      <c r="BA1" s="7" t="s">
        <v>553</v>
      </c>
      <c r="BB1" s="9" t="s">
        <v>554</v>
      </c>
      <c r="BD1" s="1" t="s">
        <v>555</v>
      </c>
      <c r="BE1" s="1" t="s">
        <v>557</v>
      </c>
      <c r="BF1" s="1" t="s">
        <v>556</v>
      </c>
      <c r="BG1" s="1" t="s">
        <v>558</v>
      </c>
      <c r="BH1" s="1" t="s">
        <v>559</v>
      </c>
      <c r="BI1" s="1" t="s">
        <v>560</v>
      </c>
      <c r="BJ1" s="1" t="s">
        <v>561</v>
      </c>
      <c r="BK1" s="1" t="s">
        <v>562</v>
      </c>
      <c r="BL1" s="1" t="s">
        <v>563</v>
      </c>
      <c r="BM1" s="1" t="s">
        <v>564</v>
      </c>
    </row>
    <row r="2" spans="1:67" x14ac:dyDescent="0.25">
      <c r="A2" s="6" t="s">
        <v>580</v>
      </c>
      <c r="B2" s="2">
        <v>37096500</v>
      </c>
      <c r="C2" t="s">
        <v>52</v>
      </c>
      <c r="AT2">
        <v>12.1</v>
      </c>
      <c r="AX2">
        <v>8.1999999999999993</v>
      </c>
      <c r="AZ2" s="8">
        <v>10.149999999999999</v>
      </c>
      <c r="BA2" s="8">
        <v>0.27361071799226339</v>
      </c>
      <c r="BB2" s="3">
        <v>1</v>
      </c>
      <c r="BD2" s="10">
        <f>SUMPRODUCT(AZ2:AZ193, BB2:BB193)</f>
        <v>49.300000000000004</v>
      </c>
      <c r="BE2" s="11">
        <f>SUMPRODUCT(B2:B193, BB2:BB193)</f>
        <v>140408731</v>
      </c>
      <c r="BF2" s="5">
        <f>SUM(BB2:BB193)</f>
        <v>8</v>
      </c>
      <c r="BG2" s="5" cm="1">
        <f t="array" ref="BG2">SUMPRODUCT(BB2:BB193, --(C2:C193="PG"))</f>
        <v>1</v>
      </c>
      <c r="BH2" s="5" cm="1">
        <f t="array" ref="BH2">SUMPRODUCT(BB2:BB193, --(C2:C193="SG"))</f>
        <v>1</v>
      </c>
      <c r="BI2" s="5" cm="1">
        <f t="array" ref="BI2">SUMPRODUCT(BB2:BB193, --(C2:C193="SF"))</f>
        <v>1</v>
      </c>
      <c r="BJ2" s="5" cm="1">
        <f t="array" ref="BJ2">SUMPRODUCT(BB2:BB193, --(C2:C193="PF"))</f>
        <v>2</v>
      </c>
      <c r="BK2" s="5" cm="1">
        <f t="array" ref="BK2">SUMPRODUCT(BB2:BB193, --(C2:C193="C"))</f>
        <v>3</v>
      </c>
      <c r="BL2" s="12">
        <f>154000000</f>
        <v>154000000</v>
      </c>
      <c r="BM2" s="4">
        <v>12</v>
      </c>
    </row>
    <row r="3" spans="1:67" x14ac:dyDescent="0.25">
      <c r="A3" s="6" t="s">
        <v>136</v>
      </c>
      <c r="B3" s="2">
        <v>21100000</v>
      </c>
      <c r="C3" t="s">
        <v>75</v>
      </c>
      <c r="D3">
        <v>26</v>
      </c>
      <c r="E3" t="s">
        <v>116</v>
      </c>
      <c r="F3">
        <v>79</v>
      </c>
      <c r="G3">
        <v>79</v>
      </c>
      <c r="H3">
        <v>34.6</v>
      </c>
      <c r="I3">
        <v>7.3</v>
      </c>
      <c r="J3">
        <v>11.9</v>
      </c>
      <c r="K3">
        <v>0.61499999999999999</v>
      </c>
      <c r="L3">
        <v>0.4</v>
      </c>
      <c r="M3">
        <v>1.1000000000000001</v>
      </c>
      <c r="N3">
        <v>0.373</v>
      </c>
      <c r="O3">
        <v>6.9</v>
      </c>
      <c r="P3">
        <v>10.8</v>
      </c>
      <c r="Q3">
        <v>0.63900000000000001</v>
      </c>
      <c r="R3">
        <v>0.63200000000000001</v>
      </c>
      <c r="S3">
        <v>4.0999999999999996</v>
      </c>
      <c r="T3">
        <v>5.5</v>
      </c>
      <c r="U3">
        <v>0.74199999999999999</v>
      </c>
      <c r="V3">
        <v>3.2</v>
      </c>
      <c r="W3">
        <v>9.1</v>
      </c>
      <c r="X3">
        <v>12.3</v>
      </c>
      <c r="Y3">
        <v>7.3</v>
      </c>
      <c r="Z3">
        <v>0.8</v>
      </c>
      <c r="AA3">
        <v>0.5</v>
      </c>
      <c r="AB3">
        <v>2.9</v>
      </c>
      <c r="AC3">
        <v>3.5</v>
      </c>
      <c r="AD3">
        <v>19.100000000000001</v>
      </c>
      <c r="AE3">
        <v>2736</v>
      </c>
      <c r="AF3">
        <v>23.5</v>
      </c>
      <c r="AG3">
        <v>0.66800000000000004</v>
      </c>
      <c r="AH3">
        <v>8.7999999999999995E-2</v>
      </c>
      <c r="AI3">
        <v>0.46700000000000003</v>
      </c>
      <c r="AJ3">
        <v>10.6</v>
      </c>
      <c r="AK3">
        <v>30</v>
      </c>
      <c r="AL3">
        <v>20.3</v>
      </c>
      <c r="AM3">
        <v>30.4</v>
      </c>
      <c r="AN3">
        <v>1.1000000000000001</v>
      </c>
      <c r="AO3">
        <v>1.2</v>
      </c>
      <c r="AP3">
        <v>16.899999999999999</v>
      </c>
      <c r="AQ3">
        <v>21.3</v>
      </c>
      <c r="AR3">
        <v>9.6</v>
      </c>
      <c r="AS3">
        <v>3</v>
      </c>
      <c r="AT3">
        <v>12.6</v>
      </c>
      <c r="AU3">
        <v>0.221</v>
      </c>
      <c r="AV3">
        <v>4.0999999999999996</v>
      </c>
      <c r="AW3">
        <v>1.8</v>
      </c>
      <c r="AX3">
        <v>5.8</v>
      </c>
      <c r="AY3">
        <v>5.4</v>
      </c>
      <c r="AZ3" s="8">
        <v>9.1999999999999993</v>
      </c>
      <c r="BA3" s="8">
        <v>0.43601895734597157</v>
      </c>
      <c r="BB3" s="3">
        <v>1</v>
      </c>
      <c r="BL3" s="4" t="s">
        <v>582</v>
      </c>
      <c r="BM3" s="4" t="s">
        <v>581</v>
      </c>
      <c r="BN3" s="4">
        <v>1</v>
      </c>
      <c r="BO3" t="s">
        <v>584</v>
      </c>
    </row>
    <row r="4" spans="1:67" x14ac:dyDescent="0.25">
      <c r="A4" s="6" t="s">
        <v>162</v>
      </c>
      <c r="B4" s="2">
        <v>16475454</v>
      </c>
      <c r="C4" t="s">
        <v>28</v>
      </c>
      <c r="D4">
        <v>25</v>
      </c>
      <c r="E4" t="s">
        <v>130</v>
      </c>
      <c r="F4">
        <v>66</v>
      </c>
      <c r="G4">
        <v>66</v>
      </c>
      <c r="H4">
        <v>34.4</v>
      </c>
      <c r="I4">
        <v>8.6999999999999993</v>
      </c>
      <c r="J4">
        <v>17.3</v>
      </c>
      <c r="K4">
        <v>0.499</v>
      </c>
      <c r="L4">
        <v>3</v>
      </c>
      <c r="M4">
        <v>7.7</v>
      </c>
      <c r="N4">
        <v>0.39100000000000001</v>
      </c>
      <c r="O4">
        <v>5.6</v>
      </c>
      <c r="P4">
        <v>9.6</v>
      </c>
      <c r="Q4">
        <v>0.58499999999999996</v>
      </c>
      <c r="R4">
        <v>0.58599999999999997</v>
      </c>
      <c r="S4">
        <v>5.3</v>
      </c>
      <c r="T4">
        <v>6</v>
      </c>
      <c r="U4">
        <v>0.875</v>
      </c>
      <c r="V4">
        <v>2</v>
      </c>
      <c r="W4">
        <v>6.7</v>
      </c>
      <c r="X4">
        <v>8.6</v>
      </c>
      <c r="Y4">
        <v>1.9</v>
      </c>
      <c r="Z4">
        <v>0.6</v>
      </c>
      <c r="AA4">
        <v>0.6</v>
      </c>
      <c r="AB4">
        <v>1.9</v>
      </c>
      <c r="AC4">
        <v>2.1</v>
      </c>
      <c r="AD4">
        <v>25.6</v>
      </c>
      <c r="AE4">
        <v>2273</v>
      </c>
      <c r="AF4">
        <v>22.1</v>
      </c>
      <c r="AG4">
        <v>0.64</v>
      </c>
      <c r="AH4">
        <v>0.44600000000000001</v>
      </c>
      <c r="AI4">
        <v>0.34799999999999998</v>
      </c>
      <c r="AJ4">
        <v>6.3</v>
      </c>
      <c r="AK4">
        <v>20.7</v>
      </c>
      <c r="AL4">
        <v>13.6</v>
      </c>
      <c r="AM4">
        <v>8.6</v>
      </c>
      <c r="AN4">
        <v>0.9</v>
      </c>
      <c r="AO4">
        <v>1.4</v>
      </c>
      <c r="AP4">
        <v>8.8000000000000007</v>
      </c>
      <c r="AQ4">
        <v>26.6</v>
      </c>
      <c r="AR4">
        <v>6.3</v>
      </c>
      <c r="AS4">
        <v>1.9</v>
      </c>
      <c r="AT4">
        <v>8.1999999999999993</v>
      </c>
      <c r="AU4">
        <v>0.17299999999999999</v>
      </c>
      <c r="AV4">
        <v>4.9000000000000004</v>
      </c>
      <c r="AW4">
        <v>-1</v>
      </c>
      <c r="AX4">
        <v>3.8</v>
      </c>
      <c r="AY4">
        <v>3.3</v>
      </c>
      <c r="AZ4" s="8">
        <v>6</v>
      </c>
      <c r="BA4" s="8">
        <v>0.36417812826280843</v>
      </c>
      <c r="BB4" s="3">
        <v>1</v>
      </c>
      <c r="BL4" s="4" t="s">
        <v>586</v>
      </c>
      <c r="BM4" s="4" t="s">
        <v>581</v>
      </c>
      <c r="BN4" s="4">
        <v>1</v>
      </c>
      <c r="BO4" t="s">
        <v>585</v>
      </c>
    </row>
    <row r="5" spans="1:67" x14ac:dyDescent="0.25">
      <c r="A5" s="6" t="s">
        <v>72</v>
      </c>
      <c r="B5" s="2">
        <v>38917057</v>
      </c>
      <c r="C5" t="s">
        <v>62</v>
      </c>
      <c r="D5">
        <v>30</v>
      </c>
      <c r="E5" t="s">
        <v>73</v>
      </c>
      <c r="F5">
        <v>60</v>
      </c>
      <c r="G5">
        <v>60</v>
      </c>
      <c r="H5">
        <v>37.4</v>
      </c>
      <c r="I5">
        <v>9.9</v>
      </c>
      <c r="J5">
        <v>20.100000000000001</v>
      </c>
      <c r="K5">
        <v>0.49399999999999999</v>
      </c>
      <c r="L5">
        <v>3.1</v>
      </c>
      <c r="M5">
        <v>8.3000000000000007</v>
      </c>
      <c r="N5">
        <v>0.379</v>
      </c>
      <c r="O5">
        <v>6.8</v>
      </c>
      <c r="P5">
        <v>11.8</v>
      </c>
      <c r="Q5">
        <v>0.57399999999999995</v>
      </c>
      <c r="R5">
        <v>0.57199999999999995</v>
      </c>
      <c r="S5">
        <v>4.0999999999999996</v>
      </c>
      <c r="T5">
        <v>4.5999999999999996</v>
      </c>
      <c r="U5">
        <v>0.90500000000000003</v>
      </c>
      <c r="V5">
        <v>1</v>
      </c>
      <c r="W5">
        <v>4.0999999999999996</v>
      </c>
      <c r="X5">
        <v>5.0999999999999996</v>
      </c>
      <c r="Y5">
        <v>5.5</v>
      </c>
      <c r="Z5">
        <v>1.1000000000000001</v>
      </c>
      <c r="AA5">
        <v>0.8</v>
      </c>
      <c r="AB5">
        <v>2.1</v>
      </c>
      <c r="AC5">
        <v>2.8</v>
      </c>
      <c r="AD5">
        <v>27.1</v>
      </c>
      <c r="AE5">
        <v>2241</v>
      </c>
      <c r="AF5">
        <v>22.4</v>
      </c>
      <c r="AG5">
        <v>0.61299999999999999</v>
      </c>
      <c r="AH5">
        <v>0.41199999999999998</v>
      </c>
      <c r="AI5">
        <v>0.22700000000000001</v>
      </c>
      <c r="AJ5">
        <v>3</v>
      </c>
      <c r="AK5">
        <v>12.3</v>
      </c>
      <c r="AL5">
        <v>7.7</v>
      </c>
      <c r="AM5">
        <v>25.4</v>
      </c>
      <c r="AN5">
        <v>1.4</v>
      </c>
      <c r="AO5">
        <v>1.7</v>
      </c>
      <c r="AP5">
        <v>8.8000000000000007</v>
      </c>
      <c r="AQ5">
        <v>28.9</v>
      </c>
      <c r="AR5">
        <v>5.4</v>
      </c>
      <c r="AS5">
        <v>2</v>
      </c>
      <c r="AT5">
        <v>7.4</v>
      </c>
      <c r="AU5">
        <v>0.159</v>
      </c>
      <c r="AV5">
        <v>4.8</v>
      </c>
      <c r="AW5">
        <v>-0.7</v>
      </c>
      <c r="AX5">
        <v>4.0999999999999996</v>
      </c>
      <c r="AY5">
        <v>3.5</v>
      </c>
      <c r="AZ5" s="8">
        <v>5.75</v>
      </c>
      <c r="BA5" s="8">
        <v>0.1477501240651368</v>
      </c>
      <c r="BB5" s="3">
        <v>1</v>
      </c>
    </row>
    <row r="6" spans="1:67" x14ac:dyDescent="0.25">
      <c r="A6" s="6" t="s">
        <v>235</v>
      </c>
      <c r="B6" s="2">
        <v>8000000</v>
      </c>
      <c r="C6" t="s">
        <v>75</v>
      </c>
      <c r="D6">
        <v>26</v>
      </c>
      <c r="E6" t="s">
        <v>53</v>
      </c>
      <c r="F6">
        <v>82</v>
      </c>
      <c r="G6">
        <v>70</v>
      </c>
      <c r="H6">
        <v>23.9</v>
      </c>
      <c r="I6">
        <v>3</v>
      </c>
      <c r="J6">
        <v>4.7</v>
      </c>
      <c r="K6">
        <v>0.63</v>
      </c>
      <c r="L6">
        <v>0</v>
      </c>
      <c r="M6">
        <v>0</v>
      </c>
      <c r="N6">
        <v>0</v>
      </c>
      <c r="O6">
        <v>3</v>
      </c>
      <c r="P6">
        <v>4.7</v>
      </c>
      <c r="Q6">
        <v>0.63200000000000001</v>
      </c>
      <c r="R6">
        <v>0.63</v>
      </c>
      <c r="S6">
        <v>1.1000000000000001</v>
      </c>
      <c r="T6">
        <v>1.9</v>
      </c>
      <c r="U6">
        <v>0.60599999999999998</v>
      </c>
      <c r="V6">
        <v>3.3</v>
      </c>
      <c r="W6">
        <v>5.9</v>
      </c>
      <c r="X6">
        <v>9.3000000000000007</v>
      </c>
      <c r="Y6">
        <v>2.5</v>
      </c>
      <c r="Z6">
        <v>0.6</v>
      </c>
      <c r="AA6">
        <v>0.6</v>
      </c>
      <c r="AB6">
        <v>0.5</v>
      </c>
      <c r="AC6">
        <v>2.7</v>
      </c>
      <c r="AD6">
        <v>7</v>
      </c>
      <c r="AE6">
        <v>1958</v>
      </c>
      <c r="AF6">
        <v>17.8</v>
      </c>
      <c r="AG6">
        <v>0.63900000000000001</v>
      </c>
      <c r="AH6">
        <v>3.0000000000000001E-3</v>
      </c>
      <c r="AI6">
        <v>0.40400000000000003</v>
      </c>
      <c r="AJ6">
        <v>15.7</v>
      </c>
      <c r="AK6">
        <v>26.8</v>
      </c>
      <c r="AL6">
        <v>21.4</v>
      </c>
      <c r="AM6">
        <v>13.8</v>
      </c>
      <c r="AN6">
        <v>1.3</v>
      </c>
      <c r="AO6">
        <v>2.2000000000000002</v>
      </c>
      <c r="AP6">
        <v>9.1</v>
      </c>
      <c r="AQ6">
        <v>10.6</v>
      </c>
      <c r="AR6">
        <v>5.9</v>
      </c>
      <c r="AS6">
        <v>2.8</v>
      </c>
      <c r="AT6">
        <v>8.6999999999999993</v>
      </c>
      <c r="AU6">
        <v>0.21199999999999999</v>
      </c>
      <c r="AV6">
        <v>0.9</v>
      </c>
      <c r="AW6">
        <v>1.3</v>
      </c>
      <c r="AX6">
        <v>2.1</v>
      </c>
      <c r="AY6">
        <v>2</v>
      </c>
      <c r="AZ6" s="8">
        <v>5.3999999999999995</v>
      </c>
      <c r="BA6" s="8">
        <v>0.67499999999999993</v>
      </c>
      <c r="BB6" s="3">
        <v>1</v>
      </c>
    </row>
    <row r="7" spans="1:67" x14ac:dyDescent="0.25">
      <c r="A7" s="6" t="s">
        <v>229</v>
      </c>
      <c r="B7" s="2">
        <v>8478720</v>
      </c>
      <c r="C7" t="s">
        <v>28</v>
      </c>
      <c r="D7">
        <v>21</v>
      </c>
      <c r="E7" t="s">
        <v>107</v>
      </c>
      <c r="F7">
        <v>79</v>
      </c>
      <c r="G7">
        <v>79</v>
      </c>
      <c r="H7">
        <v>34.4</v>
      </c>
      <c r="I7">
        <v>6.6</v>
      </c>
      <c r="J7">
        <v>12</v>
      </c>
      <c r="K7">
        <v>0.55400000000000005</v>
      </c>
      <c r="L7">
        <v>0.3</v>
      </c>
      <c r="M7">
        <v>1.3</v>
      </c>
      <c r="N7">
        <v>0.216</v>
      </c>
      <c r="O7">
        <v>6.4</v>
      </c>
      <c r="P7">
        <v>10.7</v>
      </c>
      <c r="Q7">
        <v>0.59499999999999997</v>
      </c>
      <c r="R7">
        <v>0.56599999999999995</v>
      </c>
      <c r="S7">
        <v>2.6</v>
      </c>
      <c r="T7">
        <v>3.8</v>
      </c>
      <c r="U7">
        <v>0.67400000000000004</v>
      </c>
      <c r="V7">
        <v>2.4</v>
      </c>
      <c r="W7">
        <v>6.6</v>
      </c>
      <c r="X7">
        <v>9</v>
      </c>
      <c r="Y7">
        <v>2.8</v>
      </c>
      <c r="Z7">
        <v>0.8</v>
      </c>
      <c r="AA7">
        <v>1.5</v>
      </c>
      <c r="AB7">
        <v>1.8</v>
      </c>
      <c r="AC7">
        <v>2.8</v>
      </c>
      <c r="AD7">
        <v>16.2</v>
      </c>
      <c r="AE7">
        <v>2715</v>
      </c>
      <c r="AF7">
        <v>17.899999999999999</v>
      </c>
      <c r="AG7">
        <v>0.59099999999999997</v>
      </c>
      <c r="AH7">
        <v>0.108</v>
      </c>
      <c r="AI7">
        <v>0.32100000000000001</v>
      </c>
      <c r="AJ7">
        <v>8.1</v>
      </c>
      <c r="AK7">
        <v>22.7</v>
      </c>
      <c r="AL7">
        <v>15.4</v>
      </c>
      <c r="AM7">
        <v>12.4</v>
      </c>
      <c r="AN7">
        <v>1.1000000000000001</v>
      </c>
      <c r="AO7">
        <v>4</v>
      </c>
      <c r="AP7">
        <v>11.9</v>
      </c>
      <c r="AQ7">
        <v>20.2</v>
      </c>
      <c r="AR7">
        <v>3.7</v>
      </c>
      <c r="AS7">
        <v>4.8</v>
      </c>
      <c r="AT7">
        <v>8.5</v>
      </c>
      <c r="AU7">
        <v>0.151</v>
      </c>
      <c r="AV7">
        <v>0</v>
      </c>
      <c r="AW7">
        <v>1.6</v>
      </c>
      <c r="AX7">
        <v>1.7</v>
      </c>
      <c r="AY7">
        <v>2.5</v>
      </c>
      <c r="AZ7" s="8">
        <v>5.0999999999999996</v>
      </c>
      <c r="BA7" s="8">
        <v>0.60150588768115942</v>
      </c>
      <c r="BB7" s="3">
        <v>1</v>
      </c>
    </row>
    <row r="8" spans="1:67" x14ac:dyDescent="0.25">
      <c r="A8" s="6" t="s">
        <v>357</v>
      </c>
      <c r="B8" s="2">
        <v>2696400</v>
      </c>
      <c r="C8" t="s">
        <v>75</v>
      </c>
      <c r="D8">
        <v>21</v>
      </c>
      <c r="E8" t="s">
        <v>130</v>
      </c>
      <c r="F8">
        <v>74</v>
      </c>
      <c r="G8">
        <v>40</v>
      </c>
      <c r="H8">
        <v>23</v>
      </c>
      <c r="I8">
        <v>4</v>
      </c>
      <c r="J8">
        <v>5.6</v>
      </c>
      <c r="K8">
        <v>0.72</v>
      </c>
      <c r="L8">
        <v>0</v>
      </c>
      <c r="M8">
        <v>0</v>
      </c>
      <c r="N8">
        <v>0.33300000000000002</v>
      </c>
      <c r="O8">
        <v>4</v>
      </c>
      <c r="P8">
        <v>5.6</v>
      </c>
      <c r="Q8">
        <v>0.72299999999999998</v>
      </c>
      <c r="R8">
        <v>0.72099999999999997</v>
      </c>
      <c r="S8">
        <v>1.1000000000000001</v>
      </c>
      <c r="T8">
        <v>2.1</v>
      </c>
      <c r="U8">
        <v>0.51600000000000001</v>
      </c>
      <c r="V8">
        <v>3.1</v>
      </c>
      <c r="W8">
        <v>5.3</v>
      </c>
      <c r="X8">
        <v>8.4</v>
      </c>
      <c r="Y8">
        <v>0.9</v>
      </c>
      <c r="Z8">
        <v>0.4</v>
      </c>
      <c r="AA8">
        <v>2.2999999999999998</v>
      </c>
      <c r="AB8">
        <v>0.8</v>
      </c>
      <c r="AC8">
        <v>2.2999999999999998</v>
      </c>
      <c r="AD8">
        <v>9.1999999999999993</v>
      </c>
      <c r="AE8">
        <v>1703</v>
      </c>
      <c r="AF8">
        <v>21.5</v>
      </c>
      <c r="AG8">
        <v>0.70199999999999996</v>
      </c>
      <c r="AH8">
        <v>7.0000000000000001E-3</v>
      </c>
      <c r="AI8">
        <v>0.38400000000000001</v>
      </c>
      <c r="AJ8">
        <v>14.9</v>
      </c>
      <c r="AK8">
        <v>24.4</v>
      </c>
      <c r="AL8">
        <v>19.7</v>
      </c>
      <c r="AM8">
        <v>5.7</v>
      </c>
      <c r="AN8">
        <v>0.7</v>
      </c>
      <c r="AO8">
        <v>8.6</v>
      </c>
      <c r="AP8">
        <v>10.7</v>
      </c>
      <c r="AQ8">
        <v>13.3</v>
      </c>
      <c r="AR8">
        <v>4.5999999999999996</v>
      </c>
      <c r="AS8">
        <v>2.5</v>
      </c>
      <c r="AT8">
        <v>7.1</v>
      </c>
      <c r="AU8">
        <v>0.2</v>
      </c>
      <c r="AV8">
        <v>1.4</v>
      </c>
      <c r="AW8">
        <v>1.5</v>
      </c>
      <c r="AX8">
        <v>2.9</v>
      </c>
      <c r="AY8">
        <v>2.1</v>
      </c>
      <c r="AZ8" s="8">
        <v>5</v>
      </c>
      <c r="BA8" s="8">
        <v>1.8543242842308263</v>
      </c>
      <c r="BB8" s="3">
        <v>1</v>
      </c>
    </row>
    <row r="9" spans="1:67" x14ac:dyDescent="0.25">
      <c r="A9" s="6" t="s">
        <v>239</v>
      </c>
      <c r="B9" s="2">
        <v>7644600</v>
      </c>
      <c r="C9" t="s">
        <v>65</v>
      </c>
      <c r="D9">
        <v>21</v>
      </c>
      <c r="E9" t="s">
        <v>91</v>
      </c>
      <c r="F9">
        <v>77</v>
      </c>
      <c r="G9">
        <v>76</v>
      </c>
      <c r="H9">
        <v>34.799999999999997</v>
      </c>
      <c r="I9">
        <v>6</v>
      </c>
      <c r="J9">
        <v>13.2</v>
      </c>
      <c r="K9">
        <v>0.45600000000000002</v>
      </c>
      <c r="L9">
        <v>0.8</v>
      </c>
      <c r="M9">
        <v>2.9</v>
      </c>
      <c r="N9">
        <v>0.28100000000000003</v>
      </c>
      <c r="O9">
        <v>5.2</v>
      </c>
      <c r="P9">
        <v>10.3</v>
      </c>
      <c r="Q9">
        <v>0.505</v>
      </c>
      <c r="R9">
        <v>0.48699999999999999</v>
      </c>
      <c r="S9">
        <v>2.5</v>
      </c>
      <c r="T9">
        <v>3.2</v>
      </c>
      <c r="U9">
        <v>0.77200000000000002</v>
      </c>
      <c r="V9">
        <v>2.2999999999999998</v>
      </c>
      <c r="W9">
        <v>4.3</v>
      </c>
      <c r="X9">
        <v>6.6</v>
      </c>
      <c r="Y9">
        <v>4.8</v>
      </c>
      <c r="Z9">
        <v>1.1000000000000001</v>
      </c>
      <c r="AA9">
        <v>0.8</v>
      </c>
      <c r="AB9">
        <v>2</v>
      </c>
      <c r="AC9">
        <v>2.2000000000000002</v>
      </c>
      <c r="AD9">
        <v>15.3</v>
      </c>
      <c r="AE9">
        <v>2678</v>
      </c>
      <c r="AF9">
        <v>15.5</v>
      </c>
      <c r="AG9">
        <v>0.52400000000000002</v>
      </c>
      <c r="AH9">
        <v>0.22</v>
      </c>
      <c r="AI9">
        <v>0.24199999999999999</v>
      </c>
      <c r="AJ9">
        <v>7.1</v>
      </c>
      <c r="AK9">
        <v>15.2</v>
      </c>
      <c r="AL9">
        <v>10.8</v>
      </c>
      <c r="AM9">
        <v>20</v>
      </c>
      <c r="AN9">
        <v>1.5</v>
      </c>
      <c r="AO9">
        <v>2.2000000000000002</v>
      </c>
      <c r="AP9">
        <v>12</v>
      </c>
      <c r="AQ9">
        <v>20.3</v>
      </c>
      <c r="AR9">
        <v>2.2999999999999998</v>
      </c>
      <c r="AS9">
        <v>2.7</v>
      </c>
      <c r="AT9">
        <v>5</v>
      </c>
      <c r="AU9">
        <v>0.09</v>
      </c>
      <c r="AV9">
        <v>0.5</v>
      </c>
      <c r="AW9">
        <v>-0.1</v>
      </c>
      <c r="AX9">
        <v>0.4</v>
      </c>
      <c r="AY9">
        <v>1.6</v>
      </c>
      <c r="AZ9" s="8">
        <v>2.7</v>
      </c>
      <c r="BA9" s="8">
        <v>0.35319048740287262</v>
      </c>
      <c r="BB9" s="3">
        <v>1</v>
      </c>
    </row>
    <row r="10" spans="1:67" x14ac:dyDescent="0.25">
      <c r="A10" t="s">
        <v>98</v>
      </c>
      <c r="B10" s="2">
        <v>33616770</v>
      </c>
      <c r="C10" t="s">
        <v>75</v>
      </c>
      <c r="D10">
        <v>28</v>
      </c>
      <c r="E10" t="s">
        <v>82</v>
      </c>
      <c r="F10">
        <v>66</v>
      </c>
      <c r="G10">
        <v>66</v>
      </c>
      <c r="H10">
        <v>34.6</v>
      </c>
      <c r="I10">
        <v>11</v>
      </c>
      <c r="J10">
        <v>20.100000000000001</v>
      </c>
      <c r="K10">
        <v>0.54800000000000004</v>
      </c>
      <c r="L10">
        <v>1</v>
      </c>
      <c r="M10">
        <v>3</v>
      </c>
      <c r="N10">
        <v>0.33</v>
      </c>
      <c r="O10">
        <v>10</v>
      </c>
      <c r="P10">
        <v>17.100000000000001</v>
      </c>
      <c r="Q10">
        <v>0.58699999999999997</v>
      </c>
      <c r="R10">
        <v>0.57299999999999995</v>
      </c>
      <c r="S10">
        <v>10</v>
      </c>
      <c r="T10">
        <v>11.7</v>
      </c>
      <c r="U10">
        <v>0.85699999999999998</v>
      </c>
      <c r="V10">
        <v>1.7</v>
      </c>
      <c r="W10">
        <v>8.4</v>
      </c>
      <c r="X10">
        <v>10.199999999999999</v>
      </c>
      <c r="Y10">
        <v>4.2</v>
      </c>
      <c r="Z10">
        <v>1</v>
      </c>
      <c r="AA10">
        <v>1.7</v>
      </c>
      <c r="AB10">
        <v>3.4</v>
      </c>
      <c r="AC10">
        <v>3.1</v>
      </c>
      <c r="AD10">
        <v>33.1</v>
      </c>
      <c r="AE10">
        <v>2284</v>
      </c>
      <c r="AF10">
        <v>31.4</v>
      </c>
      <c r="AG10">
        <v>0.65500000000000003</v>
      </c>
      <c r="AH10">
        <v>0.151</v>
      </c>
      <c r="AI10">
        <v>0.58099999999999996</v>
      </c>
      <c r="AJ10">
        <v>5.9</v>
      </c>
      <c r="AK10">
        <v>28.3</v>
      </c>
      <c r="AL10">
        <v>17.3</v>
      </c>
      <c r="AM10">
        <v>22.9</v>
      </c>
      <c r="AN10">
        <v>1.4</v>
      </c>
      <c r="AO10">
        <v>4.5999999999999996</v>
      </c>
      <c r="AP10">
        <v>11.9</v>
      </c>
      <c r="AQ10">
        <v>37</v>
      </c>
      <c r="AR10">
        <v>8.4</v>
      </c>
      <c r="AS10">
        <v>3.9</v>
      </c>
      <c r="AT10">
        <v>12.3</v>
      </c>
      <c r="AU10">
        <v>0.25900000000000001</v>
      </c>
      <c r="AV10">
        <v>6.8</v>
      </c>
      <c r="AW10">
        <v>2.2999999999999998</v>
      </c>
      <c r="AX10">
        <v>9.1999999999999993</v>
      </c>
      <c r="AY10">
        <v>6.4</v>
      </c>
      <c r="AZ10" s="8">
        <v>10.75</v>
      </c>
      <c r="BA10" s="8">
        <v>0.31978087127347454</v>
      </c>
      <c r="BB10" s="3">
        <v>0</v>
      </c>
    </row>
    <row r="11" spans="1:67" x14ac:dyDescent="0.25">
      <c r="A11" t="s">
        <v>79</v>
      </c>
      <c r="B11" s="2">
        <v>37653300</v>
      </c>
      <c r="C11" t="s">
        <v>28</v>
      </c>
      <c r="D11">
        <v>33</v>
      </c>
      <c r="E11" t="s">
        <v>80</v>
      </c>
      <c r="F11">
        <v>64</v>
      </c>
      <c r="G11">
        <v>64</v>
      </c>
      <c r="H11">
        <v>33.4</v>
      </c>
      <c r="I11">
        <v>7.5</v>
      </c>
      <c r="J11">
        <v>13.9</v>
      </c>
      <c r="K11">
        <v>0.53900000000000003</v>
      </c>
      <c r="L11">
        <v>0.6</v>
      </c>
      <c r="M11">
        <v>1.6</v>
      </c>
      <c r="N11">
        <v>0.35</v>
      </c>
      <c r="O11">
        <v>6.9</v>
      </c>
      <c r="P11">
        <v>12.3</v>
      </c>
      <c r="Q11">
        <v>0.56399999999999995</v>
      </c>
      <c r="R11">
        <v>0.56000000000000005</v>
      </c>
      <c r="S11">
        <v>7.4</v>
      </c>
      <c r="T11">
        <v>8.6999999999999993</v>
      </c>
      <c r="U11">
        <v>0.85</v>
      </c>
      <c r="V11">
        <v>2.2000000000000002</v>
      </c>
      <c r="W11">
        <v>3.7</v>
      </c>
      <c r="X11">
        <v>5.9</v>
      </c>
      <c r="Y11">
        <v>5.3</v>
      </c>
      <c r="Z11">
        <v>1.8</v>
      </c>
      <c r="AA11">
        <v>0.3</v>
      </c>
      <c r="AB11">
        <v>1.6</v>
      </c>
      <c r="AC11">
        <v>1.3</v>
      </c>
      <c r="AD11">
        <v>22.9</v>
      </c>
      <c r="AE11">
        <v>2138</v>
      </c>
      <c r="AF11">
        <v>27.6</v>
      </c>
      <c r="AG11">
        <v>0.64700000000000002</v>
      </c>
      <c r="AH11">
        <v>0.11600000000000001</v>
      </c>
      <c r="AI11">
        <v>0.625</v>
      </c>
      <c r="AJ11">
        <v>7.5</v>
      </c>
      <c r="AK11">
        <v>13.3</v>
      </c>
      <c r="AL11">
        <v>10.3</v>
      </c>
      <c r="AM11">
        <v>27.1</v>
      </c>
      <c r="AN11">
        <v>2.7</v>
      </c>
      <c r="AO11">
        <v>1</v>
      </c>
      <c r="AP11">
        <v>8.1999999999999993</v>
      </c>
      <c r="AQ11">
        <v>25.6</v>
      </c>
      <c r="AR11">
        <v>9.4</v>
      </c>
      <c r="AS11">
        <v>2.9</v>
      </c>
      <c r="AT11">
        <v>12.3</v>
      </c>
      <c r="AU11">
        <v>0.27700000000000002</v>
      </c>
      <c r="AV11">
        <v>6.7</v>
      </c>
      <c r="AW11">
        <v>2</v>
      </c>
      <c r="AX11">
        <v>8.6999999999999993</v>
      </c>
      <c r="AY11">
        <v>5.8</v>
      </c>
      <c r="AZ11" s="8">
        <v>10.5</v>
      </c>
      <c r="BA11" s="8">
        <v>0.27886002023727002</v>
      </c>
      <c r="BB11" s="3">
        <v>0</v>
      </c>
    </row>
    <row r="12" spans="1:67" x14ac:dyDescent="0.25">
      <c r="A12" t="s">
        <v>108</v>
      </c>
      <c r="B12" s="2">
        <v>30913750</v>
      </c>
      <c r="C12" t="s">
        <v>52</v>
      </c>
      <c r="D12">
        <v>24</v>
      </c>
      <c r="E12" t="s">
        <v>109</v>
      </c>
      <c r="F12">
        <v>68</v>
      </c>
      <c r="G12">
        <v>68</v>
      </c>
      <c r="H12">
        <v>35.5</v>
      </c>
      <c r="I12">
        <v>10.4</v>
      </c>
      <c r="J12">
        <v>20.3</v>
      </c>
      <c r="K12">
        <v>0.51</v>
      </c>
      <c r="L12">
        <v>0.9</v>
      </c>
      <c r="M12">
        <v>2.5</v>
      </c>
      <c r="N12">
        <v>0.34499999999999997</v>
      </c>
      <c r="O12">
        <v>9.5</v>
      </c>
      <c r="P12">
        <v>17.8</v>
      </c>
      <c r="Q12">
        <v>0.53300000000000003</v>
      </c>
      <c r="R12">
        <v>0.53100000000000003</v>
      </c>
      <c r="S12">
        <v>9.8000000000000007</v>
      </c>
      <c r="T12">
        <v>10.9</v>
      </c>
      <c r="U12">
        <v>0.90500000000000003</v>
      </c>
      <c r="V12">
        <v>0.9</v>
      </c>
      <c r="W12">
        <v>4</v>
      </c>
      <c r="X12">
        <v>4.8</v>
      </c>
      <c r="Y12">
        <v>5.5</v>
      </c>
      <c r="Z12">
        <v>1.6</v>
      </c>
      <c r="AA12">
        <v>1</v>
      </c>
      <c r="AB12">
        <v>2.8</v>
      </c>
      <c r="AC12">
        <v>2.8</v>
      </c>
      <c r="AD12">
        <v>31.4</v>
      </c>
      <c r="AE12">
        <v>2416</v>
      </c>
      <c r="AF12">
        <v>27.2</v>
      </c>
      <c r="AG12">
        <v>0.626</v>
      </c>
      <c r="AH12">
        <v>0.122</v>
      </c>
      <c r="AI12">
        <v>0.53500000000000003</v>
      </c>
      <c r="AJ12">
        <v>2.6</v>
      </c>
      <c r="AK12">
        <v>12.2</v>
      </c>
      <c r="AL12">
        <v>7.3</v>
      </c>
      <c r="AM12">
        <v>25.7</v>
      </c>
      <c r="AN12">
        <v>2.2000000000000002</v>
      </c>
      <c r="AO12">
        <v>2.5</v>
      </c>
      <c r="AP12">
        <v>10.1</v>
      </c>
      <c r="AQ12">
        <v>32.799999999999997</v>
      </c>
      <c r="AR12">
        <v>8.4</v>
      </c>
      <c r="AS12">
        <v>3</v>
      </c>
      <c r="AT12">
        <v>11.4</v>
      </c>
      <c r="AU12">
        <v>0.22600000000000001</v>
      </c>
      <c r="AV12">
        <v>5.7</v>
      </c>
      <c r="AW12">
        <v>1.5</v>
      </c>
      <c r="AX12">
        <v>7.3</v>
      </c>
      <c r="AY12">
        <v>5.6</v>
      </c>
      <c r="AZ12" s="8">
        <v>9.35</v>
      </c>
      <c r="BA12" s="8">
        <v>0.30245440944563501</v>
      </c>
      <c r="BB12" s="3">
        <v>0</v>
      </c>
    </row>
    <row r="13" spans="1:67" x14ac:dyDescent="0.25">
      <c r="A13" t="s">
        <v>67</v>
      </c>
      <c r="B13" s="2">
        <v>42492492</v>
      </c>
      <c r="C13" t="s">
        <v>28</v>
      </c>
      <c r="D13">
        <v>28</v>
      </c>
      <c r="E13" t="s">
        <v>68</v>
      </c>
      <c r="F13">
        <v>63</v>
      </c>
      <c r="G13">
        <v>63</v>
      </c>
      <c r="H13">
        <v>32.1</v>
      </c>
      <c r="I13">
        <v>11.2</v>
      </c>
      <c r="J13">
        <v>20.3</v>
      </c>
      <c r="K13">
        <v>0.55300000000000005</v>
      </c>
      <c r="L13">
        <v>0.7</v>
      </c>
      <c r="M13">
        <v>2.7</v>
      </c>
      <c r="N13">
        <v>0.27500000000000002</v>
      </c>
      <c r="O13">
        <v>10.5</v>
      </c>
      <c r="P13">
        <v>17.600000000000001</v>
      </c>
      <c r="Q13">
        <v>0.59599999999999997</v>
      </c>
      <c r="R13">
        <v>0.57199999999999995</v>
      </c>
      <c r="S13">
        <v>7.9</v>
      </c>
      <c r="T13">
        <v>12.3</v>
      </c>
      <c r="U13">
        <v>0.64500000000000002</v>
      </c>
      <c r="V13">
        <v>2.2000000000000002</v>
      </c>
      <c r="W13">
        <v>9.6</v>
      </c>
      <c r="X13">
        <v>11.8</v>
      </c>
      <c r="Y13">
        <v>5.7</v>
      </c>
      <c r="Z13">
        <v>0.8</v>
      </c>
      <c r="AA13">
        <v>0.8</v>
      </c>
      <c r="AB13">
        <v>3.9</v>
      </c>
      <c r="AC13">
        <v>3.1</v>
      </c>
      <c r="AD13">
        <v>31.1</v>
      </c>
      <c r="AE13">
        <v>2024</v>
      </c>
      <c r="AF13">
        <v>29</v>
      </c>
      <c r="AG13">
        <v>0.60499999999999998</v>
      </c>
      <c r="AH13">
        <v>0.13400000000000001</v>
      </c>
      <c r="AI13">
        <v>0.60399999999999998</v>
      </c>
      <c r="AJ13">
        <v>7.3</v>
      </c>
      <c r="AK13">
        <v>30</v>
      </c>
      <c r="AL13">
        <v>19.100000000000001</v>
      </c>
      <c r="AM13">
        <v>33.200000000000003</v>
      </c>
      <c r="AN13">
        <v>1.2</v>
      </c>
      <c r="AO13">
        <v>2.1</v>
      </c>
      <c r="AP13">
        <v>13.2</v>
      </c>
      <c r="AQ13">
        <v>38.799999999999997</v>
      </c>
      <c r="AR13">
        <v>4.9000000000000004</v>
      </c>
      <c r="AS13">
        <v>3.7</v>
      </c>
      <c r="AT13">
        <v>8.6</v>
      </c>
      <c r="AU13">
        <v>0.20399999999999999</v>
      </c>
      <c r="AV13">
        <v>5.8</v>
      </c>
      <c r="AW13">
        <v>2.7</v>
      </c>
      <c r="AX13">
        <v>8.5</v>
      </c>
      <c r="AY13">
        <v>5.4</v>
      </c>
      <c r="AZ13" s="8">
        <v>8.5500000000000007</v>
      </c>
      <c r="BA13" s="8">
        <v>0.20121201646634421</v>
      </c>
      <c r="BB13" s="3">
        <v>0</v>
      </c>
    </row>
    <row r="14" spans="1:67" x14ac:dyDescent="0.25">
      <c r="A14" t="s">
        <v>69</v>
      </c>
      <c r="B14" s="2">
        <v>42492492</v>
      </c>
      <c r="C14" t="s">
        <v>52</v>
      </c>
      <c r="D14">
        <v>32</v>
      </c>
      <c r="E14" t="s">
        <v>70</v>
      </c>
      <c r="F14">
        <v>58</v>
      </c>
      <c r="G14">
        <v>58</v>
      </c>
      <c r="H14">
        <v>36.299999999999997</v>
      </c>
      <c r="I14">
        <v>9.6</v>
      </c>
      <c r="J14">
        <v>20.7</v>
      </c>
      <c r="K14">
        <v>0.46300000000000002</v>
      </c>
      <c r="L14">
        <v>4.2</v>
      </c>
      <c r="M14">
        <v>11.3</v>
      </c>
      <c r="N14">
        <v>0.371</v>
      </c>
      <c r="O14">
        <v>5.4</v>
      </c>
      <c r="P14">
        <v>9.4</v>
      </c>
      <c r="Q14">
        <v>0.57399999999999995</v>
      </c>
      <c r="R14">
        <v>0.56399999999999995</v>
      </c>
      <c r="S14">
        <v>8.8000000000000007</v>
      </c>
      <c r="T14">
        <v>9.6</v>
      </c>
      <c r="U14">
        <v>0.91400000000000003</v>
      </c>
      <c r="V14">
        <v>0.8</v>
      </c>
      <c r="W14">
        <v>4</v>
      </c>
      <c r="X14">
        <v>4.8</v>
      </c>
      <c r="Y14">
        <v>7.3</v>
      </c>
      <c r="Z14">
        <v>0.9</v>
      </c>
      <c r="AA14">
        <v>0.3</v>
      </c>
      <c r="AB14">
        <v>3.3</v>
      </c>
      <c r="AC14">
        <v>1.9</v>
      </c>
      <c r="AD14">
        <v>32.200000000000003</v>
      </c>
      <c r="AE14">
        <v>2107</v>
      </c>
      <c r="AF14">
        <v>26.7</v>
      </c>
      <c r="AG14">
        <v>0.64500000000000002</v>
      </c>
      <c r="AH14">
        <v>0.54700000000000004</v>
      </c>
      <c r="AI14">
        <v>0.46400000000000002</v>
      </c>
      <c r="AJ14">
        <v>2.4</v>
      </c>
      <c r="AK14">
        <v>12.8</v>
      </c>
      <c r="AL14">
        <v>7.6</v>
      </c>
      <c r="AM14">
        <v>35</v>
      </c>
      <c r="AN14">
        <v>1.2</v>
      </c>
      <c r="AO14">
        <v>0.8</v>
      </c>
      <c r="AP14">
        <v>11.7</v>
      </c>
      <c r="AQ14">
        <v>33.799999999999997</v>
      </c>
      <c r="AR14">
        <v>8.1999999999999993</v>
      </c>
      <c r="AS14">
        <v>0.8</v>
      </c>
      <c r="AT14">
        <v>9</v>
      </c>
      <c r="AU14">
        <v>0.20499999999999999</v>
      </c>
      <c r="AV14">
        <v>8.3000000000000007</v>
      </c>
      <c r="AW14">
        <v>-1.2</v>
      </c>
      <c r="AX14">
        <v>7.1</v>
      </c>
      <c r="AY14">
        <v>4.9000000000000004</v>
      </c>
      <c r="AZ14" s="8">
        <v>8.0500000000000007</v>
      </c>
      <c r="BA14" s="8">
        <v>0.18944523187766915</v>
      </c>
      <c r="BB14" s="3">
        <v>0</v>
      </c>
    </row>
    <row r="15" spans="1:67" x14ac:dyDescent="0.25">
      <c r="A15" t="s">
        <v>112</v>
      </c>
      <c r="B15" s="2">
        <v>30351780</v>
      </c>
      <c r="C15" t="s">
        <v>65</v>
      </c>
      <c r="D15">
        <v>24</v>
      </c>
      <c r="E15" t="s">
        <v>113</v>
      </c>
      <c r="F15">
        <v>74</v>
      </c>
      <c r="G15">
        <v>74</v>
      </c>
      <c r="H15">
        <v>36.9</v>
      </c>
      <c r="I15">
        <v>9.8000000000000007</v>
      </c>
      <c r="J15">
        <v>21.1</v>
      </c>
      <c r="K15">
        <v>0.46600000000000003</v>
      </c>
      <c r="L15">
        <v>3.2</v>
      </c>
      <c r="M15">
        <v>9.3000000000000007</v>
      </c>
      <c r="N15">
        <v>0.35</v>
      </c>
      <c r="O15">
        <v>6.6</v>
      </c>
      <c r="P15">
        <v>11.8</v>
      </c>
      <c r="Q15">
        <v>0.55800000000000005</v>
      </c>
      <c r="R15">
        <v>0.54300000000000004</v>
      </c>
      <c r="S15">
        <v>7.2</v>
      </c>
      <c r="T15">
        <v>8.4</v>
      </c>
      <c r="U15">
        <v>0.85399999999999998</v>
      </c>
      <c r="V15">
        <v>1.1000000000000001</v>
      </c>
      <c r="W15">
        <v>7.7</v>
      </c>
      <c r="X15">
        <v>8.8000000000000007</v>
      </c>
      <c r="Y15">
        <v>4.5999999999999996</v>
      </c>
      <c r="Z15">
        <v>1.1000000000000001</v>
      </c>
      <c r="AA15">
        <v>0.7</v>
      </c>
      <c r="AB15">
        <v>2.9</v>
      </c>
      <c r="AC15">
        <v>2.2000000000000002</v>
      </c>
      <c r="AD15">
        <v>30.1</v>
      </c>
      <c r="AE15">
        <v>2732</v>
      </c>
      <c r="AF15">
        <v>23.7</v>
      </c>
      <c r="AG15">
        <v>0.60699999999999998</v>
      </c>
      <c r="AH15">
        <v>0.44</v>
      </c>
      <c r="AI15">
        <v>0.39900000000000002</v>
      </c>
      <c r="AJ15">
        <v>3.2</v>
      </c>
      <c r="AK15">
        <v>22.5</v>
      </c>
      <c r="AL15">
        <v>13</v>
      </c>
      <c r="AM15">
        <v>20.9</v>
      </c>
      <c r="AN15">
        <v>1.4</v>
      </c>
      <c r="AO15">
        <v>1.6</v>
      </c>
      <c r="AP15">
        <v>10.4</v>
      </c>
      <c r="AQ15">
        <v>32.700000000000003</v>
      </c>
      <c r="AR15">
        <v>6.2</v>
      </c>
      <c r="AS15">
        <v>4.3</v>
      </c>
      <c r="AT15">
        <v>10.5</v>
      </c>
      <c r="AU15">
        <v>0.185</v>
      </c>
      <c r="AV15">
        <v>4.8</v>
      </c>
      <c r="AW15">
        <v>0.7</v>
      </c>
      <c r="AX15">
        <v>5.5</v>
      </c>
      <c r="AY15">
        <v>5.0999999999999996</v>
      </c>
      <c r="AZ15" s="8">
        <v>8</v>
      </c>
      <c r="BA15" s="8">
        <v>0.26357597478632228</v>
      </c>
      <c r="BB15" s="3">
        <v>0</v>
      </c>
    </row>
    <row r="16" spans="1:67" x14ac:dyDescent="0.25">
      <c r="A16" t="s">
        <v>51</v>
      </c>
      <c r="B16" s="2">
        <v>48070014</v>
      </c>
      <c r="C16" t="s">
        <v>52</v>
      </c>
      <c r="D16">
        <v>34</v>
      </c>
      <c r="E16" t="s">
        <v>53</v>
      </c>
      <c r="F16">
        <v>56</v>
      </c>
      <c r="G16">
        <v>56</v>
      </c>
      <c r="H16">
        <v>34.700000000000003</v>
      </c>
      <c r="I16">
        <v>10</v>
      </c>
      <c r="J16">
        <v>20.2</v>
      </c>
      <c r="K16">
        <v>0.49299999999999999</v>
      </c>
      <c r="L16">
        <v>4.9000000000000004</v>
      </c>
      <c r="M16">
        <v>11.4</v>
      </c>
      <c r="N16">
        <v>0.42699999999999999</v>
      </c>
      <c r="O16">
        <v>5.0999999999999996</v>
      </c>
      <c r="P16">
        <v>8.8000000000000007</v>
      </c>
      <c r="Q16">
        <v>0.57899999999999996</v>
      </c>
      <c r="R16">
        <v>0.61399999999999999</v>
      </c>
      <c r="S16">
        <v>4.5999999999999996</v>
      </c>
      <c r="T16">
        <v>5</v>
      </c>
      <c r="U16">
        <v>0.91500000000000004</v>
      </c>
      <c r="V16">
        <v>0.7</v>
      </c>
      <c r="W16">
        <v>5.4</v>
      </c>
      <c r="X16">
        <v>6.1</v>
      </c>
      <c r="Y16">
        <v>6.3</v>
      </c>
      <c r="Z16">
        <v>0.9</v>
      </c>
      <c r="AA16">
        <v>0.4</v>
      </c>
      <c r="AB16">
        <v>3.2</v>
      </c>
      <c r="AC16">
        <v>2.1</v>
      </c>
      <c r="AD16">
        <v>29.4</v>
      </c>
      <c r="AE16">
        <v>1941</v>
      </c>
      <c r="AF16">
        <v>24.1</v>
      </c>
      <c r="AG16">
        <v>0.65600000000000003</v>
      </c>
      <c r="AH16">
        <v>0.56399999999999995</v>
      </c>
      <c r="AI16">
        <v>0.248</v>
      </c>
      <c r="AJ16">
        <v>2.2999999999999998</v>
      </c>
      <c r="AK16">
        <v>16.8</v>
      </c>
      <c r="AL16">
        <v>9.6999999999999993</v>
      </c>
      <c r="AM16">
        <v>30</v>
      </c>
      <c r="AN16">
        <v>1.3</v>
      </c>
      <c r="AO16">
        <v>0.9</v>
      </c>
      <c r="AP16">
        <v>12.5</v>
      </c>
      <c r="AQ16">
        <v>31</v>
      </c>
      <c r="AR16">
        <v>5.8</v>
      </c>
      <c r="AS16">
        <v>2</v>
      </c>
      <c r="AT16">
        <v>7.8</v>
      </c>
      <c r="AU16">
        <v>0.192</v>
      </c>
      <c r="AV16">
        <v>7.5</v>
      </c>
      <c r="AW16">
        <v>0.1</v>
      </c>
      <c r="AX16">
        <v>7.5</v>
      </c>
      <c r="AY16">
        <v>4.7</v>
      </c>
      <c r="AZ16" s="8">
        <v>7.65</v>
      </c>
      <c r="BA16" s="8">
        <v>0.15914287023090945</v>
      </c>
      <c r="BB16" s="3">
        <v>0</v>
      </c>
    </row>
    <row r="17" spans="1:54" x14ac:dyDescent="0.25">
      <c r="A17" t="s">
        <v>78</v>
      </c>
      <c r="B17" s="2">
        <v>37980720</v>
      </c>
      <c r="C17" t="s">
        <v>75</v>
      </c>
      <c r="D17">
        <v>29</v>
      </c>
      <c r="E17" t="s">
        <v>58</v>
      </c>
      <c r="F17">
        <v>56</v>
      </c>
      <c r="G17">
        <v>54</v>
      </c>
      <c r="H17">
        <v>34</v>
      </c>
      <c r="I17">
        <v>9.6999999999999993</v>
      </c>
      <c r="J17">
        <v>17.2</v>
      </c>
      <c r="K17">
        <v>0.56299999999999994</v>
      </c>
      <c r="L17">
        <v>0.3</v>
      </c>
      <c r="M17">
        <v>1.3</v>
      </c>
      <c r="N17">
        <v>0.25700000000000001</v>
      </c>
      <c r="O17">
        <v>9.3000000000000007</v>
      </c>
      <c r="P17">
        <v>15.9</v>
      </c>
      <c r="Q17">
        <v>0.58899999999999997</v>
      </c>
      <c r="R17">
        <v>0.57299999999999995</v>
      </c>
      <c r="S17">
        <v>6.2</v>
      </c>
      <c r="T17">
        <v>7.9</v>
      </c>
      <c r="U17">
        <v>0.78400000000000003</v>
      </c>
      <c r="V17">
        <v>3.5</v>
      </c>
      <c r="W17">
        <v>9.1</v>
      </c>
      <c r="X17">
        <v>12.5</v>
      </c>
      <c r="Y17">
        <v>2.6</v>
      </c>
      <c r="Z17">
        <v>1.1000000000000001</v>
      </c>
      <c r="AA17">
        <v>2</v>
      </c>
      <c r="AB17">
        <v>2.2000000000000002</v>
      </c>
      <c r="AC17">
        <v>2.6</v>
      </c>
      <c r="AD17">
        <v>25.9</v>
      </c>
      <c r="AE17">
        <v>1904</v>
      </c>
      <c r="AF17">
        <v>27.8</v>
      </c>
      <c r="AG17">
        <v>0.627</v>
      </c>
      <c r="AH17">
        <v>7.6999999999999999E-2</v>
      </c>
      <c r="AI17">
        <v>0.46200000000000002</v>
      </c>
      <c r="AJ17">
        <v>11.3</v>
      </c>
      <c r="AK17">
        <v>27.6</v>
      </c>
      <c r="AL17">
        <v>19.7</v>
      </c>
      <c r="AM17">
        <v>13</v>
      </c>
      <c r="AN17">
        <v>1.5</v>
      </c>
      <c r="AO17">
        <v>5.0999999999999996</v>
      </c>
      <c r="AP17">
        <v>9.5</v>
      </c>
      <c r="AQ17">
        <v>28.4</v>
      </c>
      <c r="AR17">
        <v>5.5</v>
      </c>
      <c r="AS17">
        <v>3.4</v>
      </c>
      <c r="AT17">
        <v>9</v>
      </c>
      <c r="AU17">
        <v>0.22600000000000001</v>
      </c>
      <c r="AV17">
        <v>4.5999999999999996</v>
      </c>
      <c r="AW17">
        <v>1.7</v>
      </c>
      <c r="AX17">
        <v>6.3</v>
      </c>
      <c r="AY17">
        <v>4</v>
      </c>
      <c r="AZ17" s="8">
        <v>7.65</v>
      </c>
      <c r="BA17" s="8">
        <v>0.20141798259748631</v>
      </c>
      <c r="BB17" s="3">
        <v>0</v>
      </c>
    </row>
    <row r="18" spans="1:54" x14ac:dyDescent="0.25">
      <c r="A18" t="s">
        <v>106</v>
      </c>
      <c r="B18" s="2">
        <v>30913750</v>
      </c>
      <c r="C18" t="s">
        <v>62</v>
      </c>
      <c r="D18">
        <v>26</v>
      </c>
      <c r="E18" t="s">
        <v>107</v>
      </c>
      <c r="F18">
        <v>68</v>
      </c>
      <c r="G18">
        <v>68</v>
      </c>
      <c r="H18">
        <v>35.799999999999997</v>
      </c>
      <c r="I18">
        <v>10</v>
      </c>
      <c r="J18">
        <v>20.6</v>
      </c>
      <c r="K18">
        <v>0.48399999999999999</v>
      </c>
      <c r="L18">
        <v>3.6</v>
      </c>
      <c r="M18">
        <v>9.3000000000000007</v>
      </c>
      <c r="N18">
        <v>0.38600000000000001</v>
      </c>
      <c r="O18">
        <v>6.4</v>
      </c>
      <c r="P18">
        <v>11.3</v>
      </c>
      <c r="Q18">
        <v>0.56599999999999995</v>
      </c>
      <c r="R18">
        <v>0.57199999999999995</v>
      </c>
      <c r="S18">
        <v>4.7</v>
      </c>
      <c r="T18">
        <v>5.4</v>
      </c>
      <c r="U18">
        <v>0.86699999999999999</v>
      </c>
      <c r="V18">
        <v>0.9</v>
      </c>
      <c r="W18">
        <v>3.3</v>
      </c>
      <c r="X18">
        <v>4.3</v>
      </c>
      <c r="Y18">
        <v>4.4000000000000004</v>
      </c>
      <c r="Z18">
        <v>1.5</v>
      </c>
      <c r="AA18">
        <v>0.4</v>
      </c>
      <c r="AB18">
        <v>2.6</v>
      </c>
      <c r="AC18">
        <v>2.5</v>
      </c>
      <c r="AD18">
        <v>28.3</v>
      </c>
      <c r="AE18">
        <v>2432</v>
      </c>
      <c r="AF18">
        <v>22.9</v>
      </c>
      <c r="AG18">
        <v>0.61399999999999999</v>
      </c>
      <c r="AH18">
        <v>0.45300000000000001</v>
      </c>
      <c r="AI18">
        <v>0.26200000000000001</v>
      </c>
      <c r="AJ18">
        <v>3.1</v>
      </c>
      <c r="AK18">
        <v>10.9</v>
      </c>
      <c r="AL18">
        <v>7</v>
      </c>
      <c r="AM18">
        <v>21.4</v>
      </c>
      <c r="AN18">
        <v>2</v>
      </c>
      <c r="AO18">
        <v>1</v>
      </c>
      <c r="AP18">
        <v>10.3</v>
      </c>
      <c r="AQ18">
        <v>32.1</v>
      </c>
      <c r="AR18">
        <v>5.4</v>
      </c>
      <c r="AS18">
        <v>3.5</v>
      </c>
      <c r="AT18">
        <v>8.9</v>
      </c>
      <c r="AU18">
        <v>0.17599999999999999</v>
      </c>
      <c r="AV18">
        <v>5.6</v>
      </c>
      <c r="AW18">
        <v>0.6</v>
      </c>
      <c r="AX18">
        <v>6.3</v>
      </c>
      <c r="AY18">
        <v>5</v>
      </c>
      <c r="AZ18" s="8">
        <v>7.6</v>
      </c>
      <c r="BA18" s="8">
        <v>0.24584529537827018</v>
      </c>
      <c r="BB18" s="3">
        <v>0</v>
      </c>
    </row>
    <row r="19" spans="1:54" x14ac:dyDescent="0.25">
      <c r="A19" t="s">
        <v>301</v>
      </c>
      <c r="B19" s="2">
        <v>4215120</v>
      </c>
      <c r="C19" t="s">
        <v>52</v>
      </c>
      <c r="D19">
        <v>22</v>
      </c>
      <c r="E19" t="s">
        <v>93</v>
      </c>
      <c r="F19">
        <v>56</v>
      </c>
      <c r="G19">
        <v>56</v>
      </c>
      <c r="H19">
        <v>33.6</v>
      </c>
      <c r="I19">
        <v>7.4</v>
      </c>
      <c r="J19">
        <v>15</v>
      </c>
      <c r="K19">
        <v>0.49</v>
      </c>
      <c r="L19">
        <v>2.9</v>
      </c>
      <c r="M19">
        <v>7.2</v>
      </c>
      <c r="N19">
        <v>0.4</v>
      </c>
      <c r="O19">
        <v>4.5</v>
      </c>
      <c r="P19">
        <v>7.8</v>
      </c>
      <c r="Q19">
        <v>0.57199999999999995</v>
      </c>
      <c r="R19">
        <v>0.58599999999999997</v>
      </c>
      <c r="S19">
        <v>3.1</v>
      </c>
      <c r="T19">
        <v>3.6</v>
      </c>
      <c r="U19">
        <v>0.871</v>
      </c>
      <c r="V19">
        <v>0.6</v>
      </c>
      <c r="W19">
        <v>3.1</v>
      </c>
      <c r="X19">
        <v>3.7</v>
      </c>
      <c r="Y19">
        <v>10.4</v>
      </c>
      <c r="Z19">
        <v>1.6</v>
      </c>
      <c r="AA19">
        <v>0.4</v>
      </c>
      <c r="AB19">
        <v>2.5</v>
      </c>
      <c r="AC19">
        <v>1.2</v>
      </c>
      <c r="AD19">
        <v>20.7</v>
      </c>
      <c r="AE19">
        <v>1883</v>
      </c>
      <c r="AF19">
        <v>23.6</v>
      </c>
      <c r="AG19">
        <v>0.624</v>
      </c>
      <c r="AH19">
        <v>0.47799999999999998</v>
      </c>
      <c r="AI19">
        <v>0.23899999999999999</v>
      </c>
      <c r="AJ19">
        <v>1.9</v>
      </c>
      <c r="AK19">
        <v>10.1</v>
      </c>
      <c r="AL19">
        <v>6</v>
      </c>
      <c r="AM19">
        <v>47.6</v>
      </c>
      <c r="AN19">
        <v>2.2999999999999998</v>
      </c>
      <c r="AO19">
        <v>1.1000000000000001</v>
      </c>
      <c r="AP19">
        <v>13.2</v>
      </c>
      <c r="AQ19">
        <v>23.8</v>
      </c>
      <c r="AR19">
        <v>6.4</v>
      </c>
      <c r="AS19">
        <v>1.2</v>
      </c>
      <c r="AT19">
        <v>7.6</v>
      </c>
      <c r="AU19">
        <v>0.19500000000000001</v>
      </c>
      <c r="AV19">
        <v>7</v>
      </c>
      <c r="AW19">
        <v>0.2</v>
      </c>
      <c r="AX19">
        <v>7.2</v>
      </c>
      <c r="AY19">
        <v>4.4000000000000004</v>
      </c>
      <c r="AZ19" s="8">
        <v>7.4</v>
      </c>
      <c r="BA19" s="8">
        <v>1.7555846571390612</v>
      </c>
      <c r="BB19" s="3">
        <v>0</v>
      </c>
    </row>
    <row r="20" spans="1:54" x14ac:dyDescent="0.25">
      <c r="A20" t="s">
        <v>59</v>
      </c>
      <c r="B20" s="2">
        <v>44119845</v>
      </c>
      <c r="C20" t="s">
        <v>28</v>
      </c>
      <c r="D20">
        <v>34</v>
      </c>
      <c r="E20" t="s">
        <v>60</v>
      </c>
      <c r="F20">
        <v>47</v>
      </c>
      <c r="G20">
        <v>47</v>
      </c>
      <c r="H20">
        <v>35.6</v>
      </c>
      <c r="I20">
        <v>10.3</v>
      </c>
      <c r="J20">
        <v>18.3</v>
      </c>
      <c r="K20">
        <v>0.56000000000000005</v>
      </c>
      <c r="L20">
        <v>2</v>
      </c>
      <c r="M20">
        <v>4.9000000000000004</v>
      </c>
      <c r="N20">
        <v>0.40400000000000003</v>
      </c>
      <c r="O20">
        <v>8.3000000000000007</v>
      </c>
      <c r="P20">
        <v>13.4</v>
      </c>
      <c r="Q20">
        <v>0.61699999999999999</v>
      </c>
      <c r="R20">
        <v>0.61399999999999999</v>
      </c>
      <c r="S20">
        <v>6.5</v>
      </c>
      <c r="T20">
        <v>7.1</v>
      </c>
      <c r="U20">
        <v>0.91900000000000004</v>
      </c>
      <c r="V20">
        <v>0.4</v>
      </c>
      <c r="W20">
        <v>6.3</v>
      </c>
      <c r="X20">
        <v>6.7</v>
      </c>
      <c r="Y20">
        <v>5</v>
      </c>
      <c r="Z20">
        <v>0.7</v>
      </c>
      <c r="AA20">
        <v>1.4</v>
      </c>
      <c r="AB20">
        <v>3.3</v>
      </c>
      <c r="AC20">
        <v>2.1</v>
      </c>
      <c r="AD20">
        <v>29.1</v>
      </c>
      <c r="AE20">
        <v>1672</v>
      </c>
      <c r="AF20">
        <v>25.9</v>
      </c>
      <c r="AG20">
        <v>0.67700000000000005</v>
      </c>
      <c r="AH20">
        <v>0.26700000000000002</v>
      </c>
      <c r="AI20">
        <v>0.38700000000000001</v>
      </c>
      <c r="AJ20">
        <v>1.2</v>
      </c>
      <c r="AK20">
        <v>19.5</v>
      </c>
      <c r="AL20">
        <v>10.5</v>
      </c>
      <c r="AM20">
        <v>24.5</v>
      </c>
      <c r="AN20">
        <v>1</v>
      </c>
      <c r="AO20">
        <v>3.4</v>
      </c>
      <c r="AP20">
        <v>13.4</v>
      </c>
      <c r="AQ20">
        <v>30.7</v>
      </c>
      <c r="AR20">
        <v>4.7</v>
      </c>
      <c r="AS20">
        <v>2.1</v>
      </c>
      <c r="AT20">
        <v>6.8</v>
      </c>
      <c r="AU20">
        <v>0.19400000000000001</v>
      </c>
      <c r="AV20">
        <v>6</v>
      </c>
      <c r="AW20">
        <v>1.2</v>
      </c>
      <c r="AX20">
        <v>7.1</v>
      </c>
      <c r="AY20">
        <v>3.9</v>
      </c>
      <c r="AZ20" s="8">
        <v>6.9499999999999993</v>
      </c>
      <c r="BA20" s="8">
        <v>0.15752548541365</v>
      </c>
      <c r="BB20" s="3">
        <v>0</v>
      </c>
    </row>
    <row r="21" spans="1:54" x14ac:dyDescent="0.25">
      <c r="A21" t="s">
        <v>101</v>
      </c>
      <c r="B21" s="2">
        <v>33000000</v>
      </c>
      <c r="C21" t="s">
        <v>52</v>
      </c>
      <c r="D21">
        <v>33</v>
      </c>
      <c r="E21" t="s">
        <v>82</v>
      </c>
      <c r="F21">
        <v>58</v>
      </c>
      <c r="G21">
        <v>58</v>
      </c>
      <c r="H21">
        <v>36.799999999999997</v>
      </c>
      <c r="I21">
        <v>6.4</v>
      </c>
      <c r="J21">
        <v>14.5</v>
      </c>
      <c r="K21">
        <v>0.441</v>
      </c>
      <c r="L21">
        <v>2.8</v>
      </c>
      <c r="M21">
        <v>7.2</v>
      </c>
      <c r="N21">
        <v>0.38500000000000001</v>
      </c>
      <c r="O21">
        <v>3.6</v>
      </c>
      <c r="P21">
        <v>7.3</v>
      </c>
      <c r="Q21">
        <v>0.495</v>
      </c>
      <c r="R21">
        <v>0.53600000000000003</v>
      </c>
      <c r="S21">
        <v>5.4</v>
      </c>
      <c r="T21">
        <v>6.2</v>
      </c>
      <c r="U21">
        <v>0.86699999999999999</v>
      </c>
      <c r="V21">
        <v>0.7</v>
      </c>
      <c r="W21">
        <v>5.4</v>
      </c>
      <c r="X21">
        <v>6.1</v>
      </c>
      <c r="Y21">
        <v>10.7</v>
      </c>
      <c r="Z21">
        <v>1.2</v>
      </c>
      <c r="AA21">
        <v>0.5</v>
      </c>
      <c r="AB21">
        <v>3.4</v>
      </c>
      <c r="AC21">
        <v>1.9</v>
      </c>
      <c r="AD21">
        <v>21</v>
      </c>
      <c r="AE21">
        <v>2135</v>
      </c>
      <c r="AF21">
        <v>21.6</v>
      </c>
      <c r="AG21">
        <v>0.60699999999999998</v>
      </c>
      <c r="AH21">
        <v>0.496</v>
      </c>
      <c r="AI21">
        <v>0.42899999999999999</v>
      </c>
      <c r="AJ21">
        <v>2.2999999999999998</v>
      </c>
      <c r="AK21">
        <v>17.100000000000001</v>
      </c>
      <c r="AL21">
        <v>9.8000000000000007</v>
      </c>
      <c r="AM21">
        <v>43.3</v>
      </c>
      <c r="AN21">
        <v>1.6</v>
      </c>
      <c r="AO21">
        <v>1.4</v>
      </c>
      <c r="AP21">
        <v>16.3</v>
      </c>
      <c r="AQ21">
        <v>25</v>
      </c>
      <c r="AR21">
        <v>5.8</v>
      </c>
      <c r="AS21">
        <v>2.6</v>
      </c>
      <c r="AT21">
        <v>8.4</v>
      </c>
      <c r="AU21">
        <v>0.188</v>
      </c>
      <c r="AV21">
        <v>5.0999999999999996</v>
      </c>
      <c r="AW21">
        <v>0.3</v>
      </c>
      <c r="AX21">
        <v>5.4</v>
      </c>
      <c r="AY21">
        <v>4</v>
      </c>
      <c r="AZ21" s="8">
        <v>6.9</v>
      </c>
      <c r="BA21" s="8">
        <v>0.20909090909090908</v>
      </c>
      <c r="BB21" s="3">
        <v>0</v>
      </c>
    </row>
    <row r="22" spans="1:54" x14ac:dyDescent="0.25">
      <c r="A22" t="s">
        <v>64</v>
      </c>
      <c r="B22" s="2">
        <v>42492492</v>
      </c>
      <c r="C22" t="s">
        <v>65</v>
      </c>
      <c r="D22">
        <v>31</v>
      </c>
      <c r="E22" t="s">
        <v>55</v>
      </c>
      <c r="F22">
        <v>52</v>
      </c>
      <c r="G22">
        <v>50</v>
      </c>
      <c r="H22">
        <v>33.6</v>
      </c>
      <c r="I22">
        <v>8.6</v>
      </c>
      <c r="J22">
        <v>16.8</v>
      </c>
      <c r="K22">
        <v>0.51200000000000001</v>
      </c>
      <c r="L22">
        <v>2</v>
      </c>
      <c r="M22">
        <v>4.8</v>
      </c>
      <c r="N22">
        <v>0.41599999999999998</v>
      </c>
      <c r="O22">
        <v>6.6</v>
      </c>
      <c r="P22">
        <v>11.9</v>
      </c>
      <c r="Q22">
        <v>0.55100000000000005</v>
      </c>
      <c r="R22">
        <v>0.57199999999999995</v>
      </c>
      <c r="S22">
        <v>4.7</v>
      </c>
      <c r="T22">
        <v>5.4</v>
      </c>
      <c r="U22">
        <v>0.871</v>
      </c>
      <c r="V22">
        <v>1.1000000000000001</v>
      </c>
      <c r="W22">
        <v>5.4</v>
      </c>
      <c r="X22">
        <v>6.5</v>
      </c>
      <c r="Y22">
        <v>3.9</v>
      </c>
      <c r="Z22">
        <v>1.4</v>
      </c>
      <c r="AA22">
        <v>0.5</v>
      </c>
      <c r="AB22">
        <v>1.7</v>
      </c>
      <c r="AC22">
        <v>1.6</v>
      </c>
      <c r="AD22">
        <v>23.8</v>
      </c>
      <c r="AE22">
        <v>1748</v>
      </c>
      <c r="AF22">
        <v>23.9</v>
      </c>
      <c r="AG22">
        <v>0.623</v>
      </c>
      <c r="AH22">
        <v>0.28699999999999998</v>
      </c>
      <c r="AI22">
        <v>0.32</v>
      </c>
      <c r="AJ22">
        <v>3.7</v>
      </c>
      <c r="AK22">
        <v>17.8</v>
      </c>
      <c r="AL22">
        <v>10.8</v>
      </c>
      <c r="AM22">
        <v>19.600000000000001</v>
      </c>
      <c r="AN22">
        <v>2</v>
      </c>
      <c r="AO22">
        <v>1.4</v>
      </c>
      <c r="AP22">
        <v>8.1</v>
      </c>
      <c r="AQ22">
        <v>27</v>
      </c>
      <c r="AR22">
        <v>4.9000000000000004</v>
      </c>
      <c r="AS22">
        <v>2.2000000000000002</v>
      </c>
      <c r="AT22">
        <v>7.1</v>
      </c>
      <c r="AU22">
        <v>0.19400000000000001</v>
      </c>
      <c r="AV22">
        <v>5.0999999999999996</v>
      </c>
      <c r="AW22">
        <v>0.9</v>
      </c>
      <c r="AX22">
        <v>6.1</v>
      </c>
      <c r="AY22">
        <v>3.5</v>
      </c>
      <c r="AZ22" s="8">
        <v>6.6</v>
      </c>
      <c r="BA22" s="8">
        <v>0.15532155657051133</v>
      </c>
      <c r="BB22" s="3">
        <v>0</v>
      </c>
    </row>
    <row r="23" spans="1:54" x14ac:dyDescent="0.25">
      <c r="A23" t="s">
        <v>122</v>
      </c>
      <c r="B23" s="2">
        <v>27733332</v>
      </c>
      <c r="C23" t="s">
        <v>52</v>
      </c>
      <c r="D23">
        <v>26</v>
      </c>
      <c r="E23" t="s">
        <v>123</v>
      </c>
      <c r="F23">
        <v>68</v>
      </c>
      <c r="G23">
        <v>68</v>
      </c>
      <c r="H23">
        <v>35</v>
      </c>
      <c r="I23">
        <v>8.6</v>
      </c>
      <c r="J23">
        <v>17.600000000000001</v>
      </c>
      <c r="K23">
        <v>0.49099999999999999</v>
      </c>
      <c r="L23">
        <v>2</v>
      </c>
      <c r="M23">
        <v>4.7</v>
      </c>
      <c r="N23">
        <v>0.41599999999999998</v>
      </c>
      <c r="O23">
        <v>6.7</v>
      </c>
      <c r="P23">
        <v>12.8</v>
      </c>
      <c r="Q23">
        <v>0.51900000000000002</v>
      </c>
      <c r="R23">
        <v>0.54700000000000004</v>
      </c>
      <c r="S23">
        <v>4.8</v>
      </c>
      <c r="T23">
        <v>5.8</v>
      </c>
      <c r="U23">
        <v>0.82899999999999996</v>
      </c>
      <c r="V23">
        <v>0.6</v>
      </c>
      <c r="W23">
        <v>3</v>
      </c>
      <c r="X23">
        <v>3.5</v>
      </c>
      <c r="Y23">
        <v>6.2</v>
      </c>
      <c r="Z23">
        <v>0.9</v>
      </c>
      <c r="AA23">
        <v>0.2</v>
      </c>
      <c r="AB23">
        <v>2.1</v>
      </c>
      <c r="AC23">
        <v>2.2000000000000002</v>
      </c>
      <c r="AD23">
        <v>24</v>
      </c>
      <c r="AE23">
        <v>2379</v>
      </c>
      <c r="AF23">
        <v>21.2</v>
      </c>
      <c r="AG23">
        <v>0.59699999999999998</v>
      </c>
      <c r="AH23">
        <v>0.26900000000000002</v>
      </c>
      <c r="AI23">
        <v>0.32800000000000001</v>
      </c>
      <c r="AJ23">
        <v>1.8</v>
      </c>
      <c r="AK23">
        <v>9.3000000000000007</v>
      </c>
      <c r="AL23">
        <v>5.6</v>
      </c>
      <c r="AM23">
        <v>28.7</v>
      </c>
      <c r="AN23">
        <v>1.3</v>
      </c>
      <c r="AO23">
        <v>0.6</v>
      </c>
      <c r="AP23">
        <v>9.4</v>
      </c>
      <c r="AQ23">
        <v>27.2</v>
      </c>
      <c r="AR23">
        <v>6.9</v>
      </c>
      <c r="AS23">
        <v>1.8</v>
      </c>
      <c r="AT23">
        <v>8.6999999999999993</v>
      </c>
      <c r="AU23">
        <v>0.17499999999999999</v>
      </c>
      <c r="AV23">
        <v>4.4000000000000004</v>
      </c>
      <c r="AW23">
        <v>-0.5</v>
      </c>
      <c r="AX23">
        <v>3.9</v>
      </c>
      <c r="AY23">
        <v>3.5</v>
      </c>
      <c r="AZ23" s="8">
        <v>6.3</v>
      </c>
      <c r="BA23" s="8">
        <v>0.22716347245978233</v>
      </c>
      <c r="BB23" s="3">
        <v>0</v>
      </c>
    </row>
    <row r="24" spans="1:54" x14ac:dyDescent="0.25">
      <c r="A24" t="s">
        <v>140</v>
      </c>
      <c r="B24" s="2">
        <v>20000000</v>
      </c>
      <c r="C24" t="s">
        <v>75</v>
      </c>
      <c r="D24">
        <v>24</v>
      </c>
      <c r="E24" t="s">
        <v>107</v>
      </c>
      <c r="F24">
        <v>68</v>
      </c>
      <c r="G24">
        <v>68</v>
      </c>
      <c r="H24">
        <v>32.6</v>
      </c>
      <c r="I24">
        <v>5.9</v>
      </c>
      <c r="J24">
        <v>9.1999999999999993</v>
      </c>
      <c r="K24">
        <v>0.64400000000000002</v>
      </c>
      <c r="L24">
        <v>0</v>
      </c>
      <c r="M24">
        <v>0.1</v>
      </c>
      <c r="N24">
        <v>0.1</v>
      </c>
      <c r="O24">
        <v>5.9</v>
      </c>
      <c r="P24">
        <v>9.1</v>
      </c>
      <c r="Q24">
        <v>0.65300000000000002</v>
      </c>
      <c r="R24">
        <v>0.64500000000000002</v>
      </c>
      <c r="S24">
        <v>2.4</v>
      </c>
      <c r="T24">
        <v>3.3</v>
      </c>
      <c r="U24">
        <v>0.73299999999999998</v>
      </c>
      <c r="V24">
        <v>3.3</v>
      </c>
      <c r="W24">
        <v>6.5</v>
      </c>
      <c r="X24">
        <v>9.8000000000000007</v>
      </c>
      <c r="Y24">
        <v>1.7</v>
      </c>
      <c r="Z24">
        <v>0.8</v>
      </c>
      <c r="AA24">
        <v>1.2</v>
      </c>
      <c r="AB24">
        <v>1.4</v>
      </c>
      <c r="AC24">
        <v>2.2999999999999998</v>
      </c>
      <c r="AD24">
        <v>14.3</v>
      </c>
      <c r="AE24">
        <v>2220</v>
      </c>
      <c r="AF24">
        <v>19.899999999999999</v>
      </c>
      <c r="AG24">
        <v>0.67</v>
      </c>
      <c r="AH24">
        <v>1.6E-2</v>
      </c>
      <c r="AI24">
        <v>0.35299999999999998</v>
      </c>
      <c r="AJ24">
        <v>11.7</v>
      </c>
      <c r="AK24">
        <v>23.6</v>
      </c>
      <c r="AL24">
        <v>17.7</v>
      </c>
      <c r="AM24">
        <v>7.5</v>
      </c>
      <c r="AN24">
        <v>1.2</v>
      </c>
      <c r="AO24">
        <v>3.5</v>
      </c>
      <c r="AP24">
        <v>11.4</v>
      </c>
      <c r="AQ24">
        <v>16.399999999999999</v>
      </c>
      <c r="AR24">
        <v>5.5</v>
      </c>
      <c r="AS24">
        <v>4</v>
      </c>
      <c r="AT24">
        <v>9.5</v>
      </c>
      <c r="AU24">
        <v>0.20499999999999999</v>
      </c>
      <c r="AV24">
        <v>1.3</v>
      </c>
      <c r="AW24">
        <v>1</v>
      </c>
      <c r="AX24">
        <v>2.4</v>
      </c>
      <c r="AY24">
        <v>2.4</v>
      </c>
      <c r="AZ24" s="8">
        <v>5.95</v>
      </c>
      <c r="BA24" s="8">
        <v>0.29749999999999999</v>
      </c>
      <c r="BB24" s="3">
        <v>0</v>
      </c>
    </row>
    <row r="25" spans="1:54" x14ac:dyDescent="0.25">
      <c r="A25" t="s">
        <v>127</v>
      </c>
      <c r="B25" s="2">
        <v>23760000</v>
      </c>
      <c r="C25" t="s">
        <v>28</v>
      </c>
      <c r="D25">
        <v>28</v>
      </c>
      <c r="E25" t="s">
        <v>123</v>
      </c>
      <c r="F25">
        <v>77</v>
      </c>
      <c r="G25">
        <v>77</v>
      </c>
      <c r="H25">
        <v>35.5</v>
      </c>
      <c r="I25">
        <v>8.5</v>
      </c>
      <c r="J25">
        <v>18.600000000000001</v>
      </c>
      <c r="K25">
        <v>0.45900000000000002</v>
      </c>
      <c r="L25">
        <v>2.8</v>
      </c>
      <c r="M25">
        <v>8.3000000000000007</v>
      </c>
      <c r="N25">
        <v>0.34300000000000003</v>
      </c>
      <c r="O25">
        <v>5.7</v>
      </c>
      <c r="P25">
        <v>10.3</v>
      </c>
      <c r="Q25">
        <v>0.55300000000000005</v>
      </c>
      <c r="R25">
        <v>0.53600000000000003</v>
      </c>
      <c r="S25">
        <v>5.2</v>
      </c>
      <c r="T25">
        <v>6.9</v>
      </c>
      <c r="U25">
        <v>0.75700000000000001</v>
      </c>
      <c r="V25">
        <v>1.8</v>
      </c>
      <c r="W25">
        <v>8.1</v>
      </c>
      <c r="X25">
        <v>10</v>
      </c>
      <c r="Y25">
        <v>4.0999999999999996</v>
      </c>
      <c r="Z25">
        <v>0.6</v>
      </c>
      <c r="AA25">
        <v>0.3</v>
      </c>
      <c r="AB25">
        <v>2.8</v>
      </c>
      <c r="AC25">
        <v>3</v>
      </c>
      <c r="AD25">
        <v>25.1</v>
      </c>
      <c r="AE25">
        <v>2737</v>
      </c>
      <c r="AF25">
        <v>20.3</v>
      </c>
      <c r="AG25">
        <v>0.58099999999999996</v>
      </c>
      <c r="AH25">
        <v>0.44400000000000001</v>
      </c>
      <c r="AI25">
        <v>0.371</v>
      </c>
      <c r="AJ25">
        <v>5.6</v>
      </c>
      <c r="AK25">
        <v>25.2</v>
      </c>
      <c r="AL25">
        <v>15.4</v>
      </c>
      <c r="AM25">
        <v>18.5</v>
      </c>
      <c r="AN25">
        <v>0.9</v>
      </c>
      <c r="AO25">
        <v>0.7</v>
      </c>
      <c r="AP25">
        <v>11.5</v>
      </c>
      <c r="AQ25">
        <v>29.5</v>
      </c>
      <c r="AR25">
        <v>5</v>
      </c>
      <c r="AS25">
        <v>3.1</v>
      </c>
      <c r="AT25">
        <v>8.1</v>
      </c>
      <c r="AU25">
        <v>0.14199999999999999</v>
      </c>
      <c r="AV25">
        <v>3.9</v>
      </c>
      <c r="AW25">
        <v>-0.2</v>
      </c>
      <c r="AX25">
        <v>3.7</v>
      </c>
      <c r="AY25">
        <v>3.9</v>
      </c>
      <c r="AZ25" s="8">
        <v>5.9</v>
      </c>
      <c r="BA25" s="8">
        <v>0.24831649831649832</v>
      </c>
      <c r="BB25" s="3">
        <v>0</v>
      </c>
    </row>
    <row r="26" spans="1:54" x14ac:dyDescent="0.25">
      <c r="A26" t="s">
        <v>57</v>
      </c>
      <c r="B26" s="2">
        <v>44474988</v>
      </c>
      <c r="C26" t="s">
        <v>28</v>
      </c>
      <c r="D26">
        <v>38</v>
      </c>
      <c r="E26" t="s">
        <v>58</v>
      </c>
      <c r="F26">
        <v>55</v>
      </c>
      <c r="G26">
        <v>54</v>
      </c>
      <c r="H26">
        <v>35.5</v>
      </c>
      <c r="I26">
        <v>11.1</v>
      </c>
      <c r="J26">
        <v>22.2</v>
      </c>
      <c r="K26">
        <v>0.5</v>
      </c>
      <c r="L26">
        <v>2.2000000000000002</v>
      </c>
      <c r="M26">
        <v>6.9</v>
      </c>
      <c r="N26">
        <v>0.32100000000000001</v>
      </c>
      <c r="O26">
        <v>8.9</v>
      </c>
      <c r="P26">
        <v>15.3</v>
      </c>
      <c r="Q26">
        <v>0.57999999999999996</v>
      </c>
      <c r="R26">
        <v>0.54900000000000004</v>
      </c>
      <c r="S26">
        <v>4.5999999999999996</v>
      </c>
      <c r="T26">
        <v>5.9</v>
      </c>
      <c r="U26">
        <v>0.76800000000000002</v>
      </c>
      <c r="V26">
        <v>1.2</v>
      </c>
      <c r="W26">
        <v>7.1</v>
      </c>
      <c r="X26">
        <v>8.3000000000000007</v>
      </c>
      <c r="Y26">
        <v>6.8</v>
      </c>
      <c r="Z26">
        <v>0.9</v>
      </c>
      <c r="AA26">
        <v>0.6</v>
      </c>
      <c r="AB26">
        <v>3.2</v>
      </c>
      <c r="AC26">
        <v>1.6</v>
      </c>
      <c r="AD26">
        <v>28.9</v>
      </c>
      <c r="AE26">
        <v>1954</v>
      </c>
      <c r="AF26">
        <v>23.9</v>
      </c>
      <c r="AG26">
        <v>0.58299999999999996</v>
      </c>
      <c r="AH26">
        <v>0.309</v>
      </c>
      <c r="AI26">
        <v>0.26800000000000002</v>
      </c>
      <c r="AJ26">
        <v>3.7</v>
      </c>
      <c r="AK26">
        <v>20.8</v>
      </c>
      <c r="AL26">
        <v>12.5</v>
      </c>
      <c r="AM26">
        <v>33.5</v>
      </c>
      <c r="AN26">
        <v>1.2</v>
      </c>
      <c r="AO26">
        <v>1.4</v>
      </c>
      <c r="AP26">
        <v>11.6</v>
      </c>
      <c r="AQ26">
        <v>33.299999999999997</v>
      </c>
      <c r="AR26">
        <v>3.2</v>
      </c>
      <c r="AS26">
        <v>2.4</v>
      </c>
      <c r="AT26">
        <v>5.6</v>
      </c>
      <c r="AU26">
        <v>0.13800000000000001</v>
      </c>
      <c r="AV26">
        <v>5.5</v>
      </c>
      <c r="AW26">
        <v>0.6</v>
      </c>
      <c r="AX26">
        <v>6.1</v>
      </c>
      <c r="AY26">
        <v>4</v>
      </c>
      <c r="AZ26" s="8">
        <v>5.85</v>
      </c>
      <c r="BA26" s="8">
        <v>0.13153460547308074</v>
      </c>
      <c r="BB26" s="3">
        <v>0</v>
      </c>
    </row>
    <row r="27" spans="1:54" x14ac:dyDescent="0.25">
      <c r="A27" t="s">
        <v>187</v>
      </c>
      <c r="B27" s="2">
        <v>12119440</v>
      </c>
      <c r="C27" t="s">
        <v>52</v>
      </c>
      <c r="D27">
        <v>23</v>
      </c>
      <c r="E27" t="s">
        <v>150</v>
      </c>
      <c r="F27">
        <v>61</v>
      </c>
      <c r="G27">
        <v>59</v>
      </c>
      <c r="H27">
        <v>31.9</v>
      </c>
      <c r="I27">
        <v>9.3000000000000007</v>
      </c>
      <c r="J27">
        <v>19.899999999999999</v>
      </c>
      <c r="K27">
        <v>0.46600000000000003</v>
      </c>
      <c r="L27">
        <v>1.5</v>
      </c>
      <c r="M27">
        <v>4.9000000000000004</v>
      </c>
      <c r="N27">
        <v>0.307</v>
      </c>
      <c r="O27">
        <v>7.8</v>
      </c>
      <c r="P27">
        <v>15</v>
      </c>
      <c r="Q27">
        <v>0.51900000000000002</v>
      </c>
      <c r="R27">
        <v>0.504</v>
      </c>
      <c r="S27">
        <v>6.1</v>
      </c>
      <c r="T27">
        <v>8.1</v>
      </c>
      <c r="U27">
        <v>0.748</v>
      </c>
      <c r="V27">
        <v>1</v>
      </c>
      <c r="W27">
        <v>4.9000000000000004</v>
      </c>
      <c r="X27">
        <v>5.9</v>
      </c>
      <c r="Y27">
        <v>8.1</v>
      </c>
      <c r="Z27">
        <v>1.1000000000000001</v>
      </c>
      <c r="AA27">
        <v>0.3</v>
      </c>
      <c r="AB27">
        <v>3.4</v>
      </c>
      <c r="AC27">
        <v>1.6</v>
      </c>
      <c r="AD27">
        <v>26.2</v>
      </c>
      <c r="AE27">
        <v>1948</v>
      </c>
      <c r="AF27">
        <v>23.3</v>
      </c>
      <c r="AG27">
        <v>0.55700000000000005</v>
      </c>
      <c r="AH27">
        <v>0.247</v>
      </c>
      <c r="AI27">
        <v>0.40899999999999997</v>
      </c>
      <c r="AJ27">
        <v>3.3</v>
      </c>
      <c r="AK27">
        <v>16.100000000000001</v>
      </c>
      <c r="AL27">
        <v>9.6999999999999993</v>
      </c>
      <c r="AM27">
        <v>41.1</v>
      </c>
      <c r="AN27">
        <v>1.6</v>
      </c>
      <c r="AO27">
        <v>0.7</v>
      </c>
      <c r="AP27">
        <v>12.6</v>
      </c>
      <c r="AQ27">
        <v>34.9</v>
      </c>
      <c r="AR27">
        <v>3.4</v>
      </c>
      <c r="AS27">
        <v>2.6</v>
      </c>
      <c r="AT27">
        <v>6</v>
      </c>
      <c r="AU27">
        <v>0.14799999999999999</v>
      </c>
      <c r="AV27">
        <v>5.2</v>
      </c>
      <c r="AW27">
        <v>0.5</v>
      </c>
      <c r="AX27">
        <v>5.7</v>
      </c>
      <c r="AY27">
        <v>3.8</v>
      </c>
      <c r="AZ27" s="8">
        <v>5.85</v>
      </c>
      <c r="BA27" s="8">
        <v>0.48269557009234748</v>
      </c>
      <c r="BB27" s="3">
        <v>0</v>
      </c>
    </row>
    <row r="28" spans="1:54" x14ac:dyDescent="0.25">
      <c r="A28" t="s">
        <v>90</v>
      </c>
      <c r="B28" s="2">
        <v>35448672</v>
      </c>
      <c r="C28" t="s">
        <v>28</v>
      </c>
      <c r="D28">
        <v>28</v>
      </c>
      <c r="E28" t="s">
        <v>91</v>
      </c>
      <c r="F28">
        <v>71</v>
      </c>
      <c r="G28">
        <v>71</v>
      </c>
      <c r="H28">
        <v>37.4</v>
      </c>
      <c r="I28">
        <v>8.9</v>
      </c>
      <c r="J28">
        <v>18.5</v>
      </c>
      <c r="K28">
        <v>0.48</v>
      </c>
      <c r="L28">
        <v>1.3</v>
      </c>
      <c r="M28">
        <v>4</v>
      </c>
      <c r="N28">
        <v>0.32400000000000001</v>
      </c>
      <c r="O28">
        <v>7.6</v>
      </c>
      <c r="P28">
        <v>14.5</v>
      </c>
      <c r="Q28">
        <v>0.52300000000000002</v>
      </c>
      <c r="R28">
        <v>0.51500000000000001</v>
      </c>
      <c r="S28">
        <v>5.2</v>
      </c>
      <c r="T28">
        <v>6.7</v>
      </c>
      <c r="U28">
        <v>0.77400000000000002</v>
      </c>
      <c r="V28">
        <v>1.8</v>
      </c>
      <c r="W28">
        <v>6</v>
      </c>
      <c r="X28">
        <v>7.8</v>
      </c>
      <c r="Y28">
        <v>5.8</v>
      </c>
      <c r="Z28">
        <v>0.9</v>
      </c>
      <c r="AA28">
        <v>0.5</v>
      </c>
      <c r="AB28">
        <v>2.4</v>
      </c>
      <c r="AC28">
        <v>3.2</v>
      </c>
      <c r="AD28">
        <v>24.2</v>
      </c>
      <c r="AE28">
        <v>2652</v>
      </c>
      <c r="AF28">
        <v>20.3</v>
      </c>
      <c r="AG28">
        <v>0.56499999999999995</v>
      </c>
      <c r="AH28">
        <v>0.219</v>
      </c>
      <c r="AI28">
        <v>0.36099999999999999</v>
      </c>
      <c r="AJ28">
        <v>5.2</v>
      </c>
      <c r="AK28">
        <v>19.600000000000001</v>
      </c>
      <c r="AL28">
        <v>11.9</v>
      </c>
      <c r="AM28">
        <v>24.9</v>
      </c>
      <c r="AN28">
        <v>1.2</v>
      </c>
      <c r="AO28">
        <v>1.3</v>
      </c>
      <c r="AP28">
        <v>10</v>
      </c>
      <c r="AQ28">
        <v>27.2</v>
      </c>
      <c r="AR28">
        <v>5.2</v>
      </c>
      <c r="AS28">
        <v>2.6</v>
      </c>
      <c r="AT28">
        <v>7.8</v>
      </c>
      <c r="AU28">
        <v>0.14099999999999999</v>
      </c>
      <c r="AV28">
        <v>3.3</v>
      </c>
      <c r="AW28">
        <v>-0.1</v>
      </c>
      <c r="AX28">
        <v>3.1</v>
      </c>
      <c r="AY28">
        <v>3.4</v>
      </c>
      <c r="AZ28" s="8">
        <v>5.45</v>
      </c>
      <c r="BA28" s="8">
        <v>0.15374341808911771</v>
      </c>
      <c r="BB28" s="3">
        <v>0</v>
      </c>
    </row>
    <row r="29" spans="1:54" x14ac:dyDescent="0.25">
      <c r="A29" t="s">
        <v>124</v>
      </c>
      <c r="B29" s="2">
        <v>27300000</v>
      </c>
      <c r="C29" t="s">
        <v>65</v>
      </c>
      <c r="D29">
        <v>33</v>
      </c>
      <c r="E29" t="s">
        <v>87</v>
      </c>
      <c r="F29">
        <v>74</v>
      </c>
      <c r="G29">
        <v>74</v>
      </c>
      <c r="H29">
        <v>36.200000000000003</v>
      </c>
      <c r="I29">
        <v>8.9</v>
      </c>
      <c r="J29">
        <v>17.600000000000001</v>
      </c>
      <c r="K29">
        <v>0.504</v>
      </c>
      <c r="L29">
        <v>0.6</v>
      </c>
      <c r="M29">
        <v>1.9</v>
      </c>
      <c r="N29">
        <v>0.32400000000000001</v>
      </c>
      <c r="O29">
        <v>8.3000000000000007</v>
      </c>
      <c r="P29">
        <v>15.7</v>
      </c>
      <c r="Q29">
        <v>0.52600000000000002</v>
      </c>
      <c r="R29">
        <v>0.52200000000000002</v>
      </c>
      <c r="S29">
        <v>6.2</v>
      </c>
      <c r="T29">
        <v>7.1</v>
      </c>
      <c r="U29">
        <v>0.872</v>
      </c>
      <c r="V29">
        <v>0.5</v>
      </c>
      <c r="W29">
        <v>4.2</v>
      </c>
      <c r="X29">
        <v>4.5999999999999996</v>
      </c>
      <c r="Y29">
        <v>5.0999999999999996</v>
      </c>
      <c r="Z29">
        <v>1.1000000000000001</v>
      </c>
      <c r="AA29">
        <v>0.5</v>
      </c>
      <c r="AB29">
        <v>2.1</v>
      </c>
      <c r="AC29">
        <v>2.5</v>
      </c>
      <c r="AD29">
        <v>24.5</v>
      </c>
      <c r="AE29">
        <v>2682</v>
      </c>
      <c r="AF29">
        <v>20.6</v>
      </c>
      <c r="AG29">
        <v>0.59199999999999997</v>
      </c>
      <c r="AH29">
        <v>0.109</v>
      </c>
      <c r="AI29">
        <v>0.40100000000000002</v>
      </c>
      <c r="AJ29">
        <v>1.5</v>
      </c>
      <c r="AK29">
        <v>12.8</v>
      </c>
      <c r="AL29">
        <v>7.2</v>
      </c>
      <c r="AM29">
        <v>22.3</v>
      </c>
      <c r="AN29">
        <v>1.5</v>
      </c>
      <c r="AO29">
        <v>1.3</v>
      </c>
      <c r="AP29">
        <v>9.1</v>
      </c>
      <c r="AQ29">
        <v>27.8</v>
      </c>
      <c r="AR29">
        <v>5.4</v>
      </c>
      <c r="AS29">
        <v>3.2</v>
      </c>
      <c r="AT29">
        <v>8.5</v>
      </c>
      <c r="AU29">
        <v>0.153</v>
      </c>
      <c r="AV29">
        <v>1.7</v>
      </c>
      <c r="AW29">
        <v>0.3</v>
      </c>
      <c r="AX29">
        <v>2</v>
      </c>
      <c r="AY29">
        <v>2.6</v>
      </c>
      <c r="AZ29" s="8">
        <v>5.25</v>
      </c>
      <c r="BA29" s="8">
        <v>0.19230769230769232</v>
      </c>
      <c r="BB29" s="3">
        <v>0</v>
      </c>
    </row>
    <row r="30" spans="1:54" x14ac:dyDescent="0.25">
      <c r="A30" t="s">
        <v>96</v>
      </c>
      <c r="B30" s="2">
        <v>33833400</v>
      </c>
      <c r="C30" t="s">
        <v>62</v>
      </c>
      <c r="D30">
        <v>26</v>
      </c>
      <c r="E30" t="s">
        <v>60</v>
      </c>
      <c r="F30">
        <v>53</v>
      </c>
      <c r="G30">
        <v>53</v>
      </c>
      <c r="H30">
        <v>34.6</v>
      </c>
      <c r="I30">
        <v>9.9</v>
      </c>
      <c r="J30">
        <v>20.100000000000001</v>
      </c>
      <c r="K30">
        <v>0.49399999999999999</v>
      </c>
      <c r="L30">
        <v>2.1</v>
      </c>
      <c r="M30">
        <v>6</v>
      </c>
      <c r="N30">
        <v>0.35099999999999998</v>
      </c>
      <c r="O30">
        <v>7.8</v>
      </c>
      <c r="P30">
        <v>14.2</v>
      </c>
      <c r="Q30">
        <v>0.55400000000000005</v>
      </c>
      <c r="R30">
        <v>0.54600000000000004</v>
      </c>
      <c r="S30">
        <v>5.8</v>
      </c>
      <c r="T30">
        <v>6.8</v>
      </c>
      <c r="U30">
        <v>0.85499999999999998</v>
      </c>
      <c r="V30">
        <v>0.9</v>
      </c>
      <c r="W30">
        <v>3.7</v>
      </c>
      <c r="X30">
        <v>4.5</v>
      </c>
      <c r="Y30">
        <v>5.5</v>
      </c>
      <c r="Z30">
        <v>1</v>
      </c>
      <c r="AA30">
        <v>0.3</v>
      </c>
      <c r="AB30">
        <v>2.7</v>
      </c>
      <c r="AC30">
        <v>3</v>
      </c>
      <c r="AD30">
        <v>27.8</v>
      </c>
      <c r="AE30">
        <v>1835</v>
      </c>
      <c r="AF30">
        <v>22</v>
      </c>
      <c r="AG30">
        <v>0.60099999999999998</v>
      </c>
      <c r="AH30">
        <v>0.29599999999999999</v>
      </c>
      <c r="AI30">
        <v>0.33600000000000002</v>
      </c>
      <c r="AJ30">
        <v>2.7</v>
      </c>
      <c r="AK30">
        <v>12</v>
      </c>
      <c r="AL30">
        <v>7.2</v>
      </c>
      <c r="AM30">
        <v>27.3</v>
      </c>
      <c r="AN30">
        <v>1.4</v>
      </c>
      <c r="AO30">
        <v>0.9</v>
      </c>
      <c r="AP30">
        <v>10.6</v>
      </c>
      <c r="AQ30">
        <v>31.8</v>
      </c>
      <c r="AR30">
        <v>4.2</v>
      </c>
      <c r="AS30">
        <v>1.9</v>
      </c>
      <c r="AT30">
        <v>6</v>
      </c>
      <c r="AU30">
        <v>0.157</v>
      </c>
      <c r="AV30">
        <v>4.5</v>
      </c>
      <c r="AW30">
        <v>-0.3</v>
      </c>
      <c r="AX30">
        <v>4.2</v>
      </c>
      <c r="AY30">
        <v>2.9</v>
      </c>
      <c r="AZ30" s="8">
        <v>5.0999999999999996</v>
      </c>
      <c r="BA30" s="8">
        <v>0.15073861923424781</v>
      </c>
      <c r="BB30" s="3">
        <v>0</v>
      </c>
    </row>
    <row r="31" spans="1:54" x14ac:dyDescent="0.25">
      <c r="A31" t="s">
        <v>218</v>
      </c>
      <c r="B31" s="2">
        <v>9080417</v>
      </c>
      <c r="C31" t="s">
        <v>75</v>
      </c>
      <c r="D31">
        <v>32</v>
      </c>
      <c r="E31" t="s">
        <v>118</v>
      </c>
      <c r="F31">
        <v>79</v>
      </c>
      <c r="G31">
        <v>60</v>
      </c>
      <c r="H31">
        <v>26</v>
      </c>
      <c r="I31">
        <v>4.2</v>
      </c>
      <c r="J31">
        <v>6.1</v>
      </c>
      <c r="K31">
        <v>0.68</v>
      </c>
      <c r="L31">
        <v>0</v>
      </c>
      <c r="M31">
        <v>0</v>
      </c>
      <c r="O31">
        <v>4.2</v>
      </c>
      <c r="P31">
        <v>6.1</v>
      </c>
      <c r="Q31">
        <v>0.68</v>
      </c>
      <c r="R31">
        <v>0.68</v>
      </c>
      <c r="S31">
        <v>2.5</v>
      </c>
      <c r="T31">
        <v>4</v>
      </c>
      <c r="U31">
        <v>0.63600000000000001</v>
      </c>
      <c r="V31">
        <v>2.9</v>
      </c>
      <c r="W31">
        <v>6</v>
      </c>
      <c r="X31">
        <v>8.9</v>
      </c>
      <c r="Y31">
        <v>3.1</v>
      </c>
      <c r="Z31">
        <v>0.6</v>
      </c>
      <c r="AA31">
        <v>0.6</v>
      </c>
      <c r="AB31">
        <v>1.5</v>
      </c>
      <c r="AC31">
        <v>2.7</v>
      </c>
      <c r="AD31">
        <v>10.8</v>
      </c>
      <c r="AE31">
        <v>2054</v>
      </c>
      <c r="AF31">
        <v>19.600000000000001</v>
      </c>
      <c r="AG31">
        <v>0.68899999999999995</v>
      </c>
      <c r="AH31">
        <v>0</v>
      </c>
      <c r="AI31">
        <v>0.64700000000000002</v>
      </c>
      <c r="AJ31">
        <v>11.8</v>
      </c>
      <c r="AK31">
        <v>25.1</v>
      </c>
      <c r="AL31">
        <v>18.399999999999999</v>
      </c>
      <c r="AM31">
        <v>17.3</v>
      </c>
      <c r="AN31">
        <v>1.1000000000000001</v>
      </c>
      <c r="AO31">
        <v>2</v>
      </c>
      <c r="AP31">
        <v>15.8</v>
      </c>
      <c r="AQ31">
        <v>15.2</v>
      </c>
      <c r="AR31">
        <v>5.5</v>
      </c>
      <c r="AS31">
        <v>2.4</v>
      </c>
      <c r="AT31">
        <v>7.9</v>
      </c>
      <c r="AU31">
        <v>0.185</v>
      </c>
      <c r="AV31">
        <v>1.2</v>
      </c>
      <c r="AW31">
        <v>1</v>
      </c>
      <c r="AX31">
        <v>2.2000000000000002</v>
      </c>
      <c r="AY31">
        <v>2.2000000000000002</v>
      </c>
      <c r="AZ31" s="8">
        <v>5.0500000000000007</v>
      </c>
      <c r="BA31" s="8">
        <v>0.55614186000488752</v>
      </c>
      <c r="BB31" s="3">
        <v>0</v>
      </c>
    </row>
    <row r="32" spans="1:54" x14ac:dyDescent="0.25">
      <c r="A32" t="s">
        <v>172</v>
      </c>
      <c r="B32" s="2">
        <v>13906976</v>
      </c>
      <c r="C32" t="s">
        <v>75</v>
      </c>
      <c r="D32">
        <v>34</v>
      </c>
      <c r="E32" t="s">
        <v>68</v>
      </c>
      <c r="F32">
        <v>78</v>
      </c>
      <c r="G32">
        <v>78</v>
      </c>
      <c r="H32">
        <v>30.4</v>
      </c>
      <c r="I32">
        <v>6.1</v>
      </c>
      <c r="J32">
        <v>11.5</v>
      </c>
      <c r="K32">
        <v>0.53100000000000003</v>
      </c>
      <c r="L32">
        <v>1.7</v>
      </c>
      <c r="M32">
        <v>4.7</v>
      </c>
      <c r="N32">
        <v>0.374</v>
      </c>
      <c r="O32">
        <v>4.4000000000000004</v>
      </c>
      <c r="P32">
        <v>6.9</v>
      </c>
      <c r="Q32">
        <v>0.63700000000000001</v>
      </c>
      <c r="R32">
        <v>0.60599999999999998</v>
      </c>
      <c r="S32">
        <v>1.9</v>
      </c>
      <c r="T32">
        <v>2.4</v>
      </c>
      <c r="U32">
        <v>0.78400000000000003</v>
      </c>
      <c r="V32">
        <v>2</v>
      </c>
      <c r="W32">
        <v>4.7</v>
      </c>
      <c r="X32">
        <v>6.7</v>
      </c>
      <c r="Y32">
        <v>1.3</v>
      </c>
      <c r="Z32">
        <v>0.5</v>
      </c>
      <c r="AA32">
        <v>2.5</v>
      </c>
      <c r="AB32">
        <v>1.4</v>
      </c>
      <c r="AC32">
        <v>2.6</v>
      </c>
      <c r="AD32">
        <v>15.9</v>
      </c>
      <c r="AE32">
        <v>2373</v>
      </c>
      <c r="AF32">
        <v>18.399999999999999</v>
      </c>
      <c r="AG32">
        <v>0.63</v>
      </c>
      <c r="AH32">
        <v>0.40500000000000003</v>
      </c>
      <c r="AI32">
        <v>0.21099999999999999</v>
      </c>
      <c r="AJ32">
        <v>7.2</v>
      </c>
      <c r="AK32">
        <v>15.3</v>
      </c>
      <c r="AL32">
        <v>11.4</v>
      </c>
      <c r="AM32">
        <v>6.1</v>
      </c>
      <c r="AN32">
        <v>0.7</v>
      </c>
      <c r="AO32">
        <v>6.7</v>
      </c>
      <c r="AP32">
        <v>9.8000000000000007</v>
      </c>
      <c r="AQ32">
        <v>19.3</v>
      </c>
      <c r="AR32">
        <v>4.0999999999999996</v>
      </c>
      <c r="AS32">
        <v>3.9</v>
      </c>
      <c r="AT32">
        <v>8</v>
      </c>
      <c r="AU32">
        <v>0.161</v>
      </c>
      <c r="AV32">
        <v>0.8</v>
      </c>
      <c r="AW32">
        <v>1.3</v>
      </c>
      <c r="AX32">
        <v>2.1</v>
      </c>
      <c r="AY32">
        <v>2.5</v>
      </c>
      <c r="AZ32" s="8">
        <v>5.05</v>
      </c>
      <c r="BA32" s="8">
        <v>0.36312710973255435</v>
      </c>
      <c r="BB32" s="3">
        <v>0</v>
      </c>
    </row>
    <row r="33" spans="1:54" x14ac:dyDescent="0.25">
      <c r="A33" t="s">
        <v>84</v>
      </c>
      <c r="B33" s="2">
        <v>37096500</v>
      </c>
      <c r="C33" t="s">
        <v>52</v>
      </c>
      <c r="D33">
        <v>24</v>
      </c>
      <c r="E33" t="s">
        <v>85</v>
      </c>
      <c r="F33">
        <v>73</v>
      </c>
      <c r="G33">
        <v>73</v>
      </c>
      <c r="H33">
        <v>34.799999999999997</v>
      </c>
      <c r="I33">
        <v>8.1999999999999993</v>
      </c>
      <c r="J33">
        <v>19</v>
      </c>
      <c r="K33">
        <v>0.42899999999999999</v>
      </c>
      <c r="L33">
        <v>2.1</v>
      </c>
      <c r="M33">
        <v>6.3</v>
      </c>
      <c r="N33">
        <v>0.33500000000000002</v>
      </c>
      <c r="O33">
        <v>6.1</v>
      </c>
      <c r="P33">
        <v>12.7</v>
      </c>
      <c r="Q33">
        <v>0.47599999999999998</v>
      </c>
      <c r="R33">
        <v>0.48499999999999999</v>
      </c>
      <c r="S33">
        <v>7.8</v>
      </c>
      <c r="T33">
        <v>8.8000000000000007</v>
      </c>
      <c r="U33">
        <v>0.88600000000000001</v>
      </c>
      <c r="V33">
        <v>0.8</v>
      </c>
      <c r="W33">
        <v>2.2000000000000002</v>
      </c>
      <c r="X33">
        <v>3</v>
      </c>
      <c r="Y33">
        <v>10.199999999999999</v>
      </c>
      <c r="Z33">
        <v>1.1000000000000001</v>
      </c>
      <c r="AA33">
        <v>0.1</v>
      </c>
      <c r="AB33">
        <v>4.0999999999999996</v>
      </c>
      <c r="AC33">
        <v>1.4</v>
      </c>
      <c r="AD33">
        <v>26.2</v>
      </c>
      <c r="AE33">
        <v>2541</v>
      </c>
      <c r="AF33">
        <v>22</v>
      </c>
      <c r="AG33">
        <v>0.57299999999999995</v>
      </c>
      <c r="AH33">
        <v>0.33100000000000002</v>
      </c>
      <c r="AI33">
        <v>0.46</v>
      </c>
      <c r="AJ33">
        <v>2.4</v>
      </c>
      <c r="AK33">
        <v>7</v>
      </c>
      <c r="AL33">
        <v>4.7</v>
      </c>
      <c r="AM33">
        <v>42.5</v>
      </c>
      <c r="AN33">
        <v>1.5</v>
      </c>
      <c r="AO33">
        <v>0.3</v>
      </c>
      <c r="AP33">
        <v>15.2</v>
      </c>
      <c r="AQ33">
        <v>32.6</v>
      </c>
      <c r="AR33">
        <v>5.3</v>
      </c>
      <c r="AS33">
        <v>1.4</v>
      </c>
      <c r="AT33">
        <v>6.7</v>
      </c>
      <c r="AU33">
        <v>0.126</v>
      </c>
      <c r="AV33">
        <v>5.3</v>
      </c>
      <c r="AW33">
        <v>-2</v>
      </c>
      <c r="AX33">
        <v>3.3</v>
      </c>
      <c r="AY33">
        <v>3.4</v>
      </c>
      <c r="AZ33" s="8">
        <v>5</v>
      </c>
      <c r="BA33" s="8">
        <v>0.13478360492229724</v>
      </c>
      <c r="BB33" s="3">
        <v>0</v>
      </c>
    </row>
    <row r="34" spans="1:54" x14ac:dyDescent="0.25">
      <c r="A34" t="s">
        <v>222</v>
      </c>
      <c r="B34" s="2">
        <v>8920794</v>
      </c>
      <c r="C34" t="s">
        <v>52</v>
      </c>
      <c r="D34">
        <v>23</v>
      </c>
      <c r="E34" t="s">
        <v>107</v>
      </c>
      <c r="F34">
        <v>69</v>
      </c>
      <c r="G34">
        <v>69</v>
      </c>
      <c r="H34">
        <v>35.5</v>
      </c>
      <c r="I34">
        <v>7.6</v>
      </c>
      <c r="J34">
        <v>16.399999999999999</v>
      </c>
      <c r="K34">
        <v>0.46200000000000002</v>
      </c>
      <c r="L34">
        <v>2.4</v>
      </c>
      <c r="M34">
        <v>6</v>
      </c>
      <c r="N34">
        <v>0.41</v>
      </c>
      <c r="O34">
        <v>5.0999999999999996</v>
      </c>
      <c r="P34">
        <v>10.4</v>
      </c>
      <c r="Q34">
        <v>0.49199999999999999</v>
      </c>
      <c r="R34">
        <v>0.53700000000000003</v>
      </c>
      <c r="S34">
        <v>4</v>
      </c>
      <c r="T34">
        <v>4.7</v>
      </c>
      <c r="U34">
        <v>0.86299999999999999</v>
      </c>
      <c r="V34">
        <v>0.4</v>
      </c>
      <c r="W34">
        <v>2.2999999999999998</v>
      </c>
      <c r="X34">
        <v>2.7</v>
      </c>
      <c r="Y34">
        <v>7.8</v>
      </c>
      <c r="Z34">
        <v>1.2</v>
      </c>
      <c r="AA34">
        <v>0.1</v>
      </c>
      <c r="AB34">
        <v>2.9</v>
      </c>
      <c r="AC34">
        <v>2.1</v>
      </c>
      <c r="AD34">
        <v>21.6</v>
      </c>
      <c r="AE34">
        <v>2447</v>
      </c>
      <c r="AF34">
        <v>18.8</v>
      </c>
      <c r="AG34">
        <v>0.58699999999999997</v>
      </c>
      <c r="AH34">
        <v>0.36499999999999999</v>
      </c>
      <c r="AI34">
        <v>0.28399999999999997</v>
      </c>
      <c r="AJ34">
        <v>1.3</v>
      </c>
      <c r="AK34">
        <v>7.6</v>
      </c>
      <c r="AL34">
        <v>4.5</v>
      </c>
      <c r="AM34">
        <v>34.1</v>
      </c>
      <c r="AN34">
        <v>1.7</v>
      </c>
      <c r="AO34">
        <v>0.3</v>
      </c>
      <c r="AP34">
        <v>13.5</v>
      </c>
      <c r="AQ34">
        <v>26.9</v>
      </c>
      <c r="AR34">
        <v>4.5</v>
      </c>
      <c r="AS34">
        <v>3</v>
      </c>
      <c r="AT34">
        <v>7.6</v>
      </c>
      <c r="AU34">
        <v>0.14799999999999999</v>
      </c>
      <c r="AV34">
        <v>3.2</v>
      </c>
      <c r="AW34">
        <v>-0.7</v>
      </c>
      <c r="AX34">
        <v>2.4</v>
      </c>
      <c r="AY34">
        <v>2.7</v>
      </c>
      <c r="AZ34" s="8">
        <v>5</v>
      </c>
      <c r="BA34" s="8">
        <v>0.5604882255996495</v>
      </c>
      <c r="BB34" s="3">
        <v>0</v>
      </c>
    </row>
    <row r="35" spans="1:54" x14ac:dyDescent="0.25">
      <c r="A35" t="s">
        <v>115</v>
      </c>
      <c r="B35" s="2">
        <v>30351780</v>
      </c>
      <c r="C35" t="s">
        <v>52</v>
      </c>
      <c r="D35">
        <v>25</v>
      </c>
      <c r="E35" t="s">
        <v>116</v>
      </c>
      <c r="F35">
        <v>73</v>
      </c>
      <c r="G35">
        <v>73</v>
      </c>
      <c r="H35">
        <v>33.4</v>
      </c>
      <c r="I35">
        <v>9.3000000000000007</v>
      </c>
      <c r="J35">
        <v>18.2</v>
      </c>
      <c r="K35">
        <v>0.51200000000000001</v>
      </c>
      <c r="L35">
        <v>1.6</v>
      </c>
      <c r="M35">
        <v>5</v>
      </c>
      <c r="N35">
        <v>0.32400000000000001</v>
      </c>
      <c r="O35">
        <v>7.7</v>
      </c>
      <c r="P35">
        <v>13.2</v>
      </c>
      <c r="Q35">
        <v>0.58399999999999996</v>
      </c>
      <c r="R35">
        <v>0.55700000000000005</v>
      </c>
      <c r="S35">
        <v>4.7</v>
      </c>
      <c r="T35">
        <v>6</v>
      </c>
      <c r="U35">
        <v>0.78</v>
      </c>
      <c r="V35">
        <v>0.5</v>
      </c>
      <c r="W35">
        <v>3.6</v>
      </c>
      <c r="X35">
        <v>4.2</v>
      </c>
      <c r="Y35">
        <v>6.1</v>
      </c>
      <c r="Z35">
        <v>1.1000000000000001</v>
      </c>
      <c r="AA35">
        <v>0.3</v>
      </c>
      <c r="AB35">
        <v>2.5</v>
      </c>
      <c r="AC35">
        <v>2.4</v>
      </c>
      <c r="AD35">
        <v>25</v>
      </c>
      <c r="AE35">
        <v>2435</v>
      </c>
      <c r="AF35">
        <v>21.8</v>
      </c>
      <c r="AG35">
        <v>0.59899999999999998</v>
      </c>
      <c r="AH35">
        <v>0.27600000000000002</v>
      </c>
      <c r="AI35">
        <v>0.33100000000000002</v>
      </c>
      <c r="AJ35">
        <v>1.9</v>
      </c>
      <c r="AK35">
        <v>12.4</v>
      </c>
      <c r="AL35">
        <v>7.2</v>
      </c>
      <c r="AM35">
        <v>29.6</v>
      </c>
      <c r="AN35">
        <v>1.6</v>
      </c>
      <c r="AO35">
        <v>0.8</v>
      </c>
      <c r="AP35">
        <v>10.6</v>
      </c>
      <c r="AQ35">
        <v>30.1</v>
      </c>
      <c r="AR35">
        <v>5.5</v>
      </c>
      <c r="AS35">
        <v>1.8</v>
      </c>
      <c r="AT35">
        <v>7.4</v>
      </c>
      <c r="AU35">
        <v>0.14599999999999999</v>
      </c>
      <c r="AV35">
        <v>3.4</v>
      </c>
      <c r="AW35">
        <v>-0.9</v>
      </c>
      <c r="AX35">
        <v>2.5</v>
      </c>
      <c r="AY35">
        <v>2.7</v>
      </c>
      <c r="AZ35" s="8">
        <v>4.95</v>
      </c>
      <c r="BA35" s="8">
        <v>0.1630876343990369</v>
      </c>
      <c r="BB35" s="3">
        <v>0</v>
      </c>
    </row>
    <row r="36" spans="1:54" x14ac:dyDescent="0.25">
      <c r="A36" t="s">
        <v>94</v>
      </c>
      <c r="B36" s="2">
        <v>34319520</v>
      </c>
      <c r="C36" t="s">
        <v>52</v>
      </c>
      <c r="D36">
        <v>32</v>
      </c>
      <c r="E36" t="s">
        <v>68</v>
      </c>
      <c r="F36">
        <v>67</v>
      </c>
      <c r="G36">
        <v>65</v>
      </c>
      <c r="H36">
        <v>32.6</v>
      </c>
      <c r="I36">
        <v>7.3</v>
      </c>
      <c r="J36">
        <v>15.3</v>
      </c>
      <c r="K36">
        <v>0.47899999999999998</v>
      </c>
      <c r="L36">
        <v>2.4</v>
      </c>
      <c r="M36">
        <v>6.1</v>
      </c>
      <c r="N36">
        <v>0.38400000000000001</v>
      </c>
      <c r="O36">
        <v>5</v>
      </c>
      <c r="P36">
        <v>9.1</v>
      </c>
      <c r="Q36">
        <v>0.54200000000000004</v>
      </c>
      <c r="R36">
        <v>0.55600000000000005</v>
      </c>
      <c r="S36">
        <v>2.2999999999999998</v>
      </c>
      <c r="T36">
        <v>2.6</v>
      </c>
      <c r="U36">
        <v>0.85899999999999999</v>
      </c>
      <c r="V36">
        <v>1.2</v>
      </c>
      <c r="W36">
        <v>3.9</v>
      </c>
      <c r="X36">
        <v>5.0999999999999996</v>
      </c>
      <c r="Y36">
        <v>7.4</v>
      </c>
      <c r="Z36">
        <v>1.2</v>
      </c>
      <c r="AA36">
        <v>0.4</v>
      </c>
      <c r="AB36">
        <v>2.9</v>
      </c>
      <c r="AC36">
        <v>1.7</v>
      </c>
      <c r="AD36">
        <v>19.3</v>
      </c>
      <c r="AE36">
        <v>2183</v>
      </c>
      <c r="AF36">
        <v>19.2</v>
      </c>
      <c r="AG36">
        <v>0.58599999999999997</v>
      </c>
      <c r="AH36">
        <v>0.40200000000000002</v>
      </c>
      <c r="AI36">
        <v>0.17299999999999999</v>
      </c>
      <c r="AJ36">
        <v>3.9</v>
      </c>
      <c r="AK36">
        <v>12</v>
      </c>
      <c r="AL36">
        <v>8.1</v>
      </c>
      <c r="AM36">
        <v>34.4</v>
      </c>
      <c r="AN36">
        <v>1.7</v>
      </c>
      <c r="AO36">
        <v>0.9</v>
      </c>
      <c r="AP36">
        <v>15.2</v>
      </c>
      <c r="AQ36">
        <v>25</v>
      </c>
      <c r="AR36">
        <v>3.9</v>
      </c>
      <c r="AS36">
        <v>2.8</v>
      </c>
      <c r="AT36">
        <v>6.7</v>
      </c>
      <c r="AU36">
        <v>0.14799999999999999</v>
      </c>
      <c r="AV36">
        <v>3</v>
      </c>
      <c r="AW36">
        <v>0.1</v>
      </c>
      <c r="AX36">
        <v>3.1</v>
      </c>
      <c r="AY36">
        <v>2.8</v>
      </c>
      <c r="AZ36" s="8">
        <v>4.9000000000000004</v>
      </c>
      <c r="BA36" s="8">
        <v>0.14277588963948215</v>
      </c>
      <c r="BB36" s="3">
        <v>0</v>
      </c>
    </row>
    <row r="37" spans="1:54" x14ac:dyDescent="0.25">
      <c r="A37" t="s">
        <v>155</v>
      </c>
      <c r="B37" s="2">
        <v>17142857</v>
      </c>
      <c r="C37" t="s">
        <v>62</v>
      </c>
      <c r="D37">
        <v>28</v>
      </c>
      <c r="E37" t="s">
        <v>113</v>
      </c>
      <c r="F37">
        <v>82</v>
      </c>
      <c r="G37">
        <v>70</v>
      </c>
      <c r="H37">
        <v>28.3</v>
      </c>
      <c r="I37">
        <v>4.3</v>
      </c>
      <c r="J37">
        <v>9.1999999999999993</v>
      </c>
      <c r="K37">
        <v>0.46200000000000002</v>
      </c>
      <c r="L37">
        <v>1.8</v>
      </c>
      <c r="M37">
        <v>4.8</v>
      </c>
      <c r="N37">
        <v>0.38100000000000001</v>
      </c>
      <c r="O37">
        <v>2.5</v>
      </c>
      <c r="P37">
        <v>4.5</v>
      </c>
      <c r="Q37">
        <v>0.54800000000000004</v>
      </c>
      <c r="R37">
        <v>0.56000000000000005</v>
      </c>
      <c r="S37">
        <v>2</v>
      </c>
      <c r="T37">
        <v>2.2999999999999998</v>
      </c>
      <c r="U37">
        <v>0.875</v>
      </c>
      <c r="V37">
        <v>0.6</v>
      </c>
      <c r="W37">
        <v>2.9</v>
      </c>
      <c r="X37">
        <v>3.6</v>
      </c>
      <c r="Y37">
        <v>3.9</v>
      </c>
      <c r="Z37">
        <v>0.7</v>
      </c>
      <c r="AA37">
        <v>0.9</v>
      </c>
      <c r="AB37">
        <v>1.2</v>
      </c>
      <c r="AC37">
        <v>2.2000000000000002</v>
      </c>
      <c r="AD37">
        <v>12.4</v>
      </c>
      <c r="AE37">
        <v>2319</v>
      </c>
      <c r="AF37">
        <v>15.4</v>
      </c>
      <c r="AG37">
        <v>0.60399999999999998</v>
      </c>
      <c r="AH37">
        <v>0.51600000000000001</v>
      </c>
      <c r="AI37">
        <v>0.253</v>
      </c>
      <c r="AJ37">
        <v>2.5</v>
      </c>
      <c r="AK37">
        <v>11.2</v>
      </c>
      <c r="AL37">
        <v>6.9</v>
      </c>
      <c r="AM37">
        <v>19.399999999999999</v>
      </c>
      <c r="AN37">
        <v>1.1000000000000001</v>
      </c>
      <c r="AO37">
        <v>2.8</v>
      </c>
      <c r="AP37">
        <v>10.1</v>
      </c>
      <c r="AQ37">
        <v>17.7</v>
      </c>
      <c r="AR37">
        <v>4.4000000000000004</v>
      </c>
      <c r="AS37">
        <v>3.1</v>
      </c>
      <c r="AT37">
        <v>7.4</v>
      </c>
      <c r="AU37">
        <v>0.154</v>
      </c>
      <c r="AV37">
        <v>1.1000000000000001</v>
      </c>
      <c r="AW37">
        <v>1.3</v>
      </c>
      <c r="AX37">
        <v>2.4</v>
      </c>
      <c r="AY37">
        <v>2.6</v>
      </c>
      <c r="AZ37" s="8">
        <v>4.9000000000000004</v>
      </c>
      <c r="BA37" s="8">
        <v>0.2858333357152778</v>
      </c>
      <c r="BB37" s="3">
        <v>0</v>
      </c>
    </row>
    <row r="38" spans="1:54" x14ac:dyDescent="0.25">
      <c r="A38" t="s">
        <v>125</v>
      </c>
      <c r="B38" s="2">
        <v>26500000</v>
      </c>
      <c r="C38" t="s">
        <v>75</v>
      </c>
      <c r="D38">
        <v>36</v>
      </c>
      <c r="E38" t="s">
        <v>113</v>
      </c>
      <c r="F38">
        <v>63</v>
      </c>
      <c r="G38">
        <v>63</v>
      </c>
      <c r="H38">
        <v>30.5</v>
      </c>
      <c r="I38">
        <v>3.6</v>
      </c>
      <c r="J38">
        <v>7.6</v>
      </c>
      <c r="K38">
        <v>0.47599999999999998</v>
      </c>
      <c r="L38">
        <v>2.2999999999999998</v>
      </c>
      <c r="M38">
        <v>5.2</v>
      </c>
      <c r="N38">
        <v>0.44600000000000001</v>
      </c>
      <c r="O38">
        <v>1.3</v>
      </c>
      <c r="P38">
        <v>2.4</v>
      </c>
      <c r="Q38">
        <v>0.53900000000000003</v>
      </c>
      <c r="R38">
        <v>0.627</v>
      </c>
      <c r="S38">
        <v>0.2</v>
      </c>
      <c r="T38">
        <v>0.3</v>
      </c>
      <c r="U38">
        <v>0.71399999999999997</v>
      </c>
      <c r="V38">
        <v>1.2</v>
      </c>
      <c r="W38">
        <v>5</v>
      </c>
      <c r="X38">
        <v>6.2</v>
      </c>
      <c r="Y38">
        <v>3</v>
      </c>
      <c r="Z38">
        <v>0.5</v>
      </c>
      <c r="AA38">
        <v>1</v>
      </c>
      <c r="AB38">
        <v>0.6</v>
      </c>
      <c r="AC38">
        <v>1.9</v>
      </c>
      <c r="AD38">
        <v>9.8000000000000007</v>
      </c>
      <c r="AE38">
        <v>1922</v>
      </c>
      <c r="AF38">
        <v>13.8</v>
      </c>
      <c r="AG38">
        <v>0.63100000000000001</v>
      </c>
      <c r="AH38">
        <v>0.67800000000000005</v>
      </c>
      <c r="AI38">
        <v>4.3999999999999997E-2</v>
      </c>
      <c r="AJ38">
        <v>4.2</v>
      </c>
      <c r="AK38">
        <v>17.7</v>
      </c>
      <c r="AL38">
        <v>11.1</v>
      </c>
      <c r="AM38">
        <v>13.2</v>
      </c>
      <c r="AN38">
        <v>0.8</v>
      </c>
      <c r="AO38">
        <v>2.7</v>
      </c>
      <c r="AP38">
        <v>7</v>
      </c>
      <c r="AQ38">
        <v>11.9</v>
      </c>
      <c r="AR38">
        <v>3.6</v>
      </c>
      <c r="AS38">
        <v>2.7</v>
      </c>
      <c r="AT38">
        <v>6.3</v>
      </c>
      <c r="AU38">
        <v>0.157</v>
      </c>
      <c r="AV38">
        <v>1.6</v>
      </c>
      <c r="AW38">
        <v>1.7</v>
      </c>
      <c r="AX38">
        <v>3.3</v>
      </c>
      <c r="AY38">
        <v>2.5</v>
      </c>
      <c r="AZ38" s="8">
        <v>4.8</v>
      </c>
      <c r="BA38" s="8">
        <v>0.1811320754716981</v>
      </c>
      <c r="BB38" s="3">
        <v>0</v>
      </c>
    </row>
    <row r="39" spans="1:54" x14ac:dyDescent="0.25">
      <c r="A39" t="s">
        <v>120</v>
      </c>
      <c r="B39" s="2">
        <v>28400000</v>
      </c>
      <c r="C39" t="s">
        <v>52</v>
      </c>
      <c r="D39">
        <v>37</v>
      </c>
      <c r="E39" t="s">
        <v>60</v>
      </c>
      <c r="F39">
        <v>59</v>
      </c>
      <c r="G39">
        <v>59</v>
      </c>
      <c r="H39">
        <v>32</v>
      </c>
      <c r="I39">
        <v>5</v>
      </c>
      <c r="J39">
        <v>11.3</v>
      </c>
      <c r="K39">
        <v>0.44</v>
      </c>
      <c r="L39">
        <v>1.7</v>
      </c>
      <c r="M39">
        <v>4.4000000000000004</v>
      </c>
      <c r="N39">
        <v>0.375</v>
      </c>
      <c r="O39">
        <v>3.3</v>
      </c>
      <c r="P39">
        <v>6.9</v>
      </c>
      <c r="Q39">
        <v>0.48199999999999998</v>
      </c>
      <c r="R39">
        <v>0.51300000000000001</v>
      </c>
      <c r="S39">
        <v>2.2999999999999998</v>
      </c>
      <c r="T39">
        <v>2.7</v>
      </c>
      <c r="U39">
        <v>0.83099999999999996</v>
      </c>
      <c r="V39">
        <v>0.5</v>
      </c>
      <c r="W39">
        <v>3.8</v>
      </c>
      <c r="X39">
        <v>4.3</v>
      </c>
      <c r="Y39">
        <v>8.9</v>
      </c>
      <c r="Z39">
        <v>1.5</v>
      </c>
      <c r="AA39">
        <v>0.4</v>
      </c>
      <c r="AB39">
        <v>1.9</v>
      </c>
      <c r="AC39">
        <v>2.1</v>
      </c>
      <c r="AD39">
        <v>13.9</v>
      </c>
      <c r="AE39">
        <v>1889</v>
      </c>
      <c r="AF39">
        <v>17.7</v>
      </c>
      <c r="AG39">
        <v>0.55500000000000005</v>
      </c>
      <c r="AH39">
        <v>0.39100000000000001</v>
      </c>
      <c r="AI39">
        <v>0.24</v>
      </c>
      <c r="AJ39">
        <v>1.6</v>
      </c>
      <c r="AK39">
        <v>13.4</v>
      </c>
      <c r="AL39">
        <v>7.4</v>
      </c>
      <c r="AM39">
        <v>38.700000000000003</v>
      </c>
      <c r="AN39">
        <v>2.4</v>
      </c>
      <c r="AO39">
        <v>1</v>
      </c>
      <c r="AP39">
        <v>13.4</v>
      </c>
      <c r="AQ39">
        <v>19.2</v>
      </c>
      <c r="AR39">
        <v>3.7</v>
      </c>
      <c r="AS39">
        <v>2.5</v>
      </c>
      <c r="AT39">
        <v>6.2</v>
      </c>
      <c r="AU39">
        <v>0.156</v>
      </c>
      <c r="AV39">
        <v>2</v>
      </c>
      <c r="AW39">
        <v>1.2</v>
      </c>
      <c r="AX39">
        <v>3.2</v>
      </c>
      <c r="AY39">
        <v>2.5</v>
      </c>
      <c r="AZ39" s="8">
        <v>4.7</v>
      </c>
      <c r="BA39" s="8">
        <v>0.16549295774647887</v>
      </c>
      <c r="BB39" s="3">
        <v>0</v>
      </c>
    </row>
    <row r="40" spans="1:54" x14ac:dyDescent="0.25">
      <c r="A40" t="s">
        <v>147</v>
      </c>
      <c r="B40" s="2">
        <v>18206896</v>
      </c>
      <c r="C40" t="s">
        <v>75</v>
      </c>
      <c r="D40">
        <v>28</v>
      </c>
      <c r="E40" t="s">
        <v>85</v>
      </c>
      <c r="F40">
        <v>65</v>
      </c>
      <c r="G40">
        <v>63</v>
      </c>
      <c r="H40">
        <v>26.6</v>
      </c>
      <c r="I40">
        <v>5.4</v>
      </c>
      <c r="J40">
        <v>8.1999999999999993</v>
      </c>
      <c r="K40">
        <v>0.65300000000000002</v>
      </c>
      <c r="L40">
        <v>0</v>
      </c>
      <c r="M40">
        <v>0</v>
      </c>
      <c r="N40">
        <v>0</v>
      </c>
      <c r="O40">
        <v>5.4</v>
      </c>
      <c r="P40">
        <v>8.1999999999999993</v>
      </c>
      <c r="Q40">
        <v>0.65400000000000003</v>
      </c>
      <c r="R40">
        <v>0.65300000000000002</v>
      </c>
      <c r="S40">
        <v>1.2</v>
      </c>
      <c r="T40">
        <v>2</v>
      </c>
      <c r="U40">
        <v>0.60299999999999998</v>
      </c>
      <c r="V40">
        <v>4</v>
      </c>
      <c r="W40">
        <v>7.1</v>
      </c>
      <c r="X40">
        <v>11</v>
      </c>
      <c r="Y40">
        <v>0.9</v>
      </c>
      <c r="Z40">
        <v>0.7</v>
      </c>
      <c r="AA40">
        <v>1.2</v>
      </c>
      <c r="AB40">
        <v>0.8</v>
      </c>
      <c r="AC40">
        <v>2.1</v>
      </c>
      <c r="AD40">
        <v>12</v>
      </c>
      <c r="AE40">
        <v>1730</v>
      </c>
      <c r="AF40">
        <v>22.1</v>
      </c>
      <c r="AG40">
        <v>0.65600000000000003</v>
      </c>
      <c r="AH40">
        <v>2E-3</v>
      </c>
      <c r="AI40">
        <v>0.24399999999999999</v>
      </c>
      <c r="AJ40">
        <v>16.100000000000001</v>
      </c>
      <c r="AK40">
        <v>29.4</v>
      </c>
      <c r="AL40">
        <v>22.7</v>
      </c>
      <c r="AM40">
        <v>4.7</v>
      </c>
      <c r="AN40">
        <v>1.2</v>
      </c>
      <c r="AO40">
        <v>3.9</v>
      </c>
      <c r="AP40">
        <v>8.3000000000000007</v>
      </c>
      <c r="AQ40">
        <v>15.7</v>
      </c>
      <c r="AR40">
        <v>4.9000000000000004</v>
      </c>
      <c r="AS40">
        <v>2.4</v>
      </c>
      <c r="AT40">
        <v>7.2</v>
      </c>
      <c r="AU40">
        <v>0.20100000000000001</v>
      </c>
      <c r="AV40">
        <v>2.2999999999999998</v>
      </c>
      <c r="AW40">
        <v>-0.1</v>
      </c>
      <c r="AX40">
        <v>2.2000000000000002</v>
      </c>
      <c r="AY40">
        <v>1.8</v>
      </c>
      <c r="AZ40" s="8">
        <v>4.7</v>
      </c>
      <c r="BA40" s="8">
        <v>0.25814394721648326</v>
      </c>
      <c r="BB40" s="3">
        <v>0</v>
      </c>
    </row>
    <row r="41" spans="1:54" x14ac:dyDescent="0.25">
      <c r="A41" t="s">
        <v>394</v>
      </c>
      <c r="B41" s="2">
        <v>2130240</v>
      </c>
      <c r="C41" t="s">
        <v>62</v>
      </c>
      <c r="D41">
        <v>24</v>
      </c>
      <c r="E41" t="s">
        <v>150</v>
      </c>
      <c r="F41">
        <v>58</v>
      </c>
      <c r="G41">
        <v>58</v>
      </c>
      <c r="H41">
        <v>31.7</v>
      </c>
      <c r="I41">
        <v>7.8</v>
      </c>
      <c r="J41">
        <v>16.2</v>
      </c>
      <c r="K41">
        <v>0.47899999999999998</v>
      </c>
      <c r="L41">
        <v>2.9</v>
      </c>
      <c r="M41">
        <v>7</v>
      </c>
      <c r="N41">
        <v>0.40799999999999997</v>
      </c>
      <c r="O41">
        <v>4.9000000000000004</v>
      </c>
      <c r="P41">
        <v>9.1999999999999993</v>
      </c>
      <c r="Q41">
        <v>0.53400000000000003</v>
      </c>
      <c r="R41">
        <v>0.56799999999999995</v>
      </c>
      <c r="S41">
        <v>3.1</v>
      </c>
      <c r="T41">
        <v>3.5</v>
      </c>
      <c r="U41">
        <v>0.88300000000000001</v>
      </c>
      <c r="V41">
        <v>0.7</v>
      </c>
      <c r="W41">
        <v>4.3</v>
      </c>
      <c r="X41">
        <v>5</v>
      </c>
      <c r="Y41">
        <v>4.4000000000000004</v>
      </c>
      <c r="Z41">
        <v>1</v>
      </c>
      <c r="AA41">
        <v>0.4</v>
      </c>
      <c r="AB41">
        <v>2.2000000000000002</v>
      </c>
      <c r="AC41">
        <v>2.6</v>
      </c>
      <c r="AD41">
        <v>21.5</v>
      </c>
      <c r="AE41">
        <v>1841</v>
      </c>
      <c r="AF41">
        <v>19.100000000000001</v>
      </c>
      <c r="AG41">
        <v>0.60599999999999998</v>
      </c>
      <c r="AH41">
        <v>0.433</v>
      </c>
      <c r="AI41">
        <v>0.218</v>
      </c>
      <c r="AJ41">
        <v>2.5</v>
      </c>
      <c r="AK41">
        <v>14.3</v>
      </c>
      <c r="AL41">
        <v>8.4</v>
      </c>
      <c r="AM41">
        <v>20.8</v>
      </c>
      <c r="AN41">
        <v>1.4</v>
      </c>
      <c r="AO41">
        <v>1.1000000000000001</v>
      </c>
      <c r="AP41">
        <v>10.9</v>
      </c>
      <c r="AQ41">
        <v>26.1</v>
      </c>
      <c r="AR41">
        <v>3.5</v>
      </c>
      <c r="AS41">
        <v>2.2999999999999998</v>
      </c>
      <c r="AT41">
        <v>5.8</v>
      </c>
      <c r="AU41">
        <v>0.151</v>
      </c>
      <c r="AV41">
        <v>3.3</v>
      </c>
      <c r="AW41">
        <v>0.1</v>
      </c>
      <c r="AX41">
        <v>3.5</v>
      </c>
      <c r="AY41">
        <v>2.5</v>
      </c>
      <c r="AZ41" s="8">
        <v>4.6500000000000004</v>
      </c>
      <c r="BA41" s="8">
        <v>2.1828526363226679</v>
      </c>
      <c r="BB41" s="3">
        <v>0</v>
      </c>
    </row>
    <row r="42" spans="1:54" x14ac:dyDescent="0.25">
      <c r="A42" t="s">
        <v>139</v>
      </c>
      <c r="B42" s="2">
        <v>20100000</v>
      </c>
      <c r="C42" t="s">
        <v>62</v>
      </c>
      <c r="D42">
        <v>26</v>
      </c>
      <c r="E42" t="s">
        <v>60</v>
      </c>
      <c r="F42">
        <v>83</v>
      </c>
      <c r="G42">
        <v>83</v>
      </c>
      <c r="H42">
        <v>35.700000000000003</v>
      </c>
      <c r="I42">
        <v>7.1</v>
      </c>
      <c r="J42">
        <v>15.3</v>
      </c>
      <c r="K42">
        <v>0.46800000000000003</v>
      </c>
      <c r="L42">
        <v>2</v>
      </c>
      <c r="M42">
        <v>5.3</v>
      </c>
      <c r="N42">
        <v>0.38200000000000001</v>
      </c>
      <c r="O42">
        <v>5.0999999999999996</v>
      </c>
      <c r="P42">
        <v>9.9</v>
      </c>
      <c r="Q42">
        <v>0.51400000000000001</v>
      </c>
      <c r="R42">
        <v>0.53500000000000003</v>
      </c>
      <c r="S42">
        <v>3.8</v>
      </c>
      <c r="T42">
        <v>4.3</v>
      </c>
      <c r="U42">
        <v>0.89500000000000002</v>
      </c>
      <c r="V42">
        <v>1</v>
      </c>
      <c r="W42">
        <v>3.4</v>
      </c>
      <c r="X42">
        <v>4.4000000000000004</v>
      </c>
      <c r="Y42">
        <v>3.3</v>
      </c>
      <c r="Z42">
        <v>1.1000000000000001</v>
      </c>
      <c r="AA42">
        <v>0.7</v>
      </c>
      <c r="AB42">
        <v>1.5</v>
      </c>
      <c r="AC42">
        <v>1.9</v>
      </c>
      <c r="AD42">
        <v>20.100000000000001</v>
      </c>
      <c r="AE42">
        <v>2963</v>
      </c>
      <c r="AF42">
        <v>16.8</v>
      </c>
      <c r="AG42">
        <v>0.58699999999999997</v>
      </c>
      <c r="AH42">
        <v>0.34899999999999998</v>
      </c>
      <c r="AI42">
        <v>0.27900000000000003</v>
      </c>
      <c r="AJ42">
        <v>2.9</v>
      </c>
      <c r="AK42">
        <v>10.8</v>
      </c>
      <c r="AL42">
        <v>6.8</v>
      </c>
      <c r="AM42">
        <v>13.7</v>
      </c>
      <c r="AN42">
        <v>1.5</v>
      </c>
      <c r="AO42">
        <v>1.8</v>
      </c>
      <c r="AP42">
        <v>8.1999999999999993</v>
      </c>
      <c r="AQ42">
        <v>22.6</v>
      </c>
      <c r="AR42">
        <v>4.4000000000000004</v>
      </c>
      <c r="AS42">
        <v>3.1</v>
      </c>
      <c r="AT42">
        <v>7.5</v>
      </c>
      <c r="AU42">
        <v>0.121</v>
      </c>
      <c r="AV42">
        <v>1.5</v>
      </c>
      <c r="AW42">
        <v>0.2</v>
      </c>
      <c r="AX42">
        <v>1.7</v>
      </c>
      <c r="AY42">
        <v>2.8</v>
      </c>
      <c r="AZ42" s="8">
        <v>4.5999999999999996</v>
      </c>
      <c r="BA42" s="8">
        <v>0.22885572139303484</v>
      </c>
      <c r="BB42" s="3">
        <v>0</v>
      </c>
    </row>
    <row r="43" spans="1:54" x14ac:dyDescent="0.25">
      <c r="A43" t="s">
        <v>86</v>
      </c>
      <c r="B43" s="2">
        <v>37096500</v>
      </c>
      <c r="C43" t="s">
        <v>62</v>
      </c>
      <c r="D43">
        <v>27</v>
      </c>
      <c r="E43" t="s">
        <v>87</v>
      </c>
      <c r="F43">
        <v>77</v>
      </c>
      <c r="G43">
        <v>77</v>
      </c>
      <c r="H43">
        <v>35.9</v>
      </c>
      <c r="I43">
        <v>8.6999999999999993</v>
      </c>
      <c r="J43">
        <v>18</v>
      </c>
      <c r="K43">
        <v>0.48499999999999999</v>
      </c>
      <c r="L43">
        <v>2.6</v>
      </c>
      <c r="M43">
        <v>7.1</v>
      </c>
      <c r="N43">
        <v>0.375</v>
      </c>
      <c r="O43">
        <v>6.1</v>
      </c>
      <c r="P43">
        <v>11</v>
      </c>
      <c r="Q43">
        <v>0.55600000000000005</v>
      </c>
      <c r="R43">
        <v>0.55800000000000005</v>
      </c>
      <c r="S43">
        <v>4.7</v>
      </c>
      <c r="T43">
        <v>5.6</v>
      </c>
      <c r="U43">
        <v>0.84799999999999998</v>
      </c>
      <c r="V43">
        <v>0.5</v>
      </c>
      <c r="W43">
        <v>3.9</v>
      </c>
      <c r="X43">
        <v>4.5</v>
      </c>
      <c r="Y43">
        <v>4.2</v>
      </c>
      <c r="Z43">
        <v>0.9</v>
      </c>
      <c r="AA43">
        <v>0.2</v>
      </c>
      <c r="AB43">
        <v>2.5</v>
      </c>
      <c r="AC43">
        <v>2.1</v>
      </c>
      <c r="AD43">
        <v>24.8</v>
      </c>
      <c r="AE43">
        <v>2768</v>
      </c>
      <c r="AF43">
        <v>19</v>
      </c>
      <c r="AG43">
        <v>0.60699999999999998</v>
      </c>
      <c r="AH43">
        <v>0.39200000000000002</v>
      </c>
      <c r="AI43">
        <v>0.308</v>
      </c>
      <c r="AJ43">
        <v>1.7</v>
      </c>
      <c r="AK43">
        <v>12.2</v>
      </c>
      <c r="AL43">
        <v>7.1</v>
      </c>
      <c r="AM43">
        <v>18.7</v>
      </c>
      <c r="AN43">
        <v>1.2</v>
      </c>
      <c r="AO43">
        <v>0.6</v>
      </c>
      <c r="AP43">
        <v>11</v>
      </c>
      <c r="AQ43">
        <v>28.3</v>
      </c>
      <c r="AR43">
        <v>4.2</v>
      </c>
      <c r="AS43">
        <v>2.9</v>
      </c>
      <c r="AT43">
        <v>7.1</v>
      </c>
      <c r="AU43">
        <v>0.123</v>
      </c>
      <c r="AV43">
        <v>2.7</v>
      </c>
      <c r="AW43">
        <v>-0.7</v>
      </c>
      <c r="AX43">
        <v>1.9</v>
      </c>
      <c r="AY43">
        <v>2.7</v>
      </c>
      <c r="AZ43" s="8">
        <v>4.5</v>
      </c>
      <c r="BA43" s="8">
        <v>0.12130524443006753</v>
      </c>
      <c r="BB43" s="3">
        <v>0</v>
      </c>
    </row>
    <row r="44" spans="1:54" x14ac:dyDescent="0.25">
      <c r="A44" t="s">
        <v>134</v>
      </c>
      <c r="B44" s="2">
        <v>21250000</v>
      </c>
      <c r="C44" t="s">
        <v>52</v>
      </c>
      <c r="D44">
        <v>28</v>
      </c>
      <c r="E44" t="s">
        <v>91</v>
      </c>
      <c r="F44">
        <v>69</v>
      </c>
      <c r="G44">
        <v>69</v>
      </c>
      <c r="H44">
        <v>36.700000000000003</v>
      </c>
      <c r="I44">
        <v>6.3</v>
      </c>
      <c r="J44">
        <v>16.100000000000001</v>
      </c>
      <c r="K44">
        <v>0.39300000000000002</v>
      </c>
      <c r="L44">
        <v>3</v>
      </c>
      <c r="M44">
        <v>8.8000000000000007</v>
      </c>
      <c r="N44">
        <v>0.34200000000000003</v>
      </c>
      <c r="O44">
        <v>3.3</v>
      </c>
      <c r="P44">
        <v>7.3</v>
      </c>
      <c r="Q44">
        <v>0.45500000000000002</v>
      </c>
      <c r="R44">
        <v>0.48599999999999999</v>
      </c>
      <c r="S44">
        <v>3.7</v>
      </c>
      <c r="T44">
        <v>4.0999999999999996</v>
      </c>
      <c r="U44">
        <v>0.89800000000000002</v>
      </c>
      <c r="V44">
        <v>0.4</v>
      </c>
      <c r="W44">
        <v>3.6</v>
      </c>
      <c r="X44">
        <v>4.0999999999999996</v>
      </c>
      <c r="Y44">
        <v>7.2</v>
      </c>
      <c r="Z44">
        <v>1.8</v>
      </c>
      <c r="AA44">
        <v>0.6</v>
      </c>
      <c r="AB44">
        <v>2</v>
      </c>
      <c r="AC44">
        <v>2.8</v>
      </c>
      <c r="AD44">
        <v>19.3</v>
      </c>
      <c r="AE44">
        <v>2535</v>
      </c>
      <c r="AF44">
        <v>17</v>
      </c>
      <c r="AG44">
        <v>0.54</v>
      </c>
      <c r="AH44">
        <v>0.54500000000000004</v>
      </c>
      <c r="AI44">
        <v>0.254</v>
      </c>
      <c r="AJ44">
        <v>1.2</v>
      </c>
      <c r="AK44">
        <v>12</v>
      </c>
      <c r="AL44">
        <v>6.3</v>
      </c>
      <c r="AM44">
        <v>28.1</v>
      </c>
      <c r="AN44">
        <v>2.4</v>
      </c>
      <c r="AO44">
        <v>1.5</v>
      </c>
      <c r="AP44">
        <v>10.199999999999999</v>
      </c>
      <c r="AQ44">
        <v>23.2</v>
      </c>
      <c r="AR44">
        <v>3.7</v>
      </c>
      <c r="AS44">
        <v>2.8</v>
      </c>
      <c r="AT44">
        <v>6.5</v>
      </c>
      <c r="AU44">
        <v>0.123</v>
      </c>
      <c r="AV44">
        <v>2</v>
      </c>
      <c r="AW44">
        <v>0.5</v>
      </c>
      <c r="AX44">
        <v>2.5</v>
      </c>
      <c r="AY44">
        <v>2.9</v>
      </c>
      <c r="AZ44" s="8">
        <v>4.5</v>
      </c>
      <c r="BA44" s="8">
        <v>0.21176470588235294</v>
      </c>
      <c r="BB44" s="3">
        <v>0</v>
      </c>
    </row>
    <row r="45" spans="1:54" x14ac:dyDescent="0.25">
      <c r="A45" t="s">
        <v>114</v>
      </c>
      <c r="B45" s="2">
        <v>30351780</v>
      </c>
      <c r="C45" t="s">
        <v>75</v>
      </c>
      <c r="D45">
        <v>25</v>
      </c>
      <c r="E45" t="s">
        <v>80</v>
      </c>
      <c r="F45">
        <v>75</v>
      </c>
      <c r="G45">
        <v>75</v>
      </c>
      <c r="H45">
        <v>34.6</v>
      </c>
      <c r="I45">
        <v>8</v>
      </c>
      <c r="J45">
        <v>14.9</v>
      </c>
      <c r="K45">
        <v>0.54</v>
      </c>
      <c r="L45">
        <v>0</v>
      </c>
      <c r="M45">
        <v>0.2</v>
      </c>
      <c r="N45">
        <v>8.3000000000000004E-2</v>
      </c>
      <c r="O45">
        <v>8</v>
      </c>
      <c r="P45">
        <v>14.7</v>
      </c>
      <c r="Q45">
        <v>0.54500000000000004</v>
      </c>
      <c r="R45">
        <v>0.54100000000000004</v>
      </c>
      <c r="S45">
        <v>4.3</v>
      </c>
      <c r="T45">
        <v>5.4</v>
      </c>
      <c r="U45">
        <v>0.80600000000000005</v>
      </c>
      <c r="V45">
        <v>2.5</v>
      </c>
      <c r="W45">
        <v>6.7</v>
      </c>
      <c r="X45">
        <v>9.1999999999999993</v>
      </c>
      <c r="Y45">
        <v>3.2</v>
      </c>
      <c r="Z45">
        <v>1.2</v>
      </c>
      <c r="AA45">
        <v>0.8</v>
      </c>
      <c r="AB45">
        <v>2.5</v>
      </c>
      <c r="AC45">
        <v>2.8</v>
      </c>
      <c r="AD45">
        <v>20.399999999999999</v>
      </c>
      <c r="AE45">
        <v>2598</v>
      </c>
      <c r="AF45">
        <v>20.100000000000001</v>
      </c>
      <c r="AG45">
        <v>0.59199999999999997</v>
      </c>
      <c r="AH45">
        <v>1.0999999999999999E-2</v>
      </c>
      <c r="AI45">
        <v>0.36099999999999999</v>
      </c>
      <c r="AJ45">
        <v>8</v>
      </c>
      <c r="AK45">
        <v>23.6</v>
      </c>
      <c r="AL45">
        <v>15.5</v>
      </c>
      <c r="AM45">
        <v>15.9</v>
      </c>
      <c r="AN45">
        <v>1.7</v>
      </c>
      <c r="AO45">
        <v>2.4</v>
      </c>
      <c r="AP45">
        <v>12.7</v>
      </c>
      <c r="AQ45">
        <v>25.2</v>
      </c>
      <c r="AR45">
        <v>3.6</v>
      </c>
      <c r="AS45">
        <v>3.8</v>
      </c>
      <c r="AT45">
        <v>7.4</v>
      </c>
      <c r="AU45">
        <v>0.13700000000000001</v>
      </c>
      <c r="AV45">
        <v>0.8</v>
      </c>
      <c r="AW45">
        <v>0.8</v>
      </c>
      <c r="AX45">
        <v>1.5</v>
      </c>
      <c r="AY45">
        <v>2.2999999999999998</v>
      </c>
      <c r="AZ45" s="8">
        <v>4.45</v>
      </c>
      <c r="BA45" s="8">
        <v>0.14661413597489176</v>
      </c>
      <c r="BB45" s="3">
        <v>0</v>
      </c>
    </row>
    <row r="46" spans="1:54" x14ac:dyDescent="0.25">
      <c r="A46" t="s">
        <v>138</v>
      </c>
      <c r="B46" s="2">
        <v>20690909</v>
      </c>
      <c r="C46" t="s">
        <v>28</v>
      </c>
      <c r="D46">
        <v>27</v>
      </c>
      <c r="E46" t="s">
        <v>103</v>
      </c>
      <c r="F46">
        <v>68</v>
      </c>
      <c r="G46">
        <v>68</v>
      </c>
      <c r="H46">
        <v>30.2</v>
      </c>
      <c r="I46">
        <v>6.3</v>
      </c>
      <c r="J46">
        <v>11.2</v>
      </c>
      <c r="K46">
        <v>0.56399999999999995</v>
      </c>
      <c r="L46">
        <v>0.9</v>
      </c>
      <c r="M46">
        <v>2.5</v>
      </c>
      <c r="N46">
        <v>0.34699999999999998</v>
      </c>
      <c r="O46">
        <v>5.4</v>
      </c>
      <c r="P46">
        <v>8.6</v>
      </c>
      <c r="Q46">
        <v>0.628</v>
      </c>
      <c r="R46">
        <v>0.60299999999999998</v>
      </c>
      <c r="S46">
        <v>2.8</v>
      </c>
      <c r="T46">
        <v>4.5999999999999996</v>
      </c>
      <c r="U46">
        <v>0.60799999999999998</v>
      </c>
      <c r="V46">
        <v>2.4</v>
      </c>
      <c r="W46">
        <v>4.0999999999999996</v>
      </c>
      <c r="X46">
        <v>6.6</v>
      </c>
      <c r="Y46">
        <v>3</v>
      </c>
      <c r="Z46">
        <v>0.8</v>
      </c>
      <c r="AA46">
        <v>0.8</v>
      </c>
      <c r="AB46">
        <v>1.4</v>
      </c>
      <c r="AC46">
        <v>1.9</v>
      </c>
      <c r="AD46">
        <v>16.3</v>
      </c>
      <c r="AE46">
        <v>2055</v>
      </c>
      <c r="AF46">
        <v>19.5</v>
      </c>
      <c r="AG46">
        <v>0.61699999999999999</v>
      </c>
      <c r="AH46">
        <v>0.22700000000000001</v>
      </c>
      <c r="AI46">
        <v>0.41299999999999998</v>
      </c>
      <c r="AJ46">
        <v>9.4</v>
      </c>
      <c r="AK46">
        <v>15.4</v>
      </c>
      <c r="AL46">
        <v>12.5</v>
      </c>
      <c r="AM46">
        <v>14.2</v>
      </c>
      <c r="AN46">
        <v>1.3</v>
      </c>
      <c r="AO46">
        <v>2.2000000000000002</v>
      </c>
      <c r="AP46">
        <v>9.8000000000000007</v>
      </c>
      <c r="AQ46">
        <v>21.1</v>
      </c>
      <c r="AR46">
        <v>4.5999999999999996</v>
      </c>
      <c r="AS46">
        <v>2.2000000000000002</v>
      </c>
      <c r="AT46">
        <v>6.8</v>
      </c>
      <c r="AU46">
        <v>0.158</v>
      </c>
      <c r="AV46">
        <v>2.4</v>
      </c>
      <c r="AW46">
        <v>-0.3</v>
      </c>
      <c r="AX46">
        <v>2.1</v>
      </c>
      <c r="AY46">
        <v>2.1</v>
      </c>
      <c r="AZ46" s="8">
        <v>4.45</v>
      </c>
      <c r="BA46" s="8">
        <v>0.21507029971472011</v>
      </c>
      <c r="BB46" s="3">
        <v>0</v>
      </c>
    </row>
    <row r="47" spans="1:54" x14ac:dyDescent="0.25">
      <c r="A47" t="s">
        <v>157</v>
      </c>
      <c r="B47" s="2">
        <v>17045454</v>
      </c>
      <c r="C47" t="s">
        <v>75</v>
      </c>
      <c r="D47">
        <v>24</v>
      </c>
      <c r="E47" t="s">
        <v>123</v>
      </c>
      <c r="F47">
        <v>59</v>
      </c>
      <c r="G47">
        <v>58</v>
      </c>
      <c r="H47">
        <v>27</v>
      </c>
      <c r="I47">
        <v>3.2</v>
      </c>
      <c r="J47">
        <v>4.7</v>
      </c>
      <c r="K47">
        <v>0.67100000000000004</v>
      </c>
      <c r="L47">
        <v>0</v>
      </c>
      <c r="M47">
        <v>0</v>
      </c>
      <c r="O47">
        <v>3.2</v>
      </c>
      <c r="P47">
        <v>4.7</v>
      </c>
      <c r="Q47">
        <v>0.67100000000000004</v>
      </c>
      <c r="R47">
        <v>0.67100000000000004</v>
      </c>
      <c r="S47">
        <v>1</v>
      </c>
      <c r="T47">
        <v>2.1</v>
      </c>
      <c r="U47">
        <v>0.48399999999999999</v>
      </c>
      <c r="V47">
        <v>4.5</v>
      </c>
      <c r="W47">
        <v>4.9000000000000004</v>
      </c>
      <c r="X47">
        <v>9.4</v>
      </c>
      <c r="Y47">
        <v>0.9</v>
      </c>
      <c r="Z47">
        <v>0.9</v>
      </c>
      <c r="AA47">
        <v>1.8</v>
      </c>
      <c r="AB47">
        <v>0.7</v>
      </c>
      <c r="AC47">
        <v>2.7</v>
      </c>
      <c r="AD47">
        <v>7.4</v>
      </c>
      <c r="AE47">
        <v>1591</v>
      </c>
      <c r="AF47">
        <v>18.899999999999999</v>
      </c>
      <c r="AG47">
        <v>0.65200000000000002</v>
      </c>
      <c r="AH47">
        <v>0</v>
      </c>
      <c r="AI47">
        <v>0.436</v>
      </c>
      <c r="AJ47">
        <v>18.399999999999999</v>
      </c>
      <c r="AK47">
        <v>20</v>
      </c>
      <c r="AL47">
        <v>19.2</v>
      </c>
      <c r="AM47">
        <v>4.5</v>
      </c>
      <c r="AN47">
        <v>1.7</v>
      </c>
      <c r="AO47">
        <v>6.5</v>
      </c>
      <c r="AP47">
        <v>10.9</v>
      </c>
      <c r="AQ47">
        <v>10.1</v>
      </c>
      <c r="AR47">
        <v>4</v>
      </c>
      <c r="AS47">
        <v>2.6</v>
      </c>
      <c r="AT47">
        <v>6.5</v>
      </c>
      <c r="AU47">
        <v>0.19700000000000001</v>
      </c>
      <c r="AV47">
        <v>1</v>
      </c>
      <c r="AW47">
        <v>1.4</v>
      </c>
      <c r="AX47">
        <v>2.4</v>
      </c>
      <c r="AY47">
        <v>1.7</v>
      </c>
      <c r="AZ47" s="8">
        <v>4.45</v>
      </c>
      <c r="BA47" s="8">
        <v>0.26106667502080028</v>
      </c>
      <c r="BB47" s="3">
        <v>0</v>
      </c>
    </row>
    <row r="48" spans="1:54" x14ac:dyDescent="0.25">
      <c r="A48" t="s">
        <v>131</v>
      </c>
      <c r="B48" s="2">
        <v>22600000</v>
      </c>
      <c r="C48" t="s">
        <v>52</v>
      </c>
      <c r="D48">
        <v>30</v>
      </c>
      <c r="E48" t="s">
        <v>113</v>
      </c>
      <c r="F48">
        <v>67</v>
      </c>
      <c r="G48">
        <v>0</v>
      </c>
      <c r="H48">
        <v>26</v>
      </c>
      <c r="I48">
        <v>5.3</v>
      </c>
      <c r="J48">
        <v>10.9</v>
      </c>
      <c r="K48">
        <v>0.48399999999999999</v>
      </c>
      <c r="L48">
        <v>2</v>
      </c>
      <c r="M48">
        <v>4.4000000000000004</v>
      </c>
      <c r="N48">
        <v>0.44400000000000001</v>
      </c>
      <c r="O48">
        <v>3.3</v>
      </c>
      <c r="P48">
        <v>6.5</v>
      </c>
      <c r="Q48">
        <v>0.51</v>
      </c>
      <c r="R48">
        <v>0.57399999999999995</v>
      </c>
      <c r="S48">
        <v>2.4</v>
      </c>
      <c r="T48">
        <v>2.7</v>
      </c>
      <c r="U48">
        <v>0.87</v>
      </c>
      <c r="V48">
        <v>0.6</v>
      </c>
      <c r="W48">
        <v>3.6</v>
      </c>
      <c r="X48">
        <v>4.2</v>
      </c>
      <c r="Y48">
        <v>3.7</v>
      </c>
      <c r="Z48">
        <v>0.7</v>
      </c>
      <c r="AA48">
        <v>0.3</v>
      </c>
      <c r="AB48">
        <v>1.5</v>
      </c>
      <c r="AC48">
        <v>1.6</v>
      </c>
      <c r="AD48">
        <v>14.9</v>
      </c>
      <c r="AE48">
        <v>1744</v>
      </c>
      <c r="AF48">
        <v>18.2</v>
      </c>
      <c r="AG48">
        <v>0.61499999999999999</v>
      </c>
      <c r="AH48">
        <v>0.40600000000000003</v>
      </c>
      <c r="AI48">
        <v>0.251</v>
      </c>
      <c r="AJ48">
        <v>2.7</v>
      </c>
      <c r="AK48">
        <v>14.7</v>
      </c>
      <c r="AL48">
        <v>8.8000000000000007</v>
      </c>
      <c r="AM48">
        <v>21.5</v>
      </c>
      <c r="AN48">
        <v>1.3</v>
      </c>
      <c r="AO48">
        <v>0.9</v>
      </c>
      <c r="AP48">
        <v>10.8</v>
      </c>
      <c r="AQ48">
        <v>22.8</v>
      </c>
      <c r="AR48">
        <v>3.6</v>
      </c>
      <c r="AS48">
        <v>2.2000000000000002</v>
      </c>
      <c r="AT48">
        <v>5.8</v>
      </c>
      <c r="AU48">
        <v>0.161</v>
      </c>
      <c r="AV48">
        <v>2.2999999999999998</v>
      </c>
      <c r="AW48">
        <v>0.6</v>
      </c>
      <c r="AX48">
        <v>2.8</v>
      </c>
      <c r="AY48">
        <v>2.1</v>
      </c>
      <c r="AZ48" s="8">
        <v>4.3</v>
      </c>
      <c r="BA48" s="8">
        <v>0.19026548672566371</v>
      </c>
      <c r="BB48" s="3">
        <v>0</v>
      </c>
    </row>
    <row r="49" spans="1:54" x14ac:dyDescent="0.25">
      <c r="A49" t="s">
        <v>74</v>
      </c>
      <c r="B49" s="2">
        <v>38172414</v>
      </c>
      <c r="C49" t="s">
        <v>75</v>
      </c>
      <c r="D49">
        <v>30</v>
      </c>
      <c r="E49" t="s">
        <v>76</v>
      </c>
      <c r="F49">
        <v>70</v>
      </c>
      <c r="G49">
        <v>70</v>
      </c>
      <c r="H49">
        <v>30.7</v>
      </c>
      <c r="I49">
        <v>5.0999999999999996</v>
      </c>
      <c r="J49">
        <v>7.8</v>
      </c>
      <c r="K49">
        <v>0.65900000000000003</v>
      </c>
      <c r="L49">
        <v>0</v>
      </c>
      <c r="M49">
        <v>0</v>
      </c>
      <c r="N49">
        <v>0</v>
      </c>
      <c r="O49">
        <v>5.0999999999999996</v>
      </c>
      <c r="P49">
        <v>7.8</v>
      </c>
      <c r="Q49">
        <v>0.66300000000000003</v>
      </c>
      <c r="R49">
        <v>0.65900000000000003</v>
      </c>
      <c r="S49">
        <v>3.1</v>
      </c>
      <c r="T49">
        <v>4.9000000000000004</v>
      </c>
      <c r="U49">
        <v>0.64400000000000002</v>
      </c>
      <c r="V49">
        <v>3.3</v>
      </c>
      <c r="W49">
        <v>8.3000000000000007</v>
      </c>
      <c r="X49">
        <v>11.6</v>
      </c>
      <c r="Y49">
        <v>1.2</v>
      </c>
      <c r="Z49">
        <v>0.8</v>
      </c>
      <c r="AA49">
        <v>1.4</v>
      </c>
      <c r="AB49">
        <v>1.7</v>
      </c>
      <c r="AC49">
        <v>3</v>
      </c>
      <c r="AD49">
        <v>13.4</v>
      </c>
      <c r="AE49">
        <v>2148</v>
      </c>
      <c r="AF49">
        <v>18.899999999999999</v>
      </c>
      <c r="AG49">
        <v>0.67500000000000004</v>
      </c>
      <c r="AH49">
        <v>5.0000000000000001E-3</v>
      </c>
      <c r="AI49">
        <v>0.623</v>
      </c>
      <c r="AJ49">
        <v>12.2</v>
      </c>
      <c r="AK49">
        <v>29.8</v>
      </c>
      <c r="AL49">
        <v>21.2</v>
      </c>
      <c r="AM49">
        <v>5.6</v>
      </c>
      <c r="AN49">
        <v>1.2</v>
      </c>
      <c r="AO49">
        <v>3.9</v>
      </c>
      <c r="AP49">
        <v>14.9</v>
      </c>
      <c r="AQ49">
        <v>16.3</v>
      </c>
      <c r="AR49">
        <v>4.3</v>
      </c>
      <c r="AS49">
        <v>3.5</v>
      </c>
      <c r="AT49">
        <v>7.8</v>
      </c>
      <c r="AU49">
        <v>0.17399999999999999</v>
      </c>
      <c r="AV49">
        <v>0</v>
      </c>
      <c r="AW49">
        <v>0.7</v>
      </c>
      <c r="AX49">
        <v>0.7</v>
      </c>
      <c r="AY49">
        <v>1.4</v>
      </c>
      <c r="AZ49" s="8">
        <v>4.25</v>
      </c>
      <c r="BA49" s="8">
        <v>0.11133694609934808</v>
      </c>
      <c r="BB49" s="3">
        <v>0</v>
      </c>
    </row>
    <row r="50" spans="1:54" x14ac:dyDescent="0.25">
      <c r="A50" t="s">
        <v>374</v>
      </c>
      <c r="B50" s="2">
        <v>2316240</v>
      </c>
      <c r="C50" t="s">
        <v>62</v>
      </c>
      <c r="D50">
        <v>23</v>
      </c>
      <c r="E50" t="s">
        <v>123</v>
      </c>
      <c r="F50">
        <v>81</v>
      </c>
      <c r="G50">
        <v>21</v>
      </c>
      <c r="H50">
        <v>28.9</v>
      </c>
      <c r="I50">
        <v>5.2</v>
      </c>
      <c r="J50">
        <v>11.6</v>
      </c>
      <c r="K50">
        <v>0.44800000000000001</v>
      </c>
      <c r="L50">
        <v>2.1</v>
      </c>
      <c r="M50">
        <v>5.6</v>
      </c>
      <c r="N50">
        <v>0.37</v>
      </c>
      <c r="O50">
        <v>3.1</v>
      </c>
      <c r="P50">
        <v>6</v>
      </c>
      <c r="Q50">
        <v>0.52100000000000002</v>
      </c>
      <c r="R50">
        <v>0.53700000000000003</v>
      </c>
      <c r="S50">
        <v>2.5</v>
      </c>
      <c r="T50">
        <v>3.1</v>
      </c>
      <c r="U50">
        <v>0.81899999999999995</v>
      </c>
      <c r="V50">
        <v>0.7</v>
      </c>
      <c r="W50">
        <v>3.4</v>
      </c>
      <c r="X50">
        <v>4.2</v>
      </c>
      <c r="Y50">
        <v>3.4</v>
      </c>
      <c r="Z50">
        <v>1</v>
      </c>
      <c r="AA50">
        <v>0.2</v>
      </c>
      <c r="AB50">
        <v>1.2</v>
      </c>
      <c r="AC50">
        <v>2</v>
      </c>
      <c r="AD50">
        <v>14.9</v>
      </c>
      <c r="AE50">
        <v>2344</v>
      </c>
      <c r="AF50">
        <v>16.3</v>
      </c>
      <c r="AG50">
        <v>0.57799999999999996</v>
      </c>
      <c r="AH50">
        <v>0.48499999999999999</v>
      </c>
      <c r="AI50">
        <v>0.26500000000000001</v>
      </c>
      <c r="AJ50">
        <v>2.7</v>
      </c>
      <c r="AK50">
        <v>13.1</v>
      </c>
      <c r="AL50">
        <v>7.9</v>
      </c>
      <c r="AM50">
        <v>17.399999999999999</v>
      </c>
      <c r="AN50">
        <v>1.7</v>
      </c>
      <c r="AO50">
        <v>0.6</v>
      </c>
      <c r="AP50">
        <v>8.6999999999999993</v>
      </c>
      <c r="AQ50">
        <v>20.9</v>
      </c>
      <c r="AR50">
        <v>4.4000000000000004</v>
      </c>
      <c r="AS50">
        <v>2.2999999999999998</v>
      </c>
      <c r="AT50">
        <v>6.7</v>
      </c>
      <c r="AU50">
        <v>0.13700000000000001</v>
      </c>
      <c r="AV50">
        <v>1.3</v>
      </c>
      <c r="AW50">
        <v>0.4</v>
      </c>
      <c r="AX50">
        <v>1.7</v>
      </c>
      <c r="AY50">
        <v>2.1</v>
      </c>
      <c r="AZ50" s="8">
        <v>4.2</v>
      </c>
      <c r="BA50" s="8">
        <v>1.8132835975546575</v>
      </c>
      <c r="BB50" s="3">
        <v>0</v>
      </c>
    </row>
    <row r="51" spans="1:54" x14ac:dyDescent="0.25">
      <c r="A51" t="s">
        <v>214</v>
      </c>
      <c r="B51" s="2">
        <v>9398148</v>
      </c>
      <c r="C51" t="s">
        <v>75</v>
      </c>
      <c r="D51">
        <v>27</v>
      </c>
      <c r="E51" t="s">
        <v>91</v>
      </c>
      <c r="F51">
        <v>72</v>
      </c>
      <c r="G51">
        <v>71</v>
      </c>
      <c r="H51">
        <v>26.5</v>
      </c>
      <c r="I51">
        <v>5.4</v>
      </c>
      <c r="J51">
        <v>8.6</v>
      </c>
      <c r="K51">
        <v>0.629</v>
      </c>
      <c r="L51">
        <v>0</v>
      </c>
      <c r="M51">
        <v>0</v>
      </c>
      <c r="N51">
        <v>0</v>
      </c>
      <c r="O51">
        <v>5.4</v>
      </c>
      <c r="P51">
        <v>8.6</v>
      </c>
      <c r="Q51">
        <v>0.63</v>
      </c>
      <c r="R51">
        <v>0.629</v>
      </c>
      <c r="S51">
        <v>1.7</v>
      </c>
      <c r="T51">
        <v>2.8</v>
      </c>
      <c r="U51">
        <v>0.59199999999999997</v>
      </c>
      <c r="V51">
        <v>3.3</v>
      </c>
      <c r="W51">
        <v>5.8</v>
      </c>
      <c r="X51">
        <v>9.1</v>
      </c>
      <c r="Y51">
        <v>2.7</v>
      </c>
      <c r="Z51">
        <v>0.9</v>
      </c>
      <c r="AA51">
        <v>1.2</v>
      </c>
      <c r="AB51">
        <v>1.7</v>
      </c>
      <c r="AC51">
        <v>2.7</v>
      </c>
      <c r="AD51">
        <v>12.5</v>
      </c>
      <c r="AE51">
        <v>1906</v>
      </c>
      <c r="AF51">
        <v>21</v>
      </c>
      <c r="AG51">
        <v>0.63500000000000001</v>
      </c>
      <c r="AH51">
        <v>2E-3</v>
      </c>
      <c r="AI51">
        <v>0.32500000000000001</v>
      </c>
      <c r="AJ51">
        <v>13</v>
      </c>
      <c r="AK51">
        <v>25.5</v>
      </c>
      <c r="AL51">
        <v>19</v>
      </c>
      <c r="AM51">
        <v>15.2</v>
      </c>
      <c r="AN51">
        <v>1.7</v>
      </c>
      <c r="AO51">
        <v>4</v>
      </c>
      <c r="AP51">
        <v>15</v>
      </c>
      <c r="AQ51">
        <v>18.2</v>
      </c>
      <c r="AR51">
        <v>3.7</v>
      </c>
      <c r="AS51">
        <v>2.2000000000000002</v>
      </c>
      <c r="AT51">
        <v>6</v>
      </c>
      <c r="AU51">
        <v>0.15</v>
      </c>
      <c r="AV51">
        <v>1.1000000000000001</v>
      </c>
      <c r="AW51">
        <v>0.8</v>
      </c>
      <c r="AX51">
        <v>1.9</v>
      </c>
      <c r="AY51">
        <v>1.9</v>
      </c>
      <c r="AZ51" s="8">
        <v>3.95</v>
      </c>
      <c r="BA51" s="8">
        <v>0.42029557312781202</v>
      </c>
      <c r="BB51" s="3">
        <v>0</v>
      </c>
    </row>
    <row r="52" spans="1:54" x14ac:dyDescent="0.25">
      <c r="A52" t="s">
        <v>255</v>
      </c>
      <c r="B52" s="2">
        <v>6395160</v>
      </c>
      <c r="C52" t="s">
        <v>75</v>
      </c>
      <c r="D52">
        <v>22</v>
      </c>
      <c r="E52" t="s">
        <v>85</v>
      </c>
      <c r="F52">
        <v>80</v>
      </c>
      <c r="G52">
        <v>18</v>
      </c>
      <c r="H52">
        <v>23.1</v>
      </c>
      <c r="I52">
        <v>4</v>
      </c>
      <c r="J52">
        <v>6.2</v>
      </c>
      <c r="K52">
        <v>0.63800000000000001</v>
      </c>
      <c r="L52">
        <v>0.1</v>
      </c>
      <c r="M52">
        <v>0.2</v>
      </c>
      <c r="N52">
        <v>0.308</v>
      </c>
      <c r="O52">
        <v>3.9</v>
      </c>
      <c r="P52">
        <v>6.1</v>
      </c>
      <c r="Q52">
        <v>0.64700000000000002</v>
      </c>
      <c r="R52">
        <v>0.64200000000000002</v>
      </c>
      <c r="S52">
        <v>1.9</v>
      </c>
      <c r="T52">
        <v>2.5</v>
      </c>
      <c r="U52">
        <v>0.78100000000000003</v>
      </c>
      <c r="V52">
        <v>2.7</v>
      </c>
      <c r="W52">
        <v>4.5</v>
      </c>
      <c r="X52">
        <v>7.2</v>
      </c>
      <c r="Y52">
        <v>1</v>
      </c>
      <c r="Z52">
        <v>0.7</v>
      </c>
      <c r="AA52">
        <v>1.3</v>
      </c>
      <c r="AB52">
        <v>1</v>
      </c>
      <c r="AC52">
        <v>3.1</v>
      </c>
      <c r="AD52">
        <v>9.9</v>
      </c>
      <c r="AE52">
        <v>1849</v>
      </c>
      <c r="AF52">
        <v>19.399999999999999</v>
      </c>
      <c r="AG52">
        <v>0.67800000000000005</v>
      </c>
      <c r="AH52">
        <v>2.5999999999999999E-2</v>
      </c>
      <c r="AI52">
        <v>0.39400000000000002</v>
      </c>
      <c r="AJ52">
        <v>12.7</v>
      </c>
      <c r="AK52">
        <v>21.5</v>
      </c>
      <c r="AL52">
        <v>17</v>
      </c>
      <c r="AM52">
        <v>5.8</v>
      </c>
      <c r="AN52">
        <v>1.4</v>
      </c>
      <c r="AO52">
        <v>4.9000000000000004</v>
      </c>
      <c r="AP52">
        <v>12.2</v>
      </c>
      <c r="AQ52">
        <v>15.1</v>
      </c>
      <c r="AR52">
        <v>4.7</v>
      </c>
      <c r="AS52">
        <v>2.4</v>
      </c>
      <c r="AT52">
        <v>7.1</v>
      </c>
      <c r="AU52">
        <v>0.185</v>
      </c>
      <c r="AV52">
        <v>0</v>
      </c>
      <c r="AW52">
        <v>0.8</v>
      </c>
      <c r="AX52">
        <v>0.8</v>
      </c>
      <c r="AY52">
        <v>1.3</v>
      </c>
      <c r="AZ52" s="8">
        <v>3.9499999999999997</v>
      </c>
      <c r="BA52" s="8">
        <v>0.61765460129222716</v>
      </c>
      <c r="BB52" s="3">
        <v>0</v>
      </c>
    </row>
    <row r="53" spans="1:54" x14ac:dyDescent="0.25">
      <c r="A53" t="s">
        <v>224</v>
      </c>
      <c r="B53" s="2">
        <v>8780488</v>
      </c>
      <c r="C53" t="s">
        <v>28</v>
      </c>
      <c r="D53">
        <v>29</v>
      </c>
      <c r="E53" t="s">
        <v>76</v>
      </c>
      <c r="F53">
        <v>69</v>
      </c>
      <c r="G53">
        <v>46</v>
      </c>
      <c r="H53">
        <v>28.4</v>
      </c>
      <c r="I53">
        <v>3.7</v>
      </c>
      <c r="J53">
        <v>7.2</v>
      </c>
      <c r="K53">
        <v>0.50900000000000001</v>
      </c>
      <c r="L53">
        <v>0.6</v>
      </c>
      <c r="M53">
        <v>1.5</v>
      </c>
      <c r="N53">
        <v>0.41</v>
      </c>
      <c r="O53">
        <v>3</v>
      </c>
      <c r="P53">
        <v>5.7</v>
      </c>
      <c r="Q53">
        <v>0.53600000000000003</v>
      </c>
      <c r="R53">
        <v>0.55300000000000005</v>
      </c>
      <c r="S53">
        <v>1.4</v>
      </c>
      <c r="T53">
        <v>2</v>
      </c>
      <c r="U53">
        <v>0.73499999999999999</v>
      </c>
      <c r="V53">
        <v>1</v>
      </c>
      <c r="W53">
        <v>4.4000000000000004</v>
      </c>
      <c r="X53">
        <v>5.3</v>
      </c>
      <c r="Y53">
        <v>4.9000000000000004</v>
      </c>
      <c r="Z53">
        <v>1.1000000000000001</v>
      </c>
      <c r="AA53">
        <v>0.9</v>
      </c>
      <c r="AB53">
        <v>1.5</v>
      </c>
      <c r="AC53">
        <v>2.1</v>
      </c>
      <c r="AD53">
        <v>9.4</v>
      </c>
      <c r="AE53">
        <v>1957</v>
      </c>
      <c r="AF53">
        <v>14.8</v>
      </c>
      <c r="AG53">
        <v>0.58299999999999996</v>
      </c>
      <c r="AH53">
        <v>0.21199999999999999</v>
      </c>
      <c r="AI53">
        <v>0.27500000000000002</v>
      </c>
      <c r="AJ53">
        <v>3.8</v>
      </c>
      <c r="AK53">
        <v>16.899999999999999</v>
      </c>
      <c r="AL53">
        <v>10.5</v>
      </c>
      <c r="AM53">
        <v>22.6</v>
      </c>
      <c r="AN53">
        <v>1.9</v>
      </c>
      <c r="AO53">
        <v>2.8</v>
      </c>
      <c r="AP53">
        <v>15.7</v>
      </c>
      <c r="AQ53">
        <v>14.4</v>
      </c>
      <c r="AR53">
        <v>2.5</v>
      </c>
      <c r="AS53">
        <v>2.6</v>
      </c>
      <c r="AT53">
        <v>5.0999999999999996</v>
      </c>
      <c r="AU53">
        <v>0.125</v>
      </c>
      <c r="AV53">
        <v>0.2</v>
      </c>
      <c r="AW53">
        <v>2.2999999999999998</v>
      </c>
      <c r="AX53">
        <v>2.5</v>
      </c>
      <c r="AY53">
        <v>2.2000000000000002</v>
      </c>
      <c r="AZ53" s="8">
        <v>3.8</v>
      </c>
      <c r="BA53" s="8">
        <v>0.43277776816049401</v>
      </c>
      <c r="BB53" s="3">
        <v>0</v>
      </c>
    </row>
    <row r="54" spans="1:54" x14ac:dyDescent="0.25">
      <c r="A54" t="s">
        <v>92</v>
      </c>
      <c r="B54" s="2">
        <v>35096500</v>
      </c>
      <c r="C54" t="s">
        <v>75</v>
      </c>
      <c r="D54">
        <v>26</v>
      </c>
      <c r="E54" t="s">
        <v>93</v>
      </c>
      <c r="F54">
        <v>62</v>
      </c>
      <c r="G54">
        <v>62</v>
      </c>
      <c r="H54">
        <v>29.4</v>
      </c>
      <c r="I54">
        <v>6.5</v>
      </c>
      <c r="J54">
        <v>11.8</v>
      </c>
      <c r="K54">
        <v>0.54800000000000004</v>
      </c>
      <c r="L54">
        <v>1.5</v>
      </c>
      <c r="M54">
        <v>4</v>
      </c>
      <c r="N54">
        <v>0.373</v>
      </c>
      <c r="O54">
        <v>5</v>
      </c>
      <c r="P54">
        <v>7.8</v>
      </c>
      <c r="Q54">
        <v>0.63800000000000001</v>
      </c>
      <c r="R54">
        <v>0.61199999999999999</v>
      </c>
      <c r="S54">
        <v>3.5</v>
      </c>
      <c r="T54">
        <v>4.5</v>
      </c>
      <c r="U54">
        <v>0.78300000000000003</v>
      </c>
      <c r="V54">
        <v>1.4</v>
      </c>
      <c r="W54">
        <v>6.1</v>
      </c>
      <c r="X54">
        <v>7.5</v>
      </c>
      <c r="Y54">
        <v>1.4</v>
      </c>
      <c r="Z54">
        <v>0.6</v>
      </c>
      <c r="AA54">
        <v>2.2999999999999998</v>
      </c>
      <c r="AB54">
        <v>1.7</v>
      </c>
      <c r="AC54">
        <v>3.5</v>
      </c>
      <c r="AD54">
        <v>18</v>
      </c>
      <c r="AE54">
        <v>1825</v>
      </c>
      <c r="AF54">
        <v>20</v>
      </c>
      <c r="AG54">
        <v>0.65100000000000002</v>
      </c>
      <c r="AH54">
        <v>0.34</v>
      </c>
      <c r="AI54">
        <v>0.377</v>
      </c>
      <c r="AJ54">
        <v>5.4</v>
      </c>
      <c r="AK54">
        <v>22.9</v>
      </c>
      <c r="AL54">
        <v>14.2</v>
      </c>
      <c r="AM54">
        <v>7.5</v>
      </c>
      <c r="AN54">
        <v>0.9</v>
      </c>
      <c r="AO54">
        <v>6.6</v>
      </c>
      <c r="AP54">
        <v>10.8</v>
      </c>
      <c r="AQ54">
        <v>22</v>
      </c>
      <c r="AR54">
        <v>3.4</v>
      </c>
      <c r="AS54">
        <v>2</v>
      </c>
      <c r="AT54">
        <v>5.4</v>
      </c>
      <c r="AU54">
        <v>0.14199999999999999</v>
      </c>
      <c r="AV54">
        <v>1.4</v>
      </c>
      <c r="AW54">
        <v>0.7</v>
      </c>
      <c r="AX54">
        <v>2.1</v>
      </c>
      <c r="AY54">
        <v>1.9</v>
      </c>
      <c r="AZ54" s="8">
        <v>3.75</v>
      </c>
      <c r="BA54" s="8">
        <v>0.10684826122262904</v>
      </c>
      <c r="BB54" s="3">
        <v>0</v>
      </c>
    </row>
    <row r="55" spans="1:54" x14ac:dyDescent="0.25">
      <c r="A55" t="s">
        <v>66</v>
      </c>
      <c r="B55" s="2">
        <v>42492492</v>
      </c>
      <c r="C55" t="s">
        <v>65</v>
      </c>
      <c r="D55">
        <v>32</v>
      </c>
      <c r="E55" t="s">
        <v>55</v>
      </c>
      <c r="F55">
        <v>56</v>
      </c>
      <c r="G55">
        <v>56</v>
      </c>
      <c r="H55">
        <v>34.6</v>
      </c>
      <c r="I55">
        <v>8.1999999999999993</v>
      </c>
      <c r="J55">
        <v>17.899999999999999</v>
      </c>
      <c r="K55">
        <v>0.45700000000000002</v>
      </c>
      <c r="L55">
        <v>2.8</v>
      </c>
      <c r="M55">
        <v>7.6</v>
      </c>
      <c r="N55">
        <v>0.371</v>
      </c>
      <c r="O55">
        <v>5.4</v>
      </c>
      <c r="P55">
        <v>10.3</v>
      </c>
      <c r="Q55">
        <v>0.52100000000000002</v>
      </c>
      <c r="R55">
        <v>0.53600000000000003</v>
      </c>
      <c r="S55">
        <v>4.5999999999999996</v>
      </c>
      <c r="T55">
        <v>5.3</v>
      </c>
      <c r="U55">
        <v>0.871</v>
      </c>
      <c r="V55">
        <v>0.8</v>
      </c>
      <c r="W55">
        <v>5.3</v>
      </c>
      <c r="X55">
        <v>6.1</v>
      </c>
      <c r="Y55">
        <v>5.0999999999999996</v>
      </c>
      <c r="Z55">
        <v>1.5</v>
      </c>
      <c r="AA55">
        <v>0.4</v>
      </c>
      <c r="AB55">
        <v>3.1</v>
      </c>
      <c r="AC55">
        <v>2.8</v>
      </c>
      <c r="AD55">
        <v>23.8</v>
      </c>
      <c r="AE55">
        <v>1939</v>
      </c>
      <c r="AF55">
        <v>19.600000000000001</v>
      </c>
      <c r="AG55">
        <v>0.58799999999999997</v>
      </c>
      <c r="AH55">
        <v>0.42399999999999999</v>
      </c>
      <c r="AI55">
        <v>0.29299999999999998</v>
      </c>
      <c r="AJ55">
        <v>2.6</v>
      </c>
      <c r="AK55">
        <v>17</v>
      </c>
      <c r="AL55">
        <v>9.9</v>
      </c>
      <c r="AM55">
        <v>24.2</v>
      </c>
      <c r="AN55">
        <v>2.1</v>
      </c>
      <c r="AO55">
        <v>0.9</v>
      </c>
      <c r="AP55">
        <v>13.4</v>
      </c>
      <c r="AQ55">
        <v>29.5</v>
      </c>
      <c r="AR55">
        <v>2.2999999999999998</v>
      </c>
      <c r="AS55">
        <v>2.2999999999999998</v>
      </c>
      <c r="AT55">
        <v>4.5999999999999996</v>
      </c>
      <c r="AU55">
        <v>0.114</v>
      </c>
      <c r="AV55">
        <v>2.4</v>
      </c>
      <c r="AW55">
        <v>0.3</v>
      </c>
      <c r="AX55">
        <v>2.8</v>
      </c>
      <c r="AY55">
        <v>2.2999999999999998</v>
      </c>
      <c r="AZ55" s="8">
        <v>3.6999999999999997</v>
      </c>
      <c r="BA55" s="8">
        <v>8.7074205956195735E-2</v>
      </c>
      <c r="BB55" s="3">
        <v>0</v>
      </c>
    </row>
    <row r="56" spans="1:54" x14ac:dyDescent="0.25">
      <c r="A56" t="s">
        <v>167</v>
      </c>
      <c r="B56" s="2">
        <v>15000000</v>
      </c>
      <c r="C56" t="s">
        <v>52</v>
      </c>
      <c r="D56">
        <v>26</v>
      </c>
      <c r="E56" t="s">
        <v>150</v>
      </c>
      <c r="F56">
        <v>80</v>
      </c>
      <c r="G56">
        <v>22</v>
      </c>
      <c r="H56">
        <v>24.3</v>
      </c>
      <c r="I56">
        <v>3.9</v>
      </c>
      <c r="J56">
        <v>8.9</v>
      </c>
      <c r="K56">
        <v>0.438</v>
      </c>
      <c r="L56">
        <v>1.5</v>
      </c>
      <c r="M56">
        <v>4.0999999999999996</v>
      </c>
      <c r="N56">
        <v>0.371</v>
      </c>
      <c r="O56">
        <v>2.4</v>
      </c>
      <c r="P56">
        <v>4.8</v>
      </c>
      <c r="Q56">
        <v>0.495</v>
      </c>
      <c r="R56">
        <v>0.52300000000000002</v>
      </c>
      <c r="S56">
        <v>1</v>
      </c>
      <c r="T56">
        <v>1.3</v>
      </c>
      <c r="U56">
        <v>0.8</v>
      </c>
      <c r="V56">
        <v>0.4</v>
      </c>
      <c r="W56">
        <v>2.2000000000000002</v>
      </c>
      <c r="X56">
        <v>2.5</v>
      </c>
      <c r="Y56">
        <v>5.2</v>
      </c>
      <c r="Z56">
        <v>1</v>
      </c>
      <c r="AA56">
        <v>0.1</v>
      </c>
      <c r="AB56">
        <v>0.9</v>
      </c>
      <c r="AC56">
        <v>0.4</v>
      </c>
      <c r="AD56">
        <v>10.3</v>
      </c>
      <c r="AE56">
        <v>1940</v>
      </c>
      <c r="AF56">
        <v>16</v>
      </c>
      <c r="AG56">
        <v>0.54600000000000004</v>
      </c>
      <c r="AH56">
        <v>0.45900000000000002</v>
      </c>
      <c r="AI56">
        <v>0.14099999999999999</v>
      </c>
      <c r="AJ56">
        <v>1.5</v>
      </c>
      <c r="AK56">
        <v>9.4</v>
      </c>
      <c r="AL56">
        <v>5.5</v>
      </c>
      <c r="AM56">
        <v>28.8</v>
      </c>
      <c r="AN56">
        <v>2</v>
      </c>
      <c r="AO56">
        <v>0.3</v>
      </c>
      <c r="AP56">
        <v>8.9</v>
      </c>
      <c r="AQ56">
        <v>17.7</v>
      </c>
      <c r="AR56">
        <v>3.4</v>
      </c>
      <c r="AS56">
        <v>2.2999999999999998</v>
      </c>
      <c r="AT56">
        <v>5.7</v>
      </c>
      <c r="AU56">
        <v>0.14099999999999999</v>
      </c>
      <c r="AV56">
        <v>1.2</v>
      </c>
      <c r="AW56">
        <v>0.3</v>
      </c>
      <c r="AX56">
        <v>1.6</v>
      </c>
      <c r="AY56">
        <v>1.7</v>
      </c>
      <c r="AZ56" s="8">
        <v>3.6500000000000004</v>
      </c>
      <c r="BA56" s="8">
        <v>0.24333333333333337</v>
      </c>
      <c r="BB56" s="3">
        <v>0</v>
      </c>
    </row>
    <row r="57" spans="1:54" x14ac:dyDescent="0.25">
      <c r="A57" t="s">
        <v>110</v>
      </c>
      <c r="B57" s="2">
        <v>30913750</v>
      </c>
      <c r="C57" t="s">
        <v>75</v>
      </c>
      <c r="D57">
        <v>24</v>
      </c>
      <c r="E57" t="s">
        <v>60</v>
      </c>
      <c r="F57">
        <v>67</v>
      </c>
      <c r="G57">
        <v>67</v>
      </c>
      <c r="H57">
        <v>30.4</v>
      </c>
      <c r="I57">
        <v>7.8</v>
      </c>
      <c r="J57">
        <v>13.2</v>
      </c>
      <c r="K57">
        <v>0.58899999999999997</v>
      </c>
      <c r="L57">
        <v>0.1</v>
      </c>
      <c r="M57">
        <v>0.4</v>
      </c>
      <c r="N57">
        <v>0.29199999999999998</v>
      </c>
      <c r="O57">
        <v>7.7</v>
      </c>
      <c r="P57">
        <v>12.9</v>
      </c>
      <c r="Q57">
        <v>0.59699999999999998</v>
      </c>
      <c r="R57">
        <v>0.59199999999999997</v>
      </c>
      <c r="S57">
        <v>2.2999999999999998</v>
      </c>
      <c r="T57">
        <v>3</v>
      </c>
      <c r="U57">
        <v>0.76</v>
      </c>
      <c r="V57">
        <v>2.6</v>
      </c>
      <c r="W57">
        <v>7.4</v>
      </c>
      <c r="X57">
        <v>10</v>
      </c>
      <c r="Y57">
        <v>1.7</v>
      </c>
      <c r="Z57">
        <v>0.6</v>
      </c>
      <c r="AA57">
        <v>0.8</v>
      </c>
      <c r="AB57">
        <v>1.8</v>
      </c>
      <c r="AC57">
        <v>2.8</v>
      </c>
      <c r="AD57">
        <v>18</v>
      </c>
      <c r="AE57">
        <v>2035</v>
      </c>
      <c r="AF57">
        <v>19.899999999999999</v>
      </c>
      <c r="AG57">
        <v>0.61699999999999999</v>
      </c>
      <c r="AH57">
        <v>2.7E-2</v>
      </c>
      <c r="AI57">
        <v>0.22500000000000001</v>
      </c>
      <c r="AJ57">
        <v>9.1999999999999993</v>
      </c>
      <c r="AK57">
        <v>27.5</v>
      </c>
      <c r="AL57">
        <v>18.100000000000001</v>
      </c>
      <c r="AM57">
        <v>9.1999999999999993</v>
      </c>
      <c r="AN57">
        <v>0.9</v>
      </c>
      <c r="AO57">
        <v>2.2999999999999998</v>
      </c>
      <c r="AP57">
        <v>11</v>
      </c>
      <c r="AQ57">
        <v>22.9</v>
      </c>
      <c r="AR57">
        <v>3.3</v>
      </c>
      <c r="AS57">
        <v>3</v>
      </c>
      <c r="AT57">
        <v>6.2</v>
      </c>
      <c r="AU57">
        <v>0.14699999999999999</v>
      </c>
      <c r="AV57">
        <v>0.9</v>
      </c>
      <c r="AW57">
        <v>0</v>
      </c>
      <c r="AX57">
        <v>0.9</v>
      </c>
      <c r="AY57">
        <v>1.5</v>
      </c>
      <c r="AZ57" s="8">
        <v>3.5500000000000003</v>
      </c>
      <c r="BA57" s="8">
        <v>0.11483563139379728</v>
      </c>
      <c r="BB57" s="3">
        <v>0</v>
      </c>
    </row>
    <row r="58" spans="1:54" x14ac:dyDescent="0.25">
      <c r="A58" t="s">
        <v>417</v>
      </c>
      <c r="B58" s="2">
        <v>1930681</v>
      </c>
      <c r="C58" t="s">
        <v>75</v>
      </c>
      <c r="D58">
        <v>24</v>
      </c>
      <c r="E58" t="s">
        <v>63</v>
      </c>
      <c r="F58">
        <v>78</v>
      </c>
      <c r="G58">
        <v>47</v>
      </c>
      <c r="H58">
        <v>20.6</v>
      </c>
      <c r="I58">
        <v>3.7</v>
      </c>
      <c r="J58">
        <v>5.0999999999999996</v>
      </c>
      <c r="K58">
        <v>0.73199999999999998</v>
      </c>
      <c r="L58">
        <v>0</v>
      </c>
      <c r="M58">
        <v>0</v>
      </c>
      <c r="O58">
        <v>3.7</v>
      </c>
      <c r="P58">
        <v>5.0999999999999996</v>
      </c>
      <c r="Q58">
        <v>0.73199999999999998</v>
      </c>
      <c r="R58">
        <v>0.73199999999999998</v>
      </c>
      <c r="S58">
        <v>1.6</v>
      </c>
      <c r="T58">
        <v>2.4</v>
      </c>
      <c r="U58">
        <v>0.67900000000000005</v>
      </c>
      <c r="V58">
        <v>2.1</v>
      </c>
      <c r="W58">
        <v>3.5</v>
      </c>
      <c r="X58">
        <v>5.6</v>
      </c>
      <c r="Y58">
        <v>1.1000000000000001</v>
      </c>
      <c r="Z58">
        <v>0.4</v>
      </c>
      <c r="AA58">
        <v>1.3</v>
      </c>
      <c r="AB58">
        <v>1.1000000000000001</v>
      </c>
      <c r="AC58">
        <v>2.4</v>
      </c>
      <c r="AD58">
        <v>9</v>
      </c>
      <c r="AE58">
        <v>1604</v>
      </c>
      <c r="AF58">
        <v>19.7</v>
      </c>
      <c r="AG58">
        <v>0.73899999999999999</v>
      </c>
      <c r="AH58">
        <v>0</v>
      </c>
      <c r="AI58">
        <v>0.47299999999999998</v>
      </c>
      <c r="AJ58">
        <v>11.7</v>
      </c>
      <c r="AK58">
        <v>18</v>
      </c>
      <c r="AL58">
        <v>15</v>
      </c>
      <c r="AM58">
        <v>7.5</v>
      </c>
      <c r="AN58">
        <v>1</v>
      </c>
      <c r="AO58">
        <v>5.2</v>
      </c>
      <c r="AP58">
        <v>15.1</v>
      </c>
      <c r="AQ58">
        <v>15.2</v>
      </c>
      <c r="AR58">
        <v>4.2</v>
      </c>
      <c r="AS58">
        <v>1.9</v>
      </c>
      <c r="AT58">
        <v>6.1</v>
      </c>
      <c r="AU58">
        <v>0.184</v>
      </c>
      <c r="AV58">
        <v>0.4</v>
      </c>
      <c r="AW58">
        <v>0.6</v>
      </c>
      <c r="AX58">
        <v>1</v>
      </c>
      <c r="AY58">
        <v>1.2</v>
      </c>
      <c r="AZ58" s="8">
        <v>3.55</v>
      </c>
      <c r="BA58" s="8">
        <v>1.8387294431343137</v>
      </c>
      <c r="BB58" s="3">
        <v>0</v>
      </c>
    </row>
    <row r="59" spans="1:54" x14ac:dyDescent="0.25">
      <c r="A59" t="s">
        <v>237</v>
      </c>
      <c r="B59" s="2">
        <v>7804878</v>
      </c>
      <c r="C59" t="s">
        <v>52</v>
      </c>
      <c r="D59">
        <v>30</v>
      </c>
      <c r="E59" t="s">
        <v>63</v>
      </c>
      <c r="F59">
        <v>50</v>
      </c>
      <c r="G59">
        <v>14</v>
      </c>
      <c r="H59">
        <v>24.4</v>
      </c>
      <c r="I59">
        <v>2.8</v>
      </c>
      <c r="J59">
        <v>5.8</v>
      </c>
      <c r="K59">
        <v>0.47399999999999998</v>
      </c>
      <c r="L59">
        <v>0.8</v>
      </c>
      <c r="M59">
        <v>2.4</v>
      </c>
      <c r="N59">
        <v>0.34499999999999997</v>
      </c>
      <c r="O59">
        <v>1.9</v>
      </c>
      <c r="P59">
        <v>3.4</v>
      </c>
      <c r="Q59">
        <v>0.56399999999999995</v>
      </c>
      <c r="R59">
        <v>0.54500000000000004</v>
      </c>
      <c r="S59">
        <v>1</v>
      </c>
      <c r="T59">
        <v>1.2</v>
      </c>
      <c r="U59">
        <v>0.86699999999999999</v>
      </c>
      <c r="V59">
        <v>1.2</v>
      </c>
      <c r="W59">
        <v>2.4</v>
      </c>
      <c r="X59">
        <v>3.6</v>
      </c>
      <c r="Y59">
        <v>3.9</v>
      </c>
      <c r="Z59">
        <v>1.8</v>
      </c>
      <c r="AA59">
        <v>0.3</v>
      </c>
      <c r="AB59">
        <v>0.9</v>
      </c>
      <c r="AC59">
        <v>1.2</v>
      </c>
      <c r="AD59">
        <v>7.4</v>
      </c>
      <c r="AE59">
        <v>1221</v>
      </c>
      <c r="AF59">
        <v>16.3</v>
      </c>
      <c r="AG59">
        <v>0.58099999999999996</v>
      </c>
      <c r="AH59">
        <v>0.40899999999999997</v>
      </c>
      <c r="AI59">
        <v>0.20599999999999999</v>
      </c>
      <c r="AJ59">
        <v>5.5</v>
      </c>
      <c r="AK59">
        <v>10.7</v>
      </c>
      <c r="AL59">
        <v>8.1999999999999993</v>
      </c>
      <c r="AM59">
        <v>20.9</v>
      </c>
      <c r="AN59">
        <v>3.7</v>
      </c>
      <c r="AO59">
        <v>1.2</v>
      </c>
      <c r="AP59">
        <v>12.2</v>
      </c>
      <c r="AQ59">
        <v>12.9</v>
      </c>
      <c r="AR59">
        <v>2.1</v>
      </c>
      <c r="AS59">
        <v>1.6</v>
      </c>
      <c r="AT59">
        <v>3.7</v>
      </c>
      <c r="AU59">
        <v>0.14599999999999999</v>
      </c>
      <c r="AV59">
        <v>0.4</v>
      </c>
      <c r="AW59">
        <v>3.1</v>
      </c>
      <c r="AX59">
        <v>3.4</v>
      </c>
      <c r="AY59">
        <v>1.7</v>
      </c>
      <c r="AZ59" s="8">
        <v>3.55</v>
      </c>
      <c r="BA59" s="8">
        <v>0.45484375284277345</v>
      </c>
      <c r="BB59" s="3">
        <v>0</v>
      </c>
    </row>
    <row r="60" spans="1:54" x14ac:dyDescent="0.25">
      <c r="A60" t="s">
        <v>297</v>
      </c>
      <c r="B60" s="2">
        <v>4343919</v>
      </c>
      <c r="C60" t="s">
        <v>28</v>
      </c>
      <c r="D60">
        <v>26</v>
      </c>
      <c r="E60" t="s">
        <v>150</v>
      </c>
      <c r="F60">
        <v>56</v>
      </c>
      <c r="G60">
        <v>8</v>
      </c>
      <c r="H60">
        <v>19.5</v>
      </c>
      <c r="I60">
        <v>4.0999999999999996</v>
      </c>
      <c r="J60">
        <v>6.2</v>
      </c>
      <c r="K60">
        <v>0.65600000000000003</v>
      </c>
      <c r="L60">
        <v>0</v>
      </c>
      <c r="M60">
        <v>0.1</v>
      </c>
      <c r="N60">
        <v>0.16700000000000001</v>
      </c>
      <c r="O60">
        <v>4.0999999999999996</v>
      </c>
      <c r="P60">
        <v>6.1</v>
      </c>
      <c r="Q60">
        <v>0.66500000000000004</v>
      </c>
      <c r="R60">
        <v>0.65800000000000003</v>
      </c>
      <c r="S60">
        <v>1.8</v>
      </c>
      <c r="T60">
        <v>2.4</v>
      </c>
      <c r="U60">
        <v>0.72299999999999998</v>
      </c>
      <c r="V60">
        <v>1.6</v>
      </c>
      <c r="W60">
        <v>3.9</v>
      </c>
      <c r="X60">
        <v>5.5</v>
      </c>
      <c r="Y60">
        <v>1.3</v>
      </c>
      <c r="Z60">
        <v>0.6</v>
      </c>
      <c r="AA60">
        <v>0.7</v>
      </c>
      <c r="AB60">
        <v>1</v>
      </c>
      <c r="AC60">
        <v>2.2999999999999998</v>
      </c>
      <c r="AD60">
        <v>10</v>
      </c>
      <c r="AE60">
        <v>1090</v>
      </c>
      <c r="AF60">
        <v>20</v>
      </c>
      <c r="AG60">
        <v>0.68200000000000005</v>
      </c>
      <c r="AH60">
        <v>1.7000000000000001E-2</v>
      </c>
      <c r="AI60">
        <v>0.39300000000000002</v>
      </c>
      <c r="AJ60">
        <v>9</v>
      </c>
      <c r="AK60">
        <v>21.2</v>
      </c>
      <c r="AL60">
        <v>15.1</v>
      </c>
      <c r="AM60">
        <v>9.5</v>
      </c>
      <c r="AN60">
        <v>1.5</v>
      </c>
      <c r="AO60">
        <v>3.1</v>
      </c>
      <c r="AP60">
        <v>11.8</v>
      </c>
      <c r="AQ60">
        <v>17.7</v>
      </c>
      <c r="AR60">
        <v>2.7</v>
      </c>
      <c r="AS60">
        <v>1.8</v>
      </c>
      <c r="AT60">
        <v>4.5</v>
      </c>
      <c r="AU60">
        <v>0.19900000000000001</v>
      </c>
      <c r="AV60">
        <v>0.8</v>
      </c>
      <c r="AW60">
        <v>1.8</v>
      </c>
      <c r="AX60">
        <v>2.5</v>
      </c>
      <c r="AY60">
        <v>1.3</v>
      </c>
      <c r="AZ60" s="8">
        <v>3.5</v>
      </c>
      <c r="BA60" s="8">
        <v>0.80572404780107543</v>
      </c>
      <c r="BB60" s="3">
        <v>0</v>
      </c>
    </row>
    <row r="61" spans="1:54" x14ac:dyDescent="0.25">
      <c r="A61" t="s">
        <v>143</v>
      </c>
      <c r="B61" s="2">
        <v>19500000</v>
      </c>
      <c r="C61" t="s">
        <v>52</v>
      </c>
      <c r="D61">
        <v>29</v>
      </c>
      <c r="E61" t="s">
        <v>73</v>
      </c>
      <c r="F61">
        <v>79</v>
      </c>
      <c r="G61">
        <v>79</v>
      </c>
      <c r="H61">
        <v>34.5</v>
      </c>
      <c r="I61">
        <v>5.8</v>
      </c>
      <c r="J61">
        <v>13.3</v>
      </c>
      <c r="K61">
        <v>0.438</v>
      </c>
      <c r="L61">
        <v>2.2999999999999998</v>
      </c>
      <c r="M61">
        <v>6.2</v>
      </c>
      <c r="N61">
        <v>0.36899999999999999</v>
      </c>
      <c r="O61">
        <v>3.5</v>
      </c>
      <c r="P61">
        <v>7.1</v>
      </c>
      <c r="Q61">
        <v>0.498</v>
      </c>
      <c r="R61">
        <v>0.52400000000000002</v>
      </c>
      <c r="S61">
        <v>3.4</v>
      </c>
      <c r="T61">
        <v>4.2</v>
      </c>
      <c r="U61">
        <v>0.81200000000000006</v>
      </c>
      <c r="V61">
        <v>0.4</v>
      </c>
      <c r="W61">
        <v>3.1</v>
      </c>
      <c r="X61">
        <v>3.4</v>
      </c>
      <c r="Y61">
        <v>6.5</v>
      </c>
      <c r="Z61">
        <v>0.8</v>
      </c>
      <c r="AA61">
        <v>0.3</v>
      </c>
      <c r="AB61">
        <v>1.8</v>
      </c>
      <c r="AC61">
        <v>2.4</v>
      </c>
      <c r="AD61">
        <v>17.3</v>
      </c>
      <c r="AE61">
        <v>2725</v>
      </c>
      <c r="AF61">
        <v>16</v>
      </c>
      <c r="AG61">
        <v>0.57299999999999995</v>
      </c>
      <c r="AH61">
        <v>0.46700000000000003</v>
      </c>
      <c r="AI61">
        <v>0.314</v>
      </c>
      <c r="AJ61">
        <v>1.2</v>
      </c>
      <c r="AK61">
        <v>10.199999999999999</v>
      </c>
      <c r="AL61">
        <v>5.7</v>
      </c>
      <c r="AM61">
        <v>28.1</v>
      </c>
      <c r="AN61">
        <v>1.2</v>
      </c>
      <c r="AO61">
        <v>0.8</v>
      </c>
      <c r="AP61">
        <v>10.8</v>
      </c>
      <c r="AQ61">
        <v>22.1</v>
      </c>
      <c r="AR61">
        <v>4.5</v>
      </c>
      <c r="AS61">
        <v>1.8</v>
      </c>
      <c r="AT61">
        <v>6.3</v>
      </c>
      <c r="AU61">
        <v>0.111</v>
      </c>
      <c r="AV61">
        <v>1.6</v>
      </c>
      <c r="AW61">
        <v>-0.9</v>
      </c>
      <c r="AX61">
        <v>0.7</v>
      </c>
      <c r="AY61">
        <v>1.8</v>
      </c>
      <c r="AZ61" s="8">
        <v>3.5</v>
      </c>
      <c r="BA61" s="8">
        <v>0.17948717948717949</v>
      </c>
      <c r="BB61" s="3">
        <v>0</v>
      </c>
    </row>
    <row r="62" spans="1:54" x14ac:dyDescent="0.25">
      <c r="A62" t="s">
        <v>181</v>
      </c>
      <c r="B62" s="2">
        <v>12960000</v>
      </c>
      <c r="C62" t="s">
        <v>65</v>
      </c>
      <c r="D62">
        <v>27</v>
      </c>
      <c r="E62" t="s">
        <v>70</v>
      </c>
      <c r="F62">
        <v>76</v>
      </c>
      <c r="G62">
        <v>52</v>
      </c>
      <c r="H62">
        <v>32.299999999999997</v>
      </c>
      <c r="I62">
        <v>3.6</v>
      </c>
      <c r="J62">
        <v>6.8</v>
      </c>
      <c r="K62">
        <v>0.52900000000000003</v>
      </c>
      <c r="L62">
        <v>0.8</v>
      </c>
      <c r="M62">
        <v>2.2000000000000002</v>
      </c>
      <c r="N62">
        <v>0.372</v>
      </c>
      <c r="O62">
        <v>2.8</v>
      </c>
      <c r="P62">
        <v>4.7</v>
      </c>
      <c r="Q62">
        <v>0.60099999999999998</v>
      </c>
      <c r="R62">
        <v>0.58799999999999997</v>
      </c>
      <c r="S62">
        <v>1.7</v>
      </c>
      <c r="T62">
        <v>2.2999999999999998</v>
      </c>
      <c r="U62">
        <v>0.75</v>
      </c>
      <c r="V62">
        <v>1.9</v>
      </c>
      <c r="W62">
        <v>5.9</v>
      </c>
      <c r="X62">
        <v>7.8</v>
      </c>
      <c r="Y62">
        <v>3.8</v>
      </c>
      <c r="Z62">
        <v>1.2</v>
      </c>
      <c r="AA62">
        <v>0.3</v>
      </c>
      <c r="AB62">
        <v>1.5</v>
      </c>
      <c r="AC62">
        <v>2.6</v>
      </c>
      <c r="AD62">
        <v>9.8000000000000007</v>
      </c>
      <c r="AE62">
        <v>2454</v>
      </c>
      <c r="AF62">
        <v>14.1</v>
      </c>
      <c r="AG62">
        <v>0.622</v>
      </c>
      <c r="AH62">
        <v>0.315</v>
      </c>
      <c r="AI62">
        <v>0.33800000000000002</v>
      </c>
      <c r="AJ62">
        <v>6.5</v>
      </c>
      <c r="AK62">
        <v>21</v>
      </c>
      <c r="AL62">
        <v>13.7</v>
      </c>
      <c r="AM62">
        <v>16.100000000000001</v>
      </c>
      <c r="AN62">
        <v>1.8</v>
      </c>
      <c r="AO62">
        <v>0.8</v>
      </c>
      <c r="AP62">
        <v>16.399999999999999</v>
      </c>
      <c r="AQ62">
        <v>12.6</v>
      </c>
      <c r="AR62">
        <v>3.8</v>
      </c>
      <c r="AS62">
        <v>2.2000000000000002</v>
      </c>
      <c r="AT62">
        <v>6</v>
      </c>
      <c r="AU62">
        <v>0.11799999999999999</v>
      </c>
      <c r="AV62">
        <v>-0.2</v>
      </c>
      <c r="AW62">
        <v>1.1000000000000001</v>
      </c>
      <c r="AX62">
        <v>0.9</v>
      </c>
      <c r="AY62">
        <v>1.8</v>
      </c>
      <c r="AZ62" s="8">
        <v>3.45</v>
      </c>
      <c r="BA62" s="8">
        <v>0.26620370370370372</v>
      </c>
      <c r="BB62" s="3">
        <v>0</v>
      </c>
    </row>
    <row r="63" spans="1:54" x14ac:dyDescent="0.25">
      <c r="A63" t="s">
        <v>81</v>
      </c>
      <c r="B63" s="2">
        <v>37633050</v>
      </c>
      <c r="C63" t="s">
        <v>65</v>
      </c>
      <c r="D63">
        <v>30</v>
      </c>
      <c r="E63" t="s">
        <v>82</v>
      </c>
      <c r="F63">
        <v>74</v>
      </c>
      <c r="G63">
        <v>74</v>
      </c>
      <c r="H63">
        <v>32.9</v>
      </c>
      <c r="I63">
        <v>5.7</v>
      </c>
      <c r="J63">
        <v>11.4</v>
      </c>
      <c r="K63">
        <v>0.501</v>
      </c>
      <c r="L63">
        <v>1.7</v>
      </c>
      <c r="M63">
        <v>4.4000000000000004</v>
      </c>
      <c r="N63">
        <v>0.38900000000000001</v>
      </c>
      <c r="O63">
        <v>4</v>
      </c>
      <c r="P63">
        <v>7</v>
      </c>
      <c r="Q63">
        <v>0.56999999999999995</v>
      </c>
      <c r="R63">
        <v>0.57499999999999996</v>
      </c>
      <c r="S63">
        <v>1.5</v>
      </c>
      <c r="T63">
        <v>1.7</v>
      </c>
      <c r="U63">
        <v>0.876</v>
      </c>
      <c r="V63">
        <v>0.9</v>
      </c>
      <c r="W63">
        <v>4.8</v>
      </c>
      <c r="X63">
        <v>5.7</v>
      </c>
      <c r="Y63">
        <v>2.5</v>
      </c>
      <c r="Z63">
        <v>0.9</v>
      </c>
      <c r="AA63">
        <v>0.5</v>
      </c>
      <c r="AB63">
        <v>1.2</v>
      </c>
      <c r="AC63">
        <v>2</v>
      </c>
      <c r="AD63">
        <v>14.7</v>
      </c>
      <c r="AE63">
        <v>2436</v>
      </c>
      <c r="AF63">
        <v>14.8</v>
      </c>
      <c r="AG63">
        <v>0.60199999999999998</v>
      </c>
      <c r="AH63">
        <v>0.38300000000000001</v>
      </c>
      <c r="AI63">
        <v>0.153</v>
      </c>
      <c r="AJ63">
        <v>3.3</v>
      </c>
      <c r="AK63">
        <v>17</v>
      </c>
      <c r="AL63">
        <v>10.3</v>
      </c>
      <c r="AM63">
        <v>11.4</v>
      </c>
      <c r="AN63">
        <v>1.4</v>
      </c>
      <c r="AO63">
        <v>1.5</v>
      </c>
      <c r="AP63">
        <v>9</v>
      </c>
      <c r="AQ63">
        <v>18.2</v>
      </c>
      <c r="AR63">
        <v>3.1</v>
      </c>
      <c r="AS63">
        <v>2.8</v>
      </c>
      <c r="AT63">
        <v>5.9</v>
      </c>
      <c r="AU63">
        <v>0.11600000000000001</v>
      </c>
      <c r="AV63">
        <v>0.6</v>
      </c>
      <c r="AW63">
        <v>0.1</v>
      </c>
      <c r="AX63">
        <v>0.7</v>
      </c>
      <c r="AY63">
        <v>1.7</v>
      </c>
      <c r="AZ63" s="8">
        <v>3.3000000000000003</v>
      </c>
      <c r="BA63" s="8">
        <v>8.7688879854277035E-2</v>
      </c>
      <c r="BB63" s="3">
        <v>0</v>
      </c>
    </row>
    <row r="64" spans="1:54" x14ac:dyDescent="0.25">
      <c r="A64" t="s">
        <v>105</v>
      </c>
      <c r="B64" s="2">
        <v>31377750</v>
      </c>
      <c r="C64" t="s">
        <v>52</v>
      </c>
      <c r="D64">
        <v>26</v>
      </c>
      <c r="E64" t="s">
        <v>76</v>
      </c>
      <c r="F64">
        <v>71</v>
      </c>
      <c r="G64">
        <v>71</v>
      </c>
      <c r="H64">
        <v>32.5</v>
      </c>
      <c r="I64">
        <v>6.3</v>
      </c>
      <c r="J64">
        <v>13.4</v>
      </c>
      <c r="K64">
        <v>0.46899999999999997</v>
      </c>
      <c r="L64">
        <v>2.7</v>
      </c>
      <c r="M64">
        <v>6.9</v>
      </c>
      <c r="N64">
        <v>0.39600000000000002</v>
      </c>
      <c r="O64">
        <v>3.5</v>
      </c>
      <c r="P64">
        <v>6.5</v>
      </c>
      <c r="Q64">
        <v>0.54800000000000004</v>
      </c>
      <c r="R64">
        <v>0.57199999999999995</v>
      </c>
      <c r="S64">
        <v>2.5</v>
      </c>
      <c r="T64">
        <v>3</v>
      </c>
      <c r="U64">
        <v>0.82899999999999996</v>
      </c>
      <c r="V64">
        <v>0.5</v>
      </c>
      <c r="W64">
        <v>2.5</v>
      </c>
      <c r="X64">
        <v>3</v>
      </c>
      <c r="Y64">
        <v>6.2</v>
      </c>
      <c r="Z64">
        <v>1</v>
      </c>
      <c r="AA64">
        <v>0.4</v>
      </c>
      <c r="AB64">
        <v>2.6</v>
      </c>
      <c r="AC64">
        <v>2</v>
      </c>
      <c r="AD64">
        <v>17.8</v>
      </c>
      <c r="AE64">
        <v>2304</v>
      </c>
      <c r="AF64">
        <v>16.3</v>
      </c>
      <c r="AG64">
        <v>0.60499999999999998</v>
      </c>
      <c r="AH64">
        <v>0.51700000000000002</v>
      </c>
      <c r="AI64">
        <v>0.22800000000000001</v>
      </c>
      <c r="AJ64">
        <v>1.7</v>
      </c>
      <c r="AK64">
        <v>8.5</v>
      </c>
      <c r="AL64">
        <v>5.2</v>
      </c>
      <c r="AM64">
        <v>27.4</v>
      </c>
      <c r="AN64">
        <v>1.4</v>
      </c>
      <c r="AO64">
        <v>1.1000000000000001</v>
      </c>
      <c r="AP64">
        <v>15.1</v>
      </c>
      <c r="AQ64">
        <v>22.7</v>
      </c>
      <c r="AR64">
        <v>3.1</v>
      </c>
      <c r="AS64">
        <v>1.9</v>
      </c>
      <c r="AT64">
        <v>5.0999999999999996</v>
      </c>
      <c r="AU64">
        <v>0.106</v>
      </c>
      <c r="AV64">
        <v>2.1</v>
      </c>
      <c r="AW64">
        <v>-0.7</v>
      </c>
      <c r="AX64">
        <v>1.5</v>
      </c>
      <c r="AY64">
        <v>2</v>
      </c>
      <c r="AZ64" s="8">
        <v>3.3</v>
      </c>
      <c r="BA64" s="8">
        <v>0.10517006477519898</v>
      </c>
      <c r="BB64" s="3">
        <v>0</v>
      </c>
    </row>
    <row r="65" spans="1:54" x14ac:dyDescent="0.25">
      <c r="A65" t="s">
        <v>170</v>
      </c>
      <c r="B65" s="2">
        <v>14317459</v>
      </c>
      <c r="C65" t="s">
        <v>75</v>
      </c>
      <c r="D65">
        <v>27</v>
      </c>
      <c r="E65" t="s">
        <v>73</v>
      </c>
      <c r="F65">
        <v>67</v>
      </c>
      <c r="G65">
        <v>17</v>
      </c>
      <c r="H65">
        <v>25.9</v>
      </c>
      <c r="I65">
        <v>5.9</v>
      </c>
      <c r="J65">
        <v>11.5</v>
      </c>
      <c r="K65">
        <v>0.51500000000000001</v>
      </c>
      <c r="L65">
        <v>1.6</v>
      </c>
      <c r="M65">
        <v>4.2</v>
      </c>
      <c r="N65">
        <v>0.376</v>
      </c>
      <c r="O65">
        <v>4.3</v>
      </c>
      <c r="P65">
        <v>7.3</v>
      </c>
      <c r="Q65">
        <v>0.59399999999999997</v>
      </c>
      <c r="R65">
        <v>0.58299999999999996</v>
      </c>
      <c r="S65">
        <v>3.2</v>
      </c>
      <c r="T65">
        <v>4.2</v>
      </c>
      <c r="U65">
        <v>0.77200000000000002</v>
      </c>
      <c r="V65">
        <v>1.3</v>
      </c>
      <c r="W65">
        <v>6</v>
      </c>
      <c r="X65">
        <v>7.3</v>
      </c>
      <c r="Y65">
        <v>1.8</v>
      </c>
      <c r="Z65">
        <v>0.4</v>
      </c>
      <c r="AA65">
        <v>1.1000000000000001</v>
      </c>
      <c r="AB65">
        <v>1.8</v>
      </c>
      <c r="AC65">
        <v>2.5</v>
      </c>
      <c r="AD65">
        <v>16.600000000000001</v>
      </c>
      <c r="AE65">
        <v>1738</v>
      </c>
      <c r="AF65">
        <v>20.6</v>
      </c>
      <c r="AG65">
        <v>0.624</v>
      </c>
      <c r="AH65">
        <v>0.36299999999999999</v>
      </c>
      <c r="AI65">
        <v>0.36499999999999999</v>
      </c>
      <c r="AJ65">
        <v>5.8</v>
      </c>
      <c r="AK65">
        <v>27.4</v>
      </c>
      <c r="AL65">
        <v>16.399999999999999</v>
      </c>
      <c r="AM65">
        <v>11.7</v>
      </c>
      <c r="AN65">
        <v>0.9</v>
      </c>
      <c r="AO65">
        <v>3.7</v>
      </c>
      <c r="AP65">
        <v>11.9</v>
      </c>
      <c r="AQ65">
        <v>26.4</v>
      </c>
      <c r="AR65">
        <v>2.7</v>
      </c>
      <c r="AS65">
        <v>2.1</v>
      </c>
      <c r="AT65">
        <v>4.8</v>
      </c>
      <c r="AU65">
        <v>0.13200000000000001</v>
      </c>
      <c r="AV65">
        <v>1.9</v>
      </c>
      <c r="AW65">
        <v>-0.3</v>
      </c>
      <c r="AX65">
        <v>1.7</v>
      </c>
      <c r="AY65">
        <v>1.6</v>
      </c>
      <c r="AZ65" s="8">
        <v>3.25</v>
      </c>
      <c r="BA65" s="8">
        <v>0.22699558629782002</v>
      </c>
      <c r="BB65" s="3">
        <v>0</v>
      </c>
    </row>
    <row r="66" spans="1:54" x14ac:dyDescent="0.25">
      <c r="A66" t="s">
        <v>129</v>
      </c>
      <c r="B66" s="2">
        <v>22680000</v>
      </c>
      <c r="C66" t="s">
        <v>52</v>
      </c>
      <c r="D66">
        <v>35</v>
      </c>
      <c r="E66" t="s">
        <v>130</v>
      </c>
      <c r="F66">
        <v>67</v>
      </c>
      <c r="G66">
        <v>66</v>
      </c>
      <c r="H66">
        <v>30.3</v>
      </c>
      <c r="I66">
        <v>3.9</v>
      </c>
      <c r="J66">
        <v>9.1</v>
      </c>
      <c r="K66">
        <v>0.42799999999999999</v>
      </c>
      <c r="L66">
        <v>2</v>
      </c>
      <c r="M66">
        <v>5.2</v>
      </c>
      <c r="N66">
        <v>0.38500000000000001</v>
      </c>
      <c r="O66">
        <v>1.9</v>
      </c>
      <c r="P66">
        <v>3.9</v>
      </c>
      <c r="Q66">
        <v>0.48599999999999999</v>
      </c>
      <c r="R66">
        <v>0.53900000000000003</v>
      </c>
      <c r="S66">
        <v>2.1</v>
      </c>
      <c r="T66">
        <v>2.5</v>
      </c>
      <c r="U66">
        <v>0.83399999999999996</v>
      </c>
      <c r="V66">
        <v>0.5</v>
      </c>
      <c r="W66">
        <v>2.2000000000000002</v>
      </c>
      <c r="X66">
        <v>2.7</v>
      </c>
      <c r="Y66">
        <v>6.7</v>
      </c>
      <c r="Z66">
        <v>1.1000000000000001</v>
      </c>
      <c r="AA66">
        <v>0.2</v>
      </c>
      <c r="AB66">
        <v>1.5</v>
      </c>
      <c r="AC66">
        <v>2.1</v>
      </c>
      <c r="AD66">
        <v>11.9</v>
      </c>
      <c r="AE66">
        <v>2029</v>
      </c>
      <c r="AF66">
        <v>14.7</v>
      </c>
      <c r="AG66">
        <v>0.58299999999999996</v>
      </c>
      <c r="AH66">
        <v>0.57499999999999996</v>
      </c>
      <c r="AI66">
        <v>0.27700000000000002</v>
      </c>
      <c r="AJ66">
        <v>1.8</v>
      </c>
      <c r="AK66">
        <v>7.9</v>
      </c>
      <c r="AL66">
        <v>4.9000000000000004</v>
      </c>
      <c r="AM66">
        <v>29.4</v>
      </c>
      <c r="AN66">
        <v>1.7</v>
      </c>
      <c r="AO66">
        <v>0.6</v>
      </c>
      <c r="AP66">
        <v>13.1</v>
      </c>
      <c r="AQ66">
        <v>16.3</v>
      </c>
      <c r="AR66">
        <v>4.0999999999999996</v>
      </c>
      <c r="AS66">
        <v>1.4</v>
      </c>
      <c r="AT66">
        <v>5.5</v>
      </c>
      <c r="AU66">
        <v>0.13</v>
      </c>
      <c r="AV66">
        <v>1</v>
      </c>
      <c r="AW66">
        <v>-0.1</v>
      </c>
      <c r="AX66">
        <v>0.9</v>
      </c>
      <c r="AY66">
        <v>1.5</v>
      </c>
      <c r="AZ66" s="8">
        <v>3.2</v>
      </c>
      <c r="BA66" s="8">
        <v>0.14109347442680775</v>
      </c>
      <c r="BB66" s="3">
        <v>0</v>
      </c>
    </row>
    <row r="67" spans="1:54" x14ac:dyDescent="0.25">
      <c r="A67" t="s">
        <v>102</v>
      </c>
      <c r="B67" s="2">
        <v>31650600</v>
      </c>
      <c r="C67" t="s">
        <v>52</v>
      </c>
      <c r="D67">
        <v>25</v>
      </c>
      <c r="E67" t="s">
        <v>103</v>
      </c>
      <c r="F67">
        <v>65</v>
      </c>
      <c r="G67">
        <v>65</v>
      </c>
      <c r="H67">
        <v>32.799999999999997</v>
      </c>
      <c r="I67">
        <v>7.3</v>
      </c>
      <c r="J67">
        <v>16</v>
      </c>
      <c r="K67">
        <v>0.45400000000000001</v>
      </c>
      <c r="L67">
        <v>2.6</v>
      </c>
      <c r="M67">
        <v>6.6</v>
      </c>
      <c r="N67">
        <v>0.39800000000000002</v>
      </c>
      <c r="O67">
        <v>4.5999999999999996</v>
      </c>
      <c r="P67">
        <v>9.4</v>
      </c>
      <c r="Q67">
        <v>0.49399999999999999</v>
      </c>
      <c r="R67">
        <v>0.53700000000000003</v>
      </c>
      <c r="S67">
        <v>2.8</v>
      </c>
      <c r="T67">
        <v>3.3</v>
      </c>
      <c r="U67">
        <v>0.83299999999999996</v>
      </c>
      <c r="V67">
        <v>0.7</v>
      </c>
      <c r="W67">
        <v>3.2</v>
      </c>
      <c r="X67">
        <v>4</v>
      </c>
      <c r="Y67">
        <v>6.2</v>
      </c>
      <c r="Z67">
        <v>1</v>
      </c>
      <c r="AA67">
        <v>0.2</v>
      </c>
      <c r="AB67">
        <v>2.2000000000000002</v>
      </c>
      <c r="AC67">
        <v>1.6</v>
      </c>
      <c r="AD67">
        <v>20</v>
      </c>
      <c r="AE67">
        <v>2133</v>
      </c>
      <c r="AF67">
        <v>18</v>
      </c>
      <c r="AG67">
        <v>0.57099999999999995</v>
      </c>
      <c r="AH67">
        <v>0.41499999999999998</v>
      </c>
      <c r="AI67">
        <v>0.20699999999999999</v>
      </c>
      <c r="AJ67">
        <v>2.7</v>
      </c>
      <c r="AK67">
        <v>11</v>
      </c>
      <c r="AL67">
        <v>6.9</v>
      </c>
      <c r="AM67">
        <v>27.5</v>
      </c>
      <c r="AN67">
        <v>1.5</v>
      </c>
      <c r="AO67">
        <v>0.7</v>
      </c>
      <c r="AP67">
        <v>11.3</v>
      </c>
      <c r="AQ67">
        <v>26.1</v>
      </c>
      <c r="AR67">
        <v>3.3</v>
      </c>
      <c r="AS67">
        <v>1.9</v>
      </c>
      <c r="AT67">
        <v>5.0999999999999996</v>
      </c>
      <c r="AU67">
        <v>0.11600000000000001</v>
      </c>
      <c r="AV67">
        <v>2.6</v>
      </c>
      <c r="AW67">
        <v>-1.3</v>
      </c>
      <c r="AX67">
        <v>1.3</v>
      </c>
      <c r="AY67">
        <v>1.8</v>
      </c>
      <c r="AZ67" s="8">
        <v>3.1999999999999997</v>
      </c>
      <c r="BA67" s="8">
        <v>0.10110392851952252</v>
      </c>
      <c r="BB67" s="3">
        <v>0</v>
      </c>
    </row>
    <row r="68" spans="1:54" x14ac:dyDescent="0.25">
      <c r="A68" t="s">
        <v>135</v>
      </c>
      <c r="B68" s="2">
        <v>21177750</v>
      </c>
      <c r="C68" t="s">
        <v>65</v>
      </c>
      <c r="D68">
        <v>30</v>
      </c>
      <c r="E68" t="s">
        <v>93</v>
      </c>
      <c r="F68">
        <v>80</v>
      </c>
      <c r="G68">
        <v>73</v>
      </c>
      <c r="H68">
        <v>31</v>
      </c>
      <c r="I68">
        <v>5.9</v>
      </c>
      <c r="J68">
        <v>13</v>
      </c>
      <c r="K68">
        <v>0.45800000000000002</v>
      </c>
      <c r="L68">
        <v>3.6</v>
      </c>
      <c r="M68">
        <v>8.5</v>
      </c>
      <c r="N68">
        <v>0.42499999999999999</v>
      </c>
      <c r="O68">
        <v>2.2999999999999998</v>
      </c>
      <c r="P68">
        <v>4.5</v>
      </c>
      <c r="Q68">
        <v>0.51800000000000002</v>
      </c>
      <c r="R68">
        <v>0.59599999999999997</v>
      </c>
      <c r="S68">
        <v>1.3</v>
      </c>
      <c r="T68">
        <v>1.6</v>
      </c>
      <c r="U68">
        <v>0.82199999999999995</v>
      </c>
      <c r="V68">
        <v>0.8</v>
      </c>
      <c r="W68">
        <v>4.2</v>
      </c>
      <c r="X68">
        <v>5</v>
      </c>
      <c r="Y68">
        <v>2.8</v>
      </c>
      <c r="Z68">
        <v>1.2</v>
      </c>
      <c r="AA68">
        <v>0.3</v>
      </c>
      <c r="AB68">
        <v>1.7</v>
      </c>
      <c r="AC68">
        <v>2</v>
      </c>
      <c r="AD68">
        <v>16.8</v>
      </c>
      <c r="AE68">
        <v>2482</v>
      </c>
      <c r="AF68">
        <v>15.4</v>
      </c>
      <c r="AG68">
        <v>0.61399999999999999</v>
      </c>
      <c r="AH68">
        <v>0.65200000000000002</v>
      </c>
      <c r="AI68">
        <v>0.124</v>
      </c>
      <c r="AJ68">
        <v>3</v>
      </c>
      <c r="AK68">
        <v>14.9</v>
      </c>
      <c r="AL68">
        <v>8.9</v>
      </c>
      <c r="AM68">
        <v>13.3</v>
      </c>
      <c r="AN68">
        <v>1.8</v>
      </c>
      <c r="AO68">
        <v>0.9</v>
      </c>
      <c r="AP68">
        <v>11.3</v>
      </c>
      <c r="AQ68">
        <v>20.8</v>
      </c>
      <c r="AR68">
        <v>2.7</v>
      </c>
      <c r="AS68">
        <v>1.6</v>
      </c>
      <c r="AT68">
        <v>4.4000000000000004</v>
      </c>
      <c r="AU68">
        <v>8.5000000000000006E-2</v>
      </c>
      <c r="AV68">
        <v>2.5</v>
      </c>
      <c r="AW68">
        <v>-0.6</v>
      </c>
      <c r="AX68">
        <v>1.9</v>
      </c>
      <c r="AY68">
        <v>2.4</v>
      </c>
      <c r="AZ68" s="8">
        <v>3.1500000000000004</v>
      </c>
      <c r="BA68" s="8">
        <v>0.14874101356376387</v>
      </c>
      <c r="BB68" s="3">
        <v>0</v>
      </c>
    </row>
    <row r="69" spans="1:54" x14ac:dyDescent="0.25">
      <c r="A69" t="s">
        <v>295</v>
      </c>
      <c r="B69" s="2">
        <v>4374000</v>
      </c>
      <c r="C69" t="s">
        <v>28</v>
      </c>
      <c r="D69">
        <v>23</v>
      </c>
      <c r="E69" t="s">
        <v>130</v>
      </c>
      <c r="F69">
        <v>78</v>
      </c>
      <c r="G69">
        <v>65</v>
      </c>
      <c r="H69">
        <v>24.1</v>
      </c>
      <c r="I69">
        <v>3.2</v>
      </c>
      <c r="J69">
        <v>5.8</v>
      </c>
      <c r="K69">
        <v>0.54800000000000004</v>
      </c>
      <c r="L69">
        <v>0.4</v>
      </c>
      <c r="M69">
        <v>1.2</v>
      </c>
      <c r="N69">
        <v>0.32200000000000001</v>
      </c>
      <c r="O69">
        <v>2.8</v>
      </c>
      <c r="P69">
        <v>4.5999999999999996</v>
      </c>
      <c r="Q69">
        <v>0.60399999999999998</v>
      </c>
      <c r="R69">
        <v>0.57999999999999996</v>
      </c>
      <c r="S69">
        <v>1.2</v>
      </c>
      <c r="T69">
        <v>1.8</v>
      </c>
      <c r="U69">
        <v>0.69099999999999995</v>
      </c>
      <c r="V69">
        <v>2.2000000000000002</v>
      </c>
      <c r="W69">
        <v>5.3</v>
      </c>
      <c r="X69">
        <v>7.5</v>
      </c>
      <c r="Y69">
        <v>2.4</v>
      </c>
      <c r="Z69">
        <v>1.1000000000000001</v>
      </c>
      <c r="AA69">
        <v>0.3</v>
      </c>
      <c r="AB69">
        <v>1.2</v>
      </c>
      <c r="AC69">
        <v>2.4</v>
      </c>
      <c r="AD69">
        <v>7.9</v>
      </c>
      <c r="AE69">
        <v>1879</v>
      </c>
      <c r="AF69">
        <v>15.1</v>
      </c>
      <c r="AG69">
        <v>0.60399999999999998</v>
      </c>
      <c r="AH69">
        <v>0.2</v>
      </c>
      <c r="AI69">
        <v>0.308</v>
      </c>
      <c r="AJ69">
        <v>10</v>
      </c>
      <c r="AK69">
        <v>23.2</v>
      </c>
      <c r="AL69">
        <v>16.7</v>
      </c>
      <c r="AM69">
        <v>13.1</v>
      </c>
      <c r="AN69">
        <v>2.1</v>
      </c>
      <c r="AO69">
        <v>0.9</v>
      </c>
      <c r="AP69">
        <v>15.9</v>
      </c>
      <c r="AQ69">
        <v>13.6</v>
      </c>
      <c r="AR69">
        <v>2.7</v>
      </c>
      <c r="AS69">
        <v>2.5</v>
      </c>
      <c r="AT69">
        <v>5.2</v>
      </c>
      <c r="AU69">
        <v>0.13200000000000001</v>
      </c>
      <c r="AV69">
        <v>-0.6</v>
      </c>
      <c r="AW69">
        <v>1.6</v>
      </c>
      <c r="AX69">
        <v>1.1000000000000001</v>
      </c>
      <c r="AY69">
        <v>1.5</v>
      </c>
      <c r="AZ69" s="8">
        <v>3.1500000000000004</v>
      </c>
      <c r="BA69" s="8">
        <v>0.72016460905349799</v>
      </c>
      <c r="BB69" s="3">
        <v>0</v>
      </c>
    </row>
    <row r="70" spans="1:54" x14ac:dyDescent="0.25">
      <c r="A70" t="s">
        <v>119</v>
      </c>
      <c r="B70" s="2">
        <v>29776785</v>
      </c>
      <c r="C70" t="s">
        <v>65</v>
      </c>
      <c r="D70">
        <v>26</v>
      </c>
      <c r="E70" t="s">
        <v>113</v>
      </c>
      <c r="F70">
        <v>67</v>
      </c>
      <c r="G70">
        <v>67</v>
      </c>
      <c r="H70">
        <v>35.9</v>
      </c>
      <c r="I70">
        <v>10.1</v>
      </c>
      <c r="J70">
        <v>20.6</v>
      </c>
      <c r="K70">
        <v>0.49099999999999999</v>
      </c>
      <c r="L70">
        <v>2.4</v>
      </c>
      <c r="M70">
        <v>7.3</v>
      </c>
      <c r="N70">
        <v>0.33500000000000002</v>
      </c>
      <c r="O70">
        <v>7.7</v>
      </c>
      <c r="P70">
        <v>13.4</v>
      </c>
      <c r="Q70">
        <v>0.57599999999999996</v>
      </c>
      <c r="R70">
        <v>0.55000000000000004</v>
      </c>
      <c r="S70">
        <v>3.9</v>
      </c>
      <c r="T70">
        <v>5.0999999999999996</v>
      </c>
      <c r="U70">
        <v>0.76500000000000001</v>
      </c>
      <c r="V70">
        <v>1.2</v>
      </c>
      <c r="W70">
        <v>5.7</v>
      </c>
      <c r="X70">
        <v>6.9</v>
      </c>
      <c r="Y70">
        <v>3.5</v>
      </c>
      <c r="Z70">
        <v>1.1000000000000001</v>
      </c>
      <c r="AA70">
        <v>0.4</v>
      </c>
      <c r="AB70">
        <v>2.9</v>
      </c>
      <c r="AC70">
        <v>2.6</v>
      </c>
      <c r="AD70">
        <v>26.6</v>
      </c>
      <c r="AE70">
        <v>2405</v>
      </c>
      <c r="AF70">
        <v>19.100000000000001</v>
      </c>
      <c r="AG70">
        <v>0.58099999999999996</v>
      </c>
      <c r="AH70">
        <v>0.35199999999999998</v>
      </c>
      <c r="AI70">
        <v>0.249</v>
      </c>
      <c r="AJ70">
        <v>3.6</v>
      </c>
      <c r="AK70">
        <v>17</v>
      </c>
      <c r="AL70">
        <v>10.4</v>
      </c>
      <c r="AM70">
        <v>16.5</v>
      </c>
      <c r="AN70">
        <v>1.5</v>
      </c>
      <c r="AO70">
        <v>0.9</v>
      </c>
      <c r="AP70">
        <v>11.4</v>
      </c>
      <c r="AQ70">
        <v>31.4</v>
      </c>
      <c r="AR70">
        <v>1.6</v>
      </c>
      <c r="AS70">
        <v>3.4</v>
      </c>
      <c r="AT70">
        <v>5</v>
      </c>
      <c r="AU70">
        <v>0.1</v>
      </c>
      <c r="AV70">
        <v>1.5</v>
      </c>
      <c r="AW70">
        <v>-0.2</v>
      </c>
      <c r="AX70">
        <v>1.3</v>
      </c>
      <c r="AY70">
        <v>2</v>
      </c>
      <c r="AZ70" s="8">
        <v>3.15</v>
      </c>
      <c r="BA70" s="8">
        <v>0.10578710898439841</v>
      </c>
      <c r="BB70" s="3">
        <v>0</v>
      </c>
    </row>
    <row r="71" spans="1:54" x14ac:dyDescent="0.25">
      <c r="A71" t="s">
        <v>455</v>
      </c>
      <c r="B71" s="2">
        <v>1563518</v>
      </c>
      <c r="C71" t="s">
        <v>62</v>
      </c>
      <c r="D71">
        <v>24</v>
      </c>
      <c r="E71" t="s">
        <v>58</v>
      </c>
      <c r="F71">
        <v>64</v>
      </c>
      <c r="G71">
        <v>22</v>
      </c>
      <c r="H71">
        <v>28.8</v>
      </c>
      <c r="I71">
        <v>4</v>
      </c>
      <c r="J71">
        <v>7.7</v>
      </c>
      <c r="K71">
        <v>0.52900000000000003</v>
      </c>
      <c r="L71">
        <v>1.3</v>
      </c>
      <c r="M71">
        <v>3.4</v>
      </c>
      <c r="N71">
        <v>0.39800000000000002</v>
      </c>
      <c r="O71">
        <v>2.7</v>
      </c>
      <c r="P71">
        <v>4.3</v>
      </c>
      <c r="Q71">
        <v>0.63100000000000001</v>
      </c>
      <c r="R71">
        <v>0.61599999999999999</v>
      </c>
      <c r="S71">
        <v>3.6</v>
      </c>
      <c r="T71">
        <v>4.0999999999999996</v>
      </c>
      <c r="U71">
        <v>0.86399999999999999</v>
      </c>
      <c r="V71">
        <v>0.5</v>
      </c>
      <c r="W71">
        <v>2.5</v>
      </c>
      <c r="X71">
        <v>3</v>
      </c>
      <c r="Y71">
        <v>3.4</v>
      </c>
      <c r="Z71">
        <v>0.5</v>
      </c>
      <c r="AA71">
        <v>0.3</v>
      </c>
      <c r="AB71">
        <v>1.5</v>
      </c>
      <c r="AC71">
        <v>1.7</v>
      </c>
      <c r="AD71">
        <v>13</v>
      </c>
      <c r="AE71">
        <v>1843</v>
      </c>
      <c r="AF71">
        <v>14.9</v>
      </c>
      <c r="AG71">
        <v>0.68700000000000006</v>
      </c>
      <c r="AH71">
        <v>0.441</v>
      </c>
      <c r="AI71">
        <v>0.54100000000000004</v>
      </c>
      <c r="AJ71">
        <v>2</v>
      </c>
      <c r="AK71">
        <v>9</v>
      </c>
      <c r="AL71">
        <v>5.6</v>
      </c>
      <c r="AM71">
        <v>15.7</v>
      </c>
      <c r="AN71">
        <v>0.8</v>
      </c>
      <c r="AO71">
        <v>0.9</v>
      </c>
      <c r="AP71">
        <v>14</v>
      </c>
      <c r="AQ71">
        <v>16.2</v>
      </c>
      <c r="AR71">
        <v>4.0999999999999996</v>
      </c>
      <c r="AS71">
        <v>1.4</v>
      </c>
      <c r="AT71">
        <v>5.4</v>
      </c>
      <c r="AU71">
        <v>0.14199999999999999</v>
      </c>
      <c r="AV71">
        <v>0.6</v>
      </c>
      <c r="AW71">
        <v>0.1</v>
      </c>
      <c r="AX71">
        <v>0.7</v>
      </c>
      <c r="AY71">
        <v>1.2</v>
      </c>
      <c r="AZ71" s="8">
        <v>3.0500000000000003</v>
      </c>
      <c r="BA71" s="8">
        <v>1.9507290610021761</v>
      </c>
      <c r="BB71" s="3">
        <v>0</v>
      </c>
    </row>
    <row r="72" spans="1:54" x14ac:dyDescent="0.25">
      <c r="A72" t="s">
        <v>264</v>
      </c>
      <c r="B72" s="2">
        <v>5887899</v>
      </c>
      <c r="C72" t="s">
        <v>28</v>
      </c>
      <c r="D72">
        <v>26</v>
      </c>
      <c r="E72" t="s">
        <v>60</v>
      </c>
      <c r="F72">
        <v>42</v>
      </c>
      <c r="G72">
        <v>41</v>
      </c>
      <c r="H72">
        <v>28.5</v>
      </c>
      <c r="I72">
        <v>5.3</v>
      </c>
      <c r="J72">
        <v>11.3</v>
      </c>
      <c r="K72">
        <v>0.47</v>
      </c>
      <c r="L72">
        <v>2.5</v>
      </c>
      <c r="M72">
        <v>6.1</v>
      </c>
      <c r="N72">
        <v>0.40400000000000003</v>
      </c>
      <c r="O72">
        <v>2.9</v>
      </c>
      <c r="P72">
        <v>5.2</v>
      </c>
      <c r="Q72">
        <v>0.54800000000000004</v>
      </c>
      <c r="R72">
        <v>0.57899999999999996</v>
      </c>
      <c r="S72">
        <v>2.4</v>
      </c>
      <c r="T72">
        <v>2.9</v>
      </c>
      <c r="U72">
        <v>0.84199999999999997</v>
      </c>
      <c r="V72">
        <v>0.8</v>
      </c>
      <c r="W72">
        <v>3.6</v>
      </c>
      <c r="X72">
        <v>4.4000000000000004</v>
      </c>
      <c r="Y72">
        <v>1.9</v>
      </c>
      <c r="Z72">
        <v>1.2</v>
      </c>
      <c r="AA72">
        <v>0.3</v>
      </c>
      <c r="AB72">
        <v>0.9</v>
      </c>
      <c r="AC72">
        <v>2</v>
      </c>
      <c r="AD72">
        <v>15.5</v>
      </c>
      <c r="AE72">
        <v>1199</v>
      </c>
      <c r="AF72">
        <v>17.100000000000001</v>
      </c>
      <c r="AG72">
        <v>0.61699999999999999</v>
      </c>
      <c r="AH72">
        <v>0.53800000000000003</v>
      </c>
      <c r="AI72">
        <v>0.253</v>
      </c>
      <c r="AJ72">
        <v>3.2</v>
      </c>
      <c r="AK72">
        <v>14</v>
      </c>
      <c r="AL72">
        <v>8.6</v>
      </c>
      <c r="AM72">
        <v>9.6</v>
      </c>
      <c r="AN72">
        <v>2</v>
      </c>
      <c r="AO72">
        <v>1</v>
      </c>
      <c r="AP72">
        <v>6.6</v>
      </c>
      <c r="AQ72">
        <v>20.6</v>
      </c>
      <c r="AR72">
        <v>2.1</v>
      </c>
      <c r="AS72">
        <v>1.4</v>
      </c>
      <c r="AT72">
        <v>3.5</v>
      </c>
      <c r="AU72">
        <v>0.14199999999999999</v>
      </c>
      <c r="AV72">
        <v>2</v>
      </c>
      <c r="AW72">
        <v>0.6</v>
      </c>
      <c r="AX72">
        <v>2.6</v>
      </c>
      <c r="AY72">
        <v>1.4</v>
      </c>
      <c r="AZ72" s="8">
        <v>3.05</v>
      </c>
      <c r="BA72" s="8">
        <v>0.5180116031202302</v>
      </c>
      <c r="BB72" s="3">
        <v>0</v>
      </c>
    </row>
    <row r="73" spans="1:54" x14ac:dyDescent="0.25">
      <c r="A73" t="s">
        <v>196</v>
      </c>
      <c r="B73" s="2">
        <v>10843350</v>
      </c>
      <c r="C73" t="s">
        <v>28</v>
      </c>
      <c r="D73">
        <v>27</v>
      </c>
      <c r="E73" t="s">
        <v>68</v>
      </c>
      <c r="F73">
        <v>70</v>
      </c>
      <c r="G73">
        <v>22</v>
      </c>
      <c r="H73">
        <v>26</v>
      </c>
      <c r="I73">
        <v>5.7</v>
      </c>
      <c r="J73">
        <v>11.5</v>
      </c>
      <c r="K73">
        <v>0.496</v>
      </c>
      <c r="L73">
        <v>1.4</v>
      </c>
      <c r="M73">
        <v>3.7</v>
      </c>
      <c r="N73">
        <v>0.37</v>
      </c>
      <c r="O73">
        <v>4.3</v>
      </c>
      <c r="P73">
        <v>7.8</v>
      </c>
      <c r="Q73">
        <v>0.55500000000000005</v>
      </c>
      <c r="R73">
        <v>0.55500000000000005</v>
      </c>
      <c r="S73">
        <v>1.4</v>
      </c>
      <c r="T73">
        <v>1.8</v>
      </c>
      <c r="U73">
        <v>0.76800000000000002</v>
      </c>
      <c r="V73">
        <v>2.2000000000000002</v>
      </c>
      <c r="W73">
        <v>7.4</v>
      </c>
      <c r="X73">
        <v>9.6</v>
      </c>
      <c r="Y73">
        <v>1.5</v>
      </c>
      <c r="Z73">
        <v>0.4</v>
      </c>
      <c r="AA73">
        <v>0.2</v>
      </c>
      <c r="AB73">
        <v>1.2</v>
      </c>
      <c r="AC73">
        <v>1.6</v>
      </c>
      <c r="AD73">
        <v>14.1</v>
      </c>
      <c r="AE73">
        <v>1818</v>
      </c>
      <c r="AF73">
        <v>17.8</v>
      </c>
      <c r="AG73">
        <v>0.57499999999999996</v>
      </c>
      <c r="AH73">
        <v>0.32</v>
      </c>
      <c r="AI73">
        <v>0.156</v>
      </c>
      <c r="AJ73">
        <v>9.1999999999999993</v>
      </c>
      <c r="AK73">
        <v>28.6</v>
      </c>
      <c r="AL73">
        <v>19.3</v>
      </c>
      <c r="AM73">
        <v>8.6999999999999993</v>
      </c>
      <c r="AN73">
        <v>0.8</v>
      </c>
      <c r="AO73">
        <v>0.7</v>
      </c>
      <c r="AP73">
        <v>8.6</v>
      </c>
      <c r="AQ73">
        <v>21.7</v>
      </c>
      <c r="AR73">
        <v>2.5</v>
      </c>
      <c r="AS73">
        <v>2.8</v>
      </c>
      <c r="AT73">
        <v>5.3</v>
      </c>
      <c r="AU73">
        <v>0.13900000000000001</v>
      </c>
      <c r="AV73">
        <v>1.2</v>
      </c>
      <c r="AW73">
        <v>-0.6</v>
      </c>
      <c r="AX73">
        <v>0.7</v>
      </c>
      <c r="AY73">
        <v>1.2</v>
      </c>
      <c r="AZ73" s="8">
        <v>3</v>
      </c>
      <c r="BA73" s="8">
        <v>0.27666726611240994</v>
      </c>
      <c r="BB73" s="3">
        <v>0</v>
      </c>
    </row>
    <row r="74" spans="1:54" x14ac:dyDescent="0.25">
      <c r="A74" t="s">
        <v>355</v>
      </c>
      <c r="B74" s="2">
        <v>2726880</v>
      </c>
      <c r="C74" t="s">
        <v>62</v>
      </c>
      <c r="D74">
        <v>22</v>
      </c>
      <c r="E74" t="s">
        <v>82</v>
      </c>
      <c r="F74">
        <v>60</v>
      </c>
      <c r="G74">
        <v>41</v>
      </c>
      <c r="H74">
        <v>33.6</v>
      </c>
      <c r="I74">
        <v>7.3</v>
      </c>
      <c r="J74">
        <v>15.2</v>
      </c>
      <c r="K74">
        <v>0.48099999999999998</v>
      </c>
      <c r="L74">
        <v>2.7</v>
      </c>
      <c r="M74">
        <v>6.2</v>
      </c>
      <c r="N74">
        <v>0.434</v>
      </c>
      <c r="O74">
        <v>4.7</v>
      </c>
      <c r="P74">
        <v>9.1</v>
      </c>
      <c r="Q74">
        <v>0.51300000000000001</v>
      </c>
      <c r="R74">
        <v>0.56799999999999995</v>
      </c>
      <c r="S74">
        <v>3</v>
      </c>
      <c r="T74">
        <v>3.6</v>
      </c>
      <c r="U74">
        <v>0.84499999999999997</v>
      </c>
      <c r="V74">
        <v>0.4</v>
      </c>
      <c r="W74">
        <v>2.6</v>
      </c>
      <c r="X74">
        <v>2.9</v>
      </c>
      <c r="Y74">
        <v>3.5</v>
      </c>
      <c r="Z74">
        <v>0.8</v>
      </c>
      <c r="AA74">
        <v>0.1</v>
      </c>
      <c r="AB74">
        <v>1.3</v>
      </c>
      <c r="AC74">
        <v>2.2000000000000002</v>
      </c>
      <c r="AD74">
        <v>20.3</v>
      </c>
      <c r="AE74">
        <v>2016</v>
      </c>
      <c r="AF74">
        <v>17</v>
      </c>
      <c r="AG74">
        <v>0.60499999999999998</v>
      </c>
      <c r="AH74">
        <v>0.40400000000000003</v>
      </c>
      <c r="AI74">
        <v>0.23300000000000001</v>
      </c>
      <c r="AJ74">
        <v>1.4</v>
      </c>
      <c r="AK74">
        <v>8.8000000000000007</v>
      </c>
      <c r="AL74">
        <v>5.2</v>
      </c>
      <c r="AM74">
        <v>16.899999999999999</v>
      </c>
      <c r="AN74">
        <v>1.2</v>
      </c>
      <c r="AO74">
        <v>0.4</v>
      </c>
      <c r="AP74">
        <v>7.4</v>
      </c>
      <c r="AQ74">
        <v>24.1</v>
      </c>
      <c r="AR74">
        <v>3.7</v>
      </c>
      <c r="AS74">
        <v>1.6</v>
      </c>
      <c r="AT74">
        <v>5.4</v>
      </c>
      <c r="AU74">
        <v>0.128</v>
      </c>
      <c r="AV74">
        <v>1.9</v>
      </c>
      <c r="AW74">
        <v>-1.2</v>
      </c>
      <c r="AX74">
        <v>0.6</v>
      </c>
      <c r="AY74">
        <v>1.3</v>
      </c>
      <c r="AZ74" s="8">
        <v>3</v>
      </c>
      <c r="BA74" s="8">
        <v>1.1001584228128851</v>
      </c>
      <c r="BB74" s="3">
        <v>0</v>
      </c>
    </row>
    <row r="75" spans="1:54" x14ac:dyDescent="0.25">
      <c r="A75" t="s">
        <v>169</v>
      </c>
      <c r="B75" s="2">
        <v>14508929</v>
      </c>
      <c r="C75" t="s">
        <v>62</v>
      </c>
      <c r="D75">
        <v>24</v>
      </c>
      <c r="E75" t="s">
        <v>116</v>
      </c>
      <c r="F75">
        <v>75</v>
      </c>
      <c r="G75">
        <v>75</v>
      </c>
      <c r="H75">
        <v>29.4</v>
      </c>
      <c r="I75">
        <v>5.6</v>
      </c>
      <c r="J75">
        <v>11.5</v>
      </c>
      <c r="K75">
        <v>0.48499999999999999</v>
      </c>
      <c r="L75">
        <v>2.7</v>
      </c>
      <c r="M75">
        <v>6.8</v>
      </c>
      <c r="N75">
        <v>0.40200000000000002</v>
      </c>
      <c r="O75">
        <v>2.9</v>
      </c>
      <c r="P75">
        <v>4.7</v>
      </c>
      <c r="Q75">
        <v>0.60399999999999998</v>
      </c>
      <c r="R75">
        <v>0.60299999999999998</v>
      </c>
      <c r="S75">
        <v>1.3</v>
      </c>
      <c r="T75">
        <v>1.7</v>
      </c>
      <c r="U75">
        <v>0.72499999999999998</v>
      </c>
      <c r="V75">
        <v>0.6</v>
      </c>
      <c r="W75">
        <v>2.8</v>
      </c>
      <c r="X75">
        <v>3.3</v>
      </c>
      <c r="Y75">
        <v>2.9</v>
      </c>
      <c r="Z75">
        <v>1.1000000000000001</v>
      </c>
      <c r="AA75">
        <v>0.3</v>
      </c>
      <c r="AB75">
        <v>1.3</v>
      </c>
      <c r="AC75">
        <v>2.4</v>
      </c>
      <c r="AD75">
        <v>15.2</v>
      </c>
      <c r="AE75">
        <v>2203</v>
      </c>
      <c r="AF75">
        <v>15.2</v>
      </c>
      <c r="AG75">
        <v>0.61699999999999999</v>
      </c>
      <c r="AH75">
        <v>0.58899999999999997</v>
      </c>
      <c r="AI75">
        <v>0.151</v>
      </c>
      <c r="AJ75">
        <v>2.2000000000000002</v>
      </c>
      <c r="AK75">
        <v>10.8</v>
      </c>
      <c r="AL75">
        <v>6.5</v>
      </c>
      <c r="AM75">
        <v>14.1</v>
      </c>
      <c r="AN75">
        <v>1.7</v>
      </c>
      <c r="AO75">
        <v>1</v>
      </c>
      <c r="AP75">
        <v>9.5</v>
      </c>
      <c r="AQ75">
        <v>19.899999999999999</v>
      </c>
      <c r="AR75">
        <v>3.3</v>
      </c>
      <c r="AS75">
        <v>1.7</v>
      </c>
      <c r="AT75">
        <v>4.9000000000000004</v>
      </c>
      <c r="AU75">
        <v>0.107</v>
      </c>
      <c r="AV75">
        <v>1.4</v>
      </c>
      <c r="AW75">
        <v>-0.3</v>
      </c>
      <c r="AX75">
        <v>1</v>
      </c>
      <c r="AY75">
        <v>1.7</v>
      </c>
      <c r="AZ75" s="8">
        <v>2.95</v>
      </c>
      <c r="BA75" s="8">
        <v>0.20332307091722621</v>
      </c>
      <c r="BB75" s="3">
        <v>0</v>
      </c>
    </row>
    <row r="76" spans="1:54" x14ac:dyDescent="0.25">
      <c r="A76" t="s">
        <v>298</v>
      </c>
      <c r="B76" s="2">
        <v>4341480</v>
      </c>
      <c r="C76" t="s">
        <v>62</v>
      </c>
      <c r="D76">
        <v>21</v>
      </c>
      <c r="E76" t="s">
        <v>109</v>
      </c>
      <c r="F76">
        <v>75</v>
      </c>
      <c r="G76">
        <v>62</v>
      </c>
      <c r="H76">
        <v>30.3</v>
      </c>
      <c r="I76">
        <v>5.5</v>
      </c>
      <c r="J76">
        <v>10.6</v>
      </c>
      <c r="K76">
        <v>0.52100000000000002</v>
      </c>
      <c r="L76">
        <v>1</v>
      </c>
      <c r="M76">
        <v>2.7</v>
      </c>
      <c r="N76">
        <v>0.35599999999999998</v>
      </c>
      <c r="O76">
        <v>4.5</v>
      </c>
      <c r="P76">
        <v>7.9</v>
      </c>
      <c r="Q76">
        <v>0.57899999999999996</v>
      </c>
      <c r="R76">
        <v>0.56699999999999995</v>
      </c>
      <c r="S76">
        <v>2.1</v>
      </c>
      <c r="T76">
        <v>2.5</v>
      </c>
      <c r="U76">
        <v>0.81200000000000006</v>
      </c>
      <c r="V76">
        <v>1.1000000000000001</v>
      </c>
      <c r="W76">
        <v>3.4</v>
      </c>
      <c r="X76">
        <v>4.5</v>
      </c>
      <c r="Y76">
        <v>3.3</v>
      </c>
      <c r="Z76">
        <v>1.4</v>
      </c>
      <c r="AA76">
        <v>0.5</v>
      </c>
      <c r="AB76">
        <v>1.6</v>
      </c>
      <c r="AC76">
        <v>2.5</v>
      </c>
      <c r="AD76">
        <v>14.1</v>
      </c>
      <c r="AE76">
        <v>2276</v>
      </c>
      <c r="AF76">
        <v>15.6</v>
      </c>
      <c r="AG76">
        <v>0.60099999999999998</v>
      </c>
      <c r="AH76">
        <v>0.25800000000000001</v>
      </c>
      <c r="AI76">
        <v>0.24099999999999999</v>
      </c>
      <c r="AJ76">
        <v>3.9</v>
      </c>
      <c r="AK76">
        <v>12.2</v>
      </c>
      <c r="AL76">
        <v>7.9</v>
      </c>
      <c r="AM76">
        <v>15.4</v>
      </c>
      <c r="AN76">
        <v>2.1</v>
      </c>
      <c r="AO76">
        <v>1.4</v>
      </c>
      <c r="AP76">
        <v>12.3</v>
      </c>
      <c r="AQ76">
        <v>18.399999999999999</v>
      </c>
      <c r="AR76">
        <v>3</v>
      </c>
      <c r="AS76">
        <v>2.6</v>
      </c>
      <c r="AT76">
        <v>5.6</v>
      </c>
      <c r="AU76">
        <v>0.11899999999999999</v>
      </c>
      <c r="AV76">
        <v>-0.4</v>
      </c>
      <c r="AW76">
        <v>0.7</v>
      </c>
      <c r="AX76">
        <v>0.3</v>
      </c>
      <c r="AY76">
        <v>1.3</v>
      </c>
      <c r="AZ76" s="8">
        <v>2.9499999999999997</v>
      </c>
      <c r="BA76" s="8">
        <v>0.67949178621115369</v>
      </c>
      <c r="BB76" s="3">
        <v>0</v>
      </c>
    </row>
    <row r="77" spans="1:54" x14ac:dyDescent="0.25">
      <c r="A77" t="s">
        <v>205</v>
      </c>
      <c r="B77" s="2">
        <v>10123457</v>
      </c>
      <c r="C77" t="s">
        <v>75</v>
      </c>
      <c r="D77">
        <v>25</v>
      </c>
      <c r="E77" t="s">
        <v>55</v>
      </c>
      <c r="F77">
        <v>76</v>
      </c>
      <c r="G77">
        <v>76</v>
      </c>
      <c r="H77">
        <v>28.6</v>
      </c>
      <c r="I77">
        <v>4.3</v>
      </c>
      <c r="J77">
        <v>6.8</v>
      </c>
      <c r="K77">
        <v>0.63400000000000001</v>
      </c>
      <c r="L77">
        <v>0</v>
      </c>
      <c r="M77">
        <v>0</v>
      </c>
      <c r="N77">
        <v>0</v>
      </c>
      <c r="O77">
        <v>4.3</v>
      </c>
      <c r="P77">
        <v>6.7</v>
      </c>
      <c r="Q77">
        <v>0.63700000000000001</v>
      </c>
      <c r="R77">
        <v>0.63400000000000001</v>
      </c>
      <c r="S77">
        <v>2.2000000000000002</v>
      </c>
      <c r="T77">
        <v>3.1</v>
      </c>
      <c r="U77">
        <v>0.69699999999999995</v>
      </c>
      <c r="V77">
        <v>3.1</v>
      </c>
      <c r="W77">
        <v>6.8</v>
      </c>
      <c r="X77">
        <v>9.9</v>
      </c>
      <c r="Y77">
        <v>1</v>
      </c>
      <c r="Z77">
        <v>0.4</v>
      </c>
      <c r="AA77">
        <v>1.3</v>
      </c>
      <c r="AB77">
        <v>1.5</v>
      </c>
      <c r="AC77">
        <v>2.9</v>
      </c>
      <c r="AD77">
        <v>10.8</v>
      </c>
      <c r="AE77">
        <v>2170</v>
      </c>
      <c r="AF77">
        <v>16.7</v>
      </c>
      <c r="AG77">
        <v>0.66100000000000003</v>
      </c>
      <c r="AH77">
        <v>4.0000000000000001E-3</v>
      </c>
      <c r="AI77">
        <v>0.46300000000000002</v>
      </c>
      <c r="AJ77">
        <v>12.3</v>
      </c>
      <c r="AK77">
        <v>26.5</v>
      </c>
      <c r="AL77">
        <v>19.5</v>
      </c>
      <c r="AM77">
        <v>5.0999999999999996</v>
      </c>
      <c r="AN77">
        <v>0.7</v>
      </c>
      <c r="AO77">
        <v>4</v>
      </c>
      <c r="AP77">
        <v>15.9</v>
      </c>
      <c r="AQ77">
        <v>14.8</v>
      </c>
      <c r="AR77">
        <v>3.8</v>
      </c>
      <c r="AS77">
        <v>2.9</v>
      </c>
      <c r="AT77">
        <v>6.7</v>
      </c>
      <c r="AU77">
        <v>0.14899999999999999</v>
      </c>
      <c r="AV77">
        <v>-1.1000000000000001</v>
      </c>
      <c r="AW77">
        <v>0.2</v>
      </c>
      <c r="AX77">
        <v>-0.9</v>
      </c>
      <c r="AY77">
        <v>0.6</v>
      </c>
      <c r="AZ77" s="8">
        <v>2.9</v>
      </c>
      <c r="BA77" s="8">
        <v>0.28646340869527082</v>
      </c>
      <c r="BB77" s="3">
        <v>0</v>
      </c>
    </row>
    <row r="78" spans="1:54" x14ac:dyDescent="0.25">
      <c r="A78" t="s">
        <v>156</v>
      </c>
      <c r="B78" s="2">
        <v>17071120</v>
      </c>
      <c r="C78" t="s">
        <v>62</v>
      </c>
      <c r="D78">
        <v>26</v>
      </c>
      <c r="E78" t="s">
        <v>85</v>
      </c>
      <c r="F78">
        <v>74</v>
      </c>
      <c r="G78">
        <v>74</v>
      </c>
      <c r="H78">
        <v>36.4</v>
      </c>
      <c r="I78">
        <v>8.3000000000000007</v>
      </c>
      <c r="J78">
        <v>17.8</v>
      </c>
      <c r="K78">
        <v>0.46400000000000002</v>
      </c>
      <c r="L78">
        <v>1.8</v>
      </c>
      <c r="M78">
        <v>5.2</v>
      </c>
      <c r="N78">
        <v>0.34399999999999997</v>
      </c>
      <c r="O78">
        <v>6.5</v>
      </c>
      <c r="P78">
        <v>12.6</v>
      </c>
      <c r="Q78">
        <v>0.51400000000000001</v>
      </c>
      <c r="R78">
        <v>0.51400000000000001</v>
      </c>
      <c r="S78">
        <v>2.1</v>
      </c>
      <c r="T78">
        <v>2.6</v>
      </c>
      <c r="U78">
        <v>0.83199999999999996</v>
      </c>
      <c r="V78">
        <v>0.7</v>
      </c>
      <c r="W78">
        <v>4.5</v>
      </c>
      <c r="X78">
        <v>5.3</v>
      </c>
      <c r="Y78">
        <v>6.1</v>
      </c>
      <c r="Z78">
        <v>1.5</v>
      </c>
      <c r="AA78">
        <v>0.3</v>
      </c>
      <c r="AB78">
        <v>2.2000000000000002</v>
      </c>
      <c r="AC78">
        <v>1.4</v>
      </c>
      <c r="AD78">
        <v>20.5</v>
      </c>
      <c r="AE78">
        <v>2693</v>
      </c>
      <c r="AF78">
        <v>17</v>
      </c>
      <c r="AG78">
        <v>0.54</v>
      </c>
      <c r="AH78">
        <v>0.29299999999999998</v>
      </c>
      <c r="AI78">
        <v>0.14399999999999999</v>
      </c>
      <c r="AJ78">
        <v>2.1</v>
      </c>
      <c r="AK78">
        <v>13.8</v>
      </c>
      <c r="AL78">
        <v>7.9</v>
      </c>
      <c r="AM78">
        <v>24</v>
      </c>
      <c r="AN78">
        <v>2</v>
      </c>
      <c r="AO78">
        <v>0.6</v>
      </c>
      <c r="AP78">
        <v>10.199999999999999</v>
      </c>
      <c r="AQ78">
        <v>24.4</v>
      </c>
      <c r="AR78">
        <v>2.4</v>
      </c>
      <c r="AS78">
        <v>2.2999999999999998</v>
      </c>
      <c r="AT78">
        <v>4.7</v>
      </c>
      <c r="AU78">
        <v>8.4000000000000005E-2</v>
      </c>
      <c r="AV78">
        <v>1.1000000000000001</v>
      </c>
      <c r="AW78">
        <v>0</v>
      </c>
      <c r="AX78">
        <v>1</v>
      </c>
      <c r="AY78">
        <v>2.1</v>
      </c>
      <c r="AZ78" s="8">
        <v>2.85</v>
      </c>
      <c r="BA78" s="8">
        <v>0.16694862434333541</v>
      </c>
      <c r="BB78" s="3">
        <v>0</v>
      </c>
    </row>
    <row r="79" spans="1:54" x14ac:dyDescent="0.25">
      <c r="A79" t="s">
        <v>126</v>
      </c>
      <c r="B79" s="2">
        <v>25806468</v>
      </c>
      <c r="C79" t="s">
        <v>28</v>
      </c>
      <c r="D79">
        <v>32</v>
      </c>
      <c r="E79" t="s">
        <v>53</v>
      </c>
      <c r="F79">
        <v>73</v>
      </c>
      <c r="G79">
        <v>73</v>
      </c>
      <c r="H79">
        <v>31.5</v>
      </c>
      <c r="I79">
        <v>3.4</v>
      </c>
      <c r="J79">
        <v>6.5</v>
      </c>
      <c r="K79">
        <v>0.52700000000000002</v>
      </c>
      <c r="L79">
        <v>0.5</v>
      </c>
      <c r="M79">
        <v>1.8</v>
      </c>
      <c r="N79">
        <v>0.30499999999999999</v>
      </c>
      <c r="O79">
        <v>2.9</v>
      </c>
      <c r="P79">
        <v>4.7</v>
      </c>
      <c r="Q79">
        <v>0.61199999999999999</v>
      </c>
      <c r="R79">
        <v>0.56999999999999995</v>
      </c>
      <c r="S79">
        <v>1.1000000000000001</v>
      </c>
      <c r="T79">
        <v>1.5</v>
      </c>
      <c r="U79">
        <v>0.71299999999999997</v>
      </c>
      <c r="V79">
        <v>0.9</v>
      </c>
      <c r="W79">
        <v>6.3</v>
      </c>
      <c r="X79">
        <v>7.2</v>
      </c>
      <c r="Y79">
        <v>6.8</v>
      </c>
      <c r="Z79">
        <v>1</v>
      </c>
      <c r="AA79">
        <v>0.8</v>
      </c>
      <c r="AB79">
        <v>2.8</v>
      </c>
      <c r="AC79">
        <v>3.1</v>
      </c>
      <c r="AD79">
        <v>8.5</v>
      </c>
      <c r="AE79">
        <v>2297</v>
      </c>
      <c r="AF79">
        <v>12.2</v>
      </c>
      <c r="AG79">
        <v>0.59199999999999997</v>
      </c>
      <c r="AH79">
        <v>0.27600000000000002</v>
      </c>
      <c r="AI79">
        <v>0.22800000000000001</v>
      </c>
      <c r="AJ79">
        <v>3.2</v>
      </c>
      <c r="AK79">
        <v>21.6</v>
      </c>
      <c r="AL79">
        <v>12.6</v>
      </c>
      <c r="AM79">
        <v>27.8</v>
      </c>
      <c r="AN79">
        <v>1.5</v>
      </c>
      <c r="AO79">
        <v>2.2999999999999998</v>
      </c>
      <c r="AP79">
        <v>28.1</v>
      </c>
      <c r="AQ79">
        <v>13.2</v>
      </c>
      <c r="AR79">
        <v>1.6</v>
      </c>
      <c r="AS79">
        <v>3.1</v>
      </c>
      <c r="AT79">
        <v>4.7</v>
      </c>
      <c r="AU79">
        <v>9.8000000000000004E-2</v>
      </c>
      <c r="AV79">
        <v>-1.8</v>
      </c>
      <c r="AW79">
        <v>2.6</v>
      </c>
      <c r="AX79">
        <v>0.8</v>
      </c>
      <c r="AY79">
        <v>1.6</v>
      </c>
      <c r="AZ79" s="8">
        <v>2.75</v>
      </c>
      <c r="BA79" s="8">
        <v>0.10656243233285546</v>
      </c>
      <c r="BB79" s="3">
        <v>0</v>
      </c>
    </row>
    <row r="80" spans="1:54" x14ac:dyDescent="0.25">
      <c r="A80" t="s">
        <v>146</v>
      </c>
      <c r="B80" s="2">
        <v>18352273</v>
      </c>
      <c r="C80" t="s">
        <v>28</v>
      </c>
      <c r="D80">
        <v>30</v>
      </c>
      <c r="E80" t="s">
        <v>116</v>
      </c>
      <c r="F80">
        <v>82</v>
      </c>
      <c r="G80">
        <v>82</v>
      </c>
      <c r="H80">
        <v>32.5</v>
      </c>
      <c r="I80">
        <v>4.5999999999999996</v>
      </c>
      <c r="J80">
        <v>9.6</v>
      </c>
      <c r="K80">
        <v>0.47299999999999998</v>
      </c>
      <c r="L80">
        <v>1.6</v>
      </c>
      <c r="M80">
        <v>4.3</v>
      </c>
      <c r="N80">
        <v>0.374</v>
      </c>
      <c r="O80">
        <v>3</v>
      </c>
      <c r="P80">
        <v>5.3</v>
      </c>
      <c r="Q80">
        <v>0.55300000000000005</v>
      </c>
      <c r="R80">
        <v>0.55600000000000005</v>
      </c>
      <c r="S80">
        <v>4.3</v>
      </c>
      <c r="T80">
        <v>5</v>
      </c>
      <c r="U80">
        <v>0.84699999999999998</v>
      </c>
      <c r="V80">
        <v>1.1000000000000001</v>
      </c>
      <c r="W80">
        <v>3.4</v>
      </c>
      <c r="X80">
        <v>4.5</v>
      </c>
      <c r="Y80">
        <v>1.6</v>
      </c>
      <c r="Z80">
        <v>0.7</v>
      </c>
      <c r="AA80">
        <v>0.1</v>
      </c>
      <c r="AB80">
        <v>1</v>
      </c>
      <c r="AC80">
        <v>1.3</v>
      </c>
      <c r="AD80">
        <v>15</v>
      </c>
      <c r="AE80">
        <v>2662</v>
      </c>
      <c r="AF80">
        <v>14.1</v>
      </c>
      <c r="AG80">
        <v>0.63200000000000001</v>
      </c>
      <c r="AH80">
        <v>0.44600000000000001</v>
      </c>
      <c r="AI80">
        <v>0.52200000000000002</v>
      </c>
      <c r="AJ80">
        <v>3.8</v>
      </c>
      <c r="AK80">
        <v>11.9</v>
      </c>
      <c r="AL80">
        <v>7.9</v>
      </c>
      <c r="AM80">
        <v>6.3</v>
      </c>
      <c r="AN80">
        <v>1</v>
      </c>
      <c r="AO80">
        <v>0.3</v>
      </c>
      <c r="AP80">
        <v>8.1</v>
      </c>
      <c r="AQ80">
        <v>17.100000000000001</v>
      </c>
      <c r="AR80">
        <v>5.0999999999999996</v>
      </c>
      <c r="AS80">
        <v>1.4</v>
      </c>
      <c r="AT80">
        <v>6.5</v>
      </c>
      <c r="AU80">
        <v>0.11799999999999999</v>
      </c>
      <c r="AV80">
        <v>0.5</v>
      </c>
      <c r="AW80">
        <v>-1.5</v>
      </c>
      <c r="AX80">
        <v>-1</v>
      </c>
      <c r="AY80">
        <v>0.7</v>
      </c>
      <c r="AZ80" s="8">
        <v>2.75</v>
      </c>
      <c r="BA80" s="8">
        <v>0.14984519901158838</v>
      </c>
      <c r="BB80" s="3">
        <v>0</v>
      </c>
    </row>
    <row r="81" spans="1:54" x14ac:dyDescent="0.25">
      <c r="A81" t="s">
        <v>275</v>
      </c>
      <c r="B81" s="2">
        <v>5258280</v>
      </c>
      <c r="C81" t="s">
        <v>65</v>
      </c>
      <c r="D81">
        <v>21</v>
      </c>
      <c r="E81" t="s">
        <v>152</v>
      </c>
      <c r="F81">
        <v>80</v>
      </c>
      <c r="G81">
        <v>80</v>
      </c>
      <c r="H81">
        <v>32.6</v>
      </c>
      <c r="I81">
        <v>6.8</v>
      </c>
      <c r="J81">
        <v>14</v>
      </c>
      <c r="K81">
        <v>0.48499999999999999</v>
      </c>
      <c r="L81">
        <v>1.6</v>
      </c>
      <c r="M81">
        <v>4.5</v>
      </c>
      <c r="N81">
        <v>0.36099999999999999</v>
      </c>
      <c r="O81">
        <v>5.2</v>
      </c>
      <c r="P81">
        <v>9.5</v>
      </c>
      <c r="Q81">
        <v>0.54400000000000004</v>
      </c>
      <c r="R81">
        <v>0.54300000000000004</v>
      </c>
      <c r="S81">
        <v>3.4</v>
      </c>
      <c r="T81">
        <v>4</v>
      </c>
      <c r="U81">
        <v>0.84199999999999997</v>
      </c>
      <c r="V81">
        <v>0.9</v>
      </c>
      <c r="W81">
        <v>3.2</v>
      </c>
      <c r="X81">
        <v>4.0999999999999996</v>
      </c>
      <c r="Y81">
        <v>3.5</v>
      </c>
      <c r="Z81">
        <v>1</v>
      </c>
      <c r="AA81">
        <v>0.2</v>
      </c>
      <c r="AB81">
        <v>2.1</v>
      </c>
      <c r="AC81">
        <v>2.2999999999999998</v>
      </c>
      <c r="AD81">
        <v>18.600000000000001</v>
      </c>
      <c r="AE81">
        <v>2609</v>
      </c>
      <c r="AF81">
        <v>15.9</v>
      </c>
      <c r="AG81">
        <v>0.58899999999999997</v>
      </c>
      <c r="AH81">
        <v>0.32200000000000001</v>
      </c>
      <c r="AI81">
        <v>0.28799999999999998</v>
      </c>
      <c r="AJ81">
        <v>3</v>
      </c>
      <c r="AK81">
        <v>11.2</v>
      </c>
      <c r="AL81">
        <v>7.1</v>
      </c>
      <c r="AM81">
        <v>17.2</v>
      </c>
      <c r="AN81">
        <v>1.4</v>
      </c>
      <c r="AO81">
        <v>0.6</v>
      </c>
      <c r="AP81">
        <v>11.7</v>
      </c>
      <c r="AQ81">
        <v>23.5</v>
      </c>
      <c r="AR81">
        <v>3.1</v>
      </c>
      <c r="AS81">
        <v>2.2999999999999998</v>
      </c>
      <c r="AT81">
        <v>5.4</v>
      </c>
      <c r="AU81">
        <v>9.9000000000000005E-2</v>
      </c>
      <c r="AV81">
        <v>0.4</v>
      </c>
      <c r="AW81">
        <v>-0.5</v>
      </c>
      <c r="AX81">
        <v>-0.1</v>
      </c>
      <c r="AY81">
        <v>1.3</v>
      </c>
      <c r="AZ81" s="8">
        <v>2.6500000000000004</v>
      </c>
      <c r="BA81" s="8">
        <v>0.50396707668667329</v>
      </c>
      <c r="BB81" s="3">
        <v>0</v>
      </c>
    </row>
    <row r="82" spans="1:54" x14ac:dyDescent="0.25">
      <c r="A82" t="s">
        <v>61</v>
      </c>
      <c r="B82" s="2">
        <v>43279250</v>
      </c>
      <c r="C82" t="s">
        <v>62</v>
      </c>
      <c r="D82">
        <v>29</v>
      </c>
      <c r="E82" t="s">
        <v>63</v>
      </c>
      <c r="F82">
        <v>50</v>
      </c>
      <c r="G82">
        <v>50</v>
      </c>
      <c r="H82">
        <v>33.5</v>
      </c>
      <c r="I82">
        <v>8.9</v>
      </c>
      <c r="J82">
        <v>17.600000000000001</v>
      </c>
      <c r="K82">
        <v>0.50600000000000001</v>
      </c>
      <c r="L82">
        <v>1.6</v>
      </c>
      <c r="M82">
        <v>4.4000000000000004</v>
      </c>
      <c r="N82">
        <v>0.36499999999999999</v>
      </c>
      <c r="O82">
        <v>7.3</v>
      </c>
      <c r="P82">
        <v>13.2</v>
      </c>
      <c r="Q82">
        <v>0.55200000000000005</v>
      </c>
      <c r="R82">
        <v>0.55100000000000005</v>
      </c>
      <c r="S82">
        <v>3.8</v>
      </c>
      <c r="T82">
        <v>4.5999999999999996</v>
      </c>
      <c r="U82">
        <v>0.84199999999999997</v>
      </c>
      <c r="V82">
        <v>0.8</v>
      </c>
      <c r="W82">
        <v>3.1</v>
      </c>
      <c r="X82">
        <v>3.9</v>
      </c>
      <c r="Y82">
        <v>5.4</v>
      </c>
      <c r="Z82">
        <v>0.9</v>
      </c>
      <c r="AA82">
        <v>0.7</v>
      </c>
      <c r="AB82">
        <v>2.9</v>
      </c>
      <c r="AC82">
        <v>2.1</v>
      </c>
      <c r="AD82">
        <v>23.2</v>
      </c>
      <c r="AE82">
        <v>1673</v>
      </c>
      <c r="AF82">
        <v>19.7</v>
      </c>
      <c r="AG82">
        <v>0.59299999999999997</v>
      </c>
      <c r="AH82">
        <v>0.249</v>
      </c>
      <c r="AI82">
        <v>0.26</v>
      </c>
      <c r="AJ82">
        <v>2.8</v>
      </c>
      <c r="AK82">
        <v>9.9</v>
      </c>
      <c r="AL82">
        <v>6.5</v>
      </c>
      <c r="AM82">
        <v>26.6</v>
      </c>
      <c r="AN82">
        <v>1.3</v>
      </c>
      <c r="AO82">
        <v>1.7</v>
      </c>
      <c r="AP82">
        <v>12.9</v>
      </c>
      <c r="AQ82">
        <v>29.2</v>
      </c>
      <c r="AR82">
        <v>2.2000000000000002</v>
      </c>
      <c r="AS82">
        <v>1.2</v>
      </c>
      <c r="AT82">
        <v>3.4</v>
      </c>
      <c r="AU82">
        <v>9.9000000000000005E-2</v>
      </c>
      <c r="AV82">
        <v>2.9</v>
      </c>
      <c r="AW82">
        <v>-1.2</v>
      </c>
      <c r="AX82">
        <v>1.8</v>
      </c>
      <c r="AY82">
        <v>1.6</v>
      </c>
      <c r="AZ82" s="8">
        <v>2.6</v>
      </c>
      <c r="BA82" s="8">
        <v>6.0074978193938207E-2</v>
      </c>
      <c r="BB82" s="3">
        <v>0</v>
      </c>
    </row>
    <row r="83" spans="1:54" x14ac:dyDescent="0.25">
      <c r="A83" t="s">
        <v>104</v>
      </c>
      <c r="B83" s="2">
        <v>31650600</v>
      </c>
      <c r="C83" t="s">
        <v>65</v>
      </c>
      <c r="D83">
        <v>25</v>
      </c>
      <c r="E83" t="s">
        <v>100</v>
      </c>
      <c r="F83">
        <v>45</v>
      </c>
      <c r="G83">
        <v>45</v>
      </c>
      <c r="H83">
        <v>34.200000000000003</v>
      </c>
      <c r="I83">
        <v>9</v>
      </c>
      <c r="J83">
        <v>18.600000000000001</v>
      </c>
      <c r="K83">
        <v>0.48399999999999999</v>
      </c>
      <c r="L83">
        <v>1.4</v>
      </c>
      <c r="M83">
        <v>3.6</v>
      </c>
      <c r="N83">
        <v>0.39</v>
      </c>
      <c r="O83">
        <v>7.6</v>
      </c>
      <c r="P83">
        <v>14.9</v>
      </c>
      <c r="Q83">
        <v>0.50700000000000001</v>
      </c>
      <c r="R83">
        <v>0.52200000000000002</v>
      </c>
      <c r="S83">
        <v>5.3</v>
      </c>
      <c r="T83">
        <v>6</v>
      </c>
      <c r="U83">
        <v>0.88200000000000001</v>
      </c>
      <c r="V83">
        <v>0.5</v>
      </c>
      <c r="W83">
        <v>5</v>
      </c>
      <c r="X83">
        <v>5.5</v>
      </c>
      <c r="Y83">
        <v>5.8</v>
      </c>
      <c r="Z83">
        <v>0.7</v>
      </c>
      <c r="AA83">
        <v>0.4</v>
      </c>
      <c r="AB83">
        <v>3.3</v>
      </c>
      <c r="AC83">
        <v>2.6</v>
      </c>
      <c r="AD83">
        <v>24.7</v>
      </c>
      <c r="AE83">
        <v>1538</v>
      </c>
      <c r="AF83">
        <v>19.2</v>
      </c>
      <c r="AG83">
        <v>0.58199999999999996</v>
      </c>
      <c r="AH83">
        <v>0.19600000000000001</v>
      </c>
      <c r="AI83">
        <v>0.32600000000000001</v>
      </c>
      <c r="AJ83">
        <v>1.7</v>
      </c>
      <c r="AK83">
        <v>16.399999999999999</v>
      </c>
      <c r="AL83">
        <v>9.1</v>
      </c>
      <c r="AM83">
        <v>28.1</v>
      </c>
      <c r="AN83">
        <v>1</v>
      </c>
      <c r="AO83">
        <v>1.2</v>
      </c>
      <c r="AP83">
        <v>13.4</v>
      </c>
      <c r="AQ83">
        <v>30.8</v>
      </c>
      <c r="AR83">
        <v>1.8</v>
      </c>
      <c r="AS83">
        <v>1.7</v>
      </c>
      <c r="AT83">
        <v>3.5</v>
      </c>
      <c r="AU83">
        <v>0.108</v>
      </c>
      <c r="AV83">
        <v>2.2000000000000002</v>
      </c>
      <c r="AW83">
        <v>-0.4</v>
      </c>
      <c r="AX83">
        <v>1.7</v>
      </c>
      <c r="AY83">
        <v>1.4</v>
      </c>
      <c r="AZ83" s="8">
        <v>2.6</v>
      </c>
      <c r="BA83" s="8">
        <v>8.2146941922112054E-2</v>
      </c>
      <c r="BB83" s="3">
        <v>0</v>
      </c>
    </row>
    <row r="84" spans="1:54" x14ac:dyDescent="0.25">
      <c r="A84" t="s">
        <v>256</v>
      </c>
      <c r="B84" s="2">
        <v>6287400</v>
      </c>
      <c r="C84" t="s">
        <v>28</v>
      </c>
      <c r="D84">
        <v>20</v>
      </c>
      <c r="E84" t="s">
        <v>109</v>
      </c>
      <c r="F84">
        <v>76</v>
      </c>
      <c r="G84">
        <v>76</v>
      </c>
      <c r="H84">
        <v>31.1</v>
      </c>
      <c r="I84">
        <v>7.1</v>
      </c>
      <c r="J84">
        <v>14.7</v>
      </c>
      <c r="K84">
        <v>0.48199999999999998</v>
      </c>
      <c r="L84">
        <v>1</v>
      </c>
      <c r="M84">
        <v>3.1</v>
      </c>
      <c r="N84">
        <v>0.32500000000000001</v>
      </c>
      <c r="O84">
        <v>6.1</v>
      </c>
      <c r="P84">
        <v>11.6</v>
      </c>
      <c r="Q84">
        <v>0.52400000000000002</v>
      </c>
      <c r="R84">
        <v>0.51600000000000001</v>
      </c>
      <c r="S84">
        <v>1.4</v>
      </c>
      <c r="T84">
        <v>1.9</v>
      </c>
      <c r="U84">
        <v>0.73099999999999998</v>
      </c>
      <c r="V84">
        <v>1.9</v>
      </c>
      <c r="W84">
        <v>5.9</v>
      </c>
      <c r="X84">
        <v>7.9</v>
      </c>
      <c r="Y84">
        <v>6.2</v>
      </c>
      <c r="Z84">
        <v>0.8</v>
      </c>
      <c r="AA84">
        <v>0.4</v>
      </c>
      <c r="AB84">
        <v>2.8</v>
      </c>
      <c r="AC84">
        <v>1.9</v>
      </c>
      <c r="AD84">
        <v>16.600000000000001</v>
      </c>
      <c r="AE84">
        <v>2367</v>
      </c>
      <c r="AF84">
        <v>17.100000000000001</v>
      </c>
      <c r="AG84">
        <v>0.53300000000000003</v>
      </c>
      <c r="AH84">
        <v>0.20899999999999999</v>
      </c>
      <c r="AI84">
        <v>0.13</v>
      </c>
      <c r="AJ84">
        <v>6.6</v>
      </c>
      <c r="AK84">
        <v>20.9</v>
      </c>
      <c r="AL84">
        <v>13.6</v>
      </c>
      <c r="AM84">
        <v>29.9</v>
      </c>
      <c r="AN84">
        <v>1.1000000000000001</v>
      </c>
      <c r="AO84">
        <v>1.2</v>
      </c>
      <c r="AP84">
        <v>15.1</v>
      </c>
      <c r="AQ84">
        <v>24.6</v>
      </c>
      <c r="AR84">
        <v>1.3</v>
      </c>
      <c r="AS84">
        <v>2.7</v>
      </c>
      <c r="AT84">
        <v>4</v>
      </c>
      <c r="AU84">
        <v>8.1000000000000003E-2</v>
      </c>
      <c r="AV84">
        <v>1.5</v>
      </c>
      <c r="AW84">
        <v>-0.3</v>
      </c>
      <c r="AX84">
        <v>1.2</v>
      </c>
      <c r="AY84">
        <v>1.9</v>
      </c>
      <c r="AZ84" s="8">
        <v>2.6</v>
      </c>
      <c r="BA84" s="8">
        <v>0.413525463625664</v>
      </c>
      <c r="BB84" s="3">
        <v>0</v>
      </c>
    </row>
    <row r="85" spans="1:54" x14ac:dyDescent="0.25">
      <c r="A85" t="s">
        <v>221</v>
      </c>
      <c r="B85" s="2">
        <v>8925000</v>
      </c>
      <c r="C85" t="s">
        <v>62</v>
      </c>
      <c r="D85">
        <v>27</v>
      </c>
      <c r="E85" t="s">
        <v>68</v>
      </c>
      <c r="F85">
        <v>72</v>
      </c>
      <c r="G85">
        <v>70</v>
      </c>
      <c r="H85">
        <v>27.4</v>
      </c>
      <c r="I85">
        <v>3.4</v>
      </c>
      <c r="J85">
        <v>7.7</v>
      </c>
      <c r="K85">
        <v>0.44</v>
      </c>
      <c r="L85">
        <v>2</v>
      </c>
      <c r="M85">
        <v>5.0999999999999996</v>
      </c>
      <c r="N85">
        <v>0.39900000000000002</v>
      </c>
      <c r="O85">
        <v>1.4</v>
      </c>
      <c r="P85">
        <v>2.7</v>
      </c>
      <c r="Q85">
        <v>0.51800000000000002</v>
      </c>
      <c r="R85">
        <v>0.57099999999999995</v>
      </c>
      <c r="S85">
        <v>1.6</v>
      </c>
      <c r="T85">
        <v>1.8</v>
      </c>
      <c r="U85">
        <v>0.90500000000000003</v>
      </c>
      <c r="V85">
        <v>0.8</v>
      </c>
      <c r="W85">
        <v>2.4</v>
      </c>
      <c r="X85">
        <v>3.3</v>
      </c>
      <c r="Y85">
        <v>2.2999999999999998</v>
      </c>
      <c r="Z85">
        <v>0.9</v>
      </c>
      <c r="AA85">
        <v>0.2</v>
      </c>
      <c r="AB85">
        <v>1</v>
      </c>
      <c r="AC85">
        <v>1.6</v>
      </c>
      <c r="AD85">
        <v>10.4</v>
      </c>
      <c r="AE85">
        <v>1972</v>
      </c>
      <c r="AF85">
        <v>12.3</v>
      </c>
      <c r="AG85">
        <v>0.61199999999999999</v>
      </c>
      <c r="AH85">
        <v>0.65700000000000003</v>
      </c>
      <c r="AI85">
        <v>0.22600000000000001</v>
      </c>
      <c r="AJ85">
        <v>3.4</v>
      </c>
      <c r="AK85">
        <v>9</v>
      </c>
      <c r="AL85">
        <v>6.3</v>
      </c>
      <c r="AM85">
        <v>10.9</v>
      </c>
      <c r="AN85">
        <v>1.5</v>
      </c>
      <c r="AO85">
        <v>0.6</v>
      </c>
      <c r="AP85">
        <v>10.5</v>
      </c>
      <c r="AQ85">
        <v>14.6</v>
      </c>
      <c r="AR85">
        <v>2.8</v>
      </c>
      <c r="AS85">
        <v>2.2000000000000002</v>
      </c>
      <c r="AT85">
        <v>5.0999999999999996</v>
      </c>
      <c r="AU85">
        <v>0.123</v>
      </c>
      <c r="AV85">
        <v>-0.6</v>
      </c>
      <c r="AW85">
        <v>0.7</v>
      </c>
      <c r="AX85">
        <v>0.1</v>
      </c>
      <c r="AY85">
        <v>1</v>
      </c>
      <c r="AZ85" s="8">
        <v>2.5999999999999996</v>
      </c>
      <c r="BA85" s="8">
        <v>0.29131652661064422</v>
      </c>
      <c r="BB85" s="3">
        <v>0</v>
      </c>
    </row>
    <row r="86" spans="1:54" x14ac:dyDescent="0.25">
      <c r="A86" t="s">
        <v>153</v>
      </c>
      <c r="B86" s="2">
        <v>17357143</v>
      </c>
      <c r="C86" t="s">
        <v>65</v>
      </c>
      <c r="D86">
        <v>25</v>
      </c>
      <c r="E86" t="s">
        <v>91</v>
      </c>
      <c r="F86">
        <v>67</v>
      </c>
      <c r="G86">
        <v>67</v>
      </c>
      <c r="H86">
        <v>35.6</v>
      </c>
      <c r="I86">
        <v>6.3</v>
      </c>
      <c r="J86">
        <v>13.2</v>
      </c>
      <c r="K86">
        <v>0.47599999999999998</v>
      </c>
      <c r="L86">
        <v>2.1</v>
      </c>
      <c r="M86">
        <v>5.5</v>
      </c>
      <c r="N86">
        <v>0.38700000000000001</v>
      </c>
      <c r="O86">
        <v>4.2</v>
      </c>
      <c r="P86">
        <v>7.7</v>
      </c>
      <c r="Q86">
        <v>0.53900000000000003</v>
      </c>
      <c r="R86">
        <v>0.55600000000000005</v>
      </c>
      <c r="S86">
        <v>2.1</v>
      </c>
      <c r="T86">
        <v>2.5</v>
      </c>
      <c r="U86">
        <v>0.83799999999999997</v>
      </c>
      <c r="V86">
        <v>1.4</v>
      </c>
      <c r="W86">
        <v>3.5</v>
      </c>
      <c r="X86">
        <v>5</v>
      </c>
      <c r="Y86">
        <v>2</v>
      </c>
      <c r="Z86">
        <v>1.9</v>
      </c>
      <c r="AA86">
        <v>0.7</v>
      </c>
      <c r="AB86">
        <v>2</v>
      </c>
      <c r="AC86">
        <v>3</v>
      </c>
      <c r="AD86">
        <v>16.8</v>
      </c>
      <c r="AE86">
        <v>2386</v>
      </c>
      <c r="AF86">
        <v>14.6</v>
      </c>
      <c r="AG86">
        <v>0.58599999999999997</v>
      </c>
      <c r="AH86">
        <v>0.41499999999999998</v>
      </c>
      <c r="AI86">
        <v>0.189</v>
      </c>
      <c r="AJ86">
        <v>4.2</v>
      </c>
      <c r="AK86">
        <v>12.1</v>
      </c>
      <c r="AL86">
        <v>7.9</v>
      </c>
      <c r="AM86">
        <v>8</v>
      </c>
      <c r="AN86">
        <v>2.7</v>
      </c>
      <c r="AO86">
        <v>2</v>
      </c>
      <c r="AP86">
        <v>12.1</v>
      </c>
      <c r="AQ86">
        <v>19.5</v>
      </c>
      <c r="AR86">
        <v>1.8</v>
      </c>
      <c r="AS86">
        <v>2.9</v>
      </c>
      <c r="AT86">
        <v>4.7</v>
      </c>
      <c r="AU86">
        <v>9.4E-2</v>
      </c>
      <c r="AV86">
        <v>-0.3</v>
      </c>
      <c r="AW86">
        <v>0.7</v>
      </c>
      <c r="AX86">
        <v>0.4</v>
      </c>
      <c r="AY86">
        <v>1.5</v>
      </c>
      <c r="AZ86" s="8">
        <v>2.5500000000000003</v>
      </c>
      <c r="BA86" s="8">
        <v>0.14691357903774835</v>
      </c>
      <c r="BB86" s="3">
        <v>0</v>
      </c>
    </row>
    <row r="87" spans="1:54" x14ac:dyDescent="0.25">
      <c r="A87" t="s">
        <v>232</v>
      </c>
      <c r="B87" s="2">
        <v>8250000</v>
      </c>
      <c r="C87" t="s">
        <v>62</v>
      </c>
      <c r="D87">
        <v>24</v>
      </c>
      <c r="E87" t="s">
        <v>82</v>
      </c>
      <c r="F87">
        <v>77</v>
      </c>
      <c r="G87">
        <v>58</v>
      </c>
      <c r="H87">
        <v>27.9</v>
      </c>
      <c r="I87">
        <v>3.6</v>
      </c>
      <c r="J87">
        <v>8.5</v>
      </c>
      <c r="K87">
        <v>0.42499999999999999</v>
      </c>
      <c r="L87">
        <v>2</v>
      </c>
      <c r="M87">
        <v>5.2</v>
      </c>
      <c r="N87">
        <v>0.39</v>
      </c>
      <c r="O87">
        <v>1.6</v>
      </c>
      <c r="P87">
        <v>3.2</v>
      </c>
      <c r="Q87">
        <v>0.48399999999999999</v>
      </c>
      <c r="R87">
        <v>0.54600000000000004</v>
      </c>
      <c r="S87">
        <v>0.9</v>
      </c>
      <c r="T87">
        <v>1.1000000000000001</v>
      </c>
      <c r="U87">
        <v>0.79300000000000004</v>
      </c>
      <c r="V87">
        <v>0.9</v>
      </c>
      <c r="W87">
        <v>3.2</v>
      </c>
      <c r="X87">
        <v>4.0999999999999996</v>
      </c>
      <c r="Y87">
        <v>2.6</v>
      </c>
      <c r="Z87">
        <v>1.6</v>
      </c>
      <c r="AA87">
        <v>0.5</v>
      </c>
      <c r="AB87">
        <v>1.3</v>
      </c>
      <c r="AC87">
        <v>2.5</v>
      </c>
      <c r="AD87">
        <v>10.1</v>
      </c>
      <c r="AE87">
        <v>2150</v>
      </c>
      <c r="AF87">
        <v>12.7</v>
      </c>
      <c r="AG87">
        <v>0.56599999999999995</v>
      </c>
      <c r="AH87">
        <v>0.61899999999999999</v>
      </c>
      <c r="AI87">
        <v>0.13400000000000001</v>
      </c>
      <c r="AJ87">
        <v>3.9</v>
      </c>
      <c r="AK87">
        <v>13.1</v>
      </c>
      <c r="AL87">
        <v>8.6</v>
      </c>
      <c r="AM87">
        <v>12.9</v>
      </c>
      <c r="AN87">
        <v>2.9</v>
      </c>
      <c r="AO87">
        <v>1.8</v>
      </c>
      <c r="AP87">
        <v>12.9</v>
      </c>
      <c r="AQ87">
        <v>16.399999999999999</v>
      </c>
      <c r="AR87">
        <v>1.1000000000000001</v>
      </c>
      <c r="AS87">
        <v>3.1</v>
      </c>
      <c r="AT87">
        <v>4.2</v>
      </c>
      <c r="AU87">
        <v>9.5000000000000001E-2</v>
      </c>
      <c r="AV87">
        <v>-0.7</v>
      </c>
      <c r="AW87">
        <v>1.6</v>
      </c>
      <c r="AX87">
        <v>0.9</v>
      </c>
      <c r="AY87">
        <v>1.6</v>
      </c>
      <c r="AZ87" s="8">
        <v>2.5500000000000003</v>
      </c>
      <c r="BA87" s="8">
        <v>0.30909090909090914</v>
      </c>
      <c r="BB87" s="3">
        <v>0</v>
      </c>
    </row>
    <row r="88" spans="1:54" x14ac:dyDescent="0.25">
      <c r="A88" t="s">
        <v>99</v>
      </c>
      <c r="B88" s="2">
        <v>33333333</v>
      </c>
      <c r="C88" t="s">
        <v>62</v>
      </c>
      <c r="D88">
        <v>31</v>
      </c>
      <c r="E88" t="s">
        <v>100</v>
      </c>
      <c r="F88">
        <v>75</v>
      </c>
      <c r="G88">
        <v>75</v>
      </c>
      <c r="H88">
        <v>35.299999999999997</v>
      </c>
      <c r="I88">
        <v>7.8</v>
      </c>
      <c r="J88">
        <v>17.899999999999999</v>
      </c>
      <c r="K88">
        <v>0.437</v>
      </c>
      <c r="L88">
        <v>2.8</v>
      </c>
      <c r="M88">
        <v>7.2</v>
      </c>
      <c r="N88">
        <v>0.38900000000000001</v>
      </c>
      <c r="O88">
        <v>5</v>
      </c>
      <c r="P88">
        <v>10.7</v>
      </c>
      <c r="Q88">
        <v>0.46899999999999997</v>
      </c>
      <c r="R88">
        <v>0.51500000000000001</v>
      </c>
      <c r="S88">
        <v>2.4</v>
      </c>
      <c r="T88">
        <v>3.2</v>
      </c>
      <c r="U88">
        <v>0.76900000000000002</v>
      </c>
      <c r="V88">
        <v>0.7</v>
      </c>
      <c r="W88">
        <v>3.6</v>
      </c>
      <c r="X88">
        <v>4.4000000000000004</v>
      </c>
      <c r="Y88">
        <v>5.7</v>
      </c>
      <c r="Z88">
        <v>0.9</v>
      </c>
      <c r="AA88">
        <v>0.5</v>
      </c>
      <c r="AB88">
        <v>2.4</v>
      </c>
      <c r="AC88">
        <v>2</v>
      </c>
      <c r="AD88">
        <v>20.9</v>
      </c>
      <c r="AE88">
        <v>2649</v>
      </c>
      <c r="AF88">
        <v>15.6</v>
      </c>
      <c r="AG88">
        <v>0.54100000000000004</v>
      </c>
      <c r="AH88">
        <v>0.40400000000000003</v>
      </c>
      <c r="AI88">
        <v>0.17699999999999999</v>
      </c>
      <c r="AJ88">
        <v>2.4</v>
      </c>
      <c r="AK88">
        <v>11.7</v>
      </c>
      <c r="AL88">
        <v>7</v>
      </c>
      <c r="AM88">
        <v>25.1</v>
      </c>
      <c r="AN88">
        <v>1.3</v>
      </c>
      <c r="AO88">
        <v>1.4</v>
      </c>
      <c r="AP88">
        <v>11.2</v>
      </c>
      <c r="AQ88">
        <v>26.4</v>
      </c>
      <c r="AR88">
        <v>1.5</v>
      </c>
      <c r="AS88">
        <v>2.8</v>
      </c>
      <c r="AT88">
        <v>4.3</v>
      </c>
      <c r="AU88">
        <v>7.8E-2</v>
      </c>
      <c r="AV88">
        <v>1.5</v>
      </c>
      <c r="AW88">
        <v>-0.7</v>
      </c>
      <c r="AX88">
        <v>0.8</v>
      </c>
      <c r="AY88">
        <v>1.9</v>
      </c>
      <c r="AZ88" s="8">
        <v>2.5499999999999998</v>
      </c>
      <c r="BA88" s="8">
        <v>7.6500000765000006E-2</v>
      </c>
      <c r="BB88" s="3">
        <v>0</v>
      </c>
    </row>
    <row r="89" spans="1:54" x14ac:dyDescent="0.25">
      <c r="A89" t="s">
        <v>319</v>
      </c>
      <c r="B89" s="2">
        <v>3613680</v>
      </c>
      <c r="C89" t="s">
        <v>52</v>
      </c>
      <c r="D89">
        <v>22</v>
      </c>
      <c r="E89" t="s">
        <v>152</v>
      </c>
      <c r="F89">
        <v>60</v>
      </c>
      <c r="G89">
        <v>4</v>
      </c>
      <c r="H89">
        <v>25.9</v>
      </c>
      <c r="I89">
        <v>4.5999999999999996</v>
      </c>
      <c r="J89">
        <v>10.199999999999999</v>
      </c>
      <c r="K89">
        <v>0.45400000000000001</v>
      </c>
      <c r="L89">
        <v>1.3</v>
      </c>
      <c r="M89">
        <v>3.4</v>
      </c>
      <c r="N89">
        <v>0.36399999999999999</v>
      </c>
      <c r="O89">
        <v>3.4</v>
      </c>
      <c r="P89">
        <v>6.7</v>
      </c>
      <c r="Q89">
        <v>0.5</v>
      </c>
      <c r="R89">
        <v>0.51600000000000001</v>
      </c>
      <c r="S89">
        <v>2.5</v>
      </c>
      <c r="T89">
        <v>2.8</v>
      </c>
      <c r="U89">
        <v>0.89400000000000002</v>
      </c>
      <c r="V89">
        <v>0.8</v>
      </c>
      <c r="W89">
        <v>4</v>
      </c>
      <c r="X89">
        <v>4.8</v>
      </c>
      <c r="Y89">
        <v>3.9</v>
      </c>
      <c r="Z89">
        <v>0.6</v>
      </c>
      <c r="AA89">
        <v>0.5</v>
      </c>
      <c r="AB89">
        <v>1.5</v>
      </c>
      <c r="AC89">
        <v>2.6</v>
      </c>
      <c r="AD89">
        <v>13</v>
      </c>
      <c r="AE89">
        <v>1552</v>
      </c>
      <c r="AF89">
        <v>16</v>
      </c>
      <c r="AG89">
        <v>0.56999999999999995</v>
      </c>
      <c r="AH89">
        <v>0.33800000000000002</v>
      </c>
      <c r="AI89">
        <v>0.27900000000000003</v>
      </c>
      <c r="AJ89">
        <v>3.4</v>
      </c>
      <c r="AK89">
        <v>17.600000000000001</v>
      </c>
      <c r="AL89">
        <v>10.5</v>
      </c>
      <c r="AM89">
        <v>22.9</v>
      </c>
      <c r="AN89">
        <v>1.2</v>
      </c>
      <c r="AO89">
        <v>1.9</v>
      </c>
      <c r="AP89">
        <v>11.7</v>
      </c>
      <c r="AQ89">
        <v>21.5</v>
      </c>
      <c r="AR89">
        <v>2.1</v>
      </c>
      <c r="AS89">
        <v>1.7</v>
      </c>
      <c r="AT89">
        <v>3.7</v>
      </c>
      <c r="AU89">
        <v>0.11600000000000001</v>
      </c>
      <c r="AV89">
        <v>0.7</v>
      </c>
      <c r="AW89">
        <v>0.5</v>
      </c>
      <c r="AX89">
        <v>1.3</v>
      </c>
      <c r="AY89">
        <v>1.3</v>
      </c>
      <c r="AZ89" s="8">
        <v>2.5</v>
      </c>
      <c r="BA89" s="8">
        <v>0.69181554537203072</v>
      </c>
      <c r="BB89" s="3">
        <v>0</v>
      </c>
    </row>
    <row r="90" spans="1:54" x14ac:dyDescent="0.25">
      <c r="A90" t="s">
        <v>184</v>
      </c>
      <c r="B90" s="2">
        <v>12690000</v>
      </c>
      <c r="C90" t="s">
        <v>28</v>
      </c>
      <c r="D90">
        <v>30</v>
      </c>
      <c r="E90" t="s">
        <v>91</v>
      </c>
      <c r="F90">
        <v>76</v>
      </c>
      <c r="G90">
        <v>0</v>
      </c>
      <c r="H90">
        <v>20</v>
      </c>
      <c r="I90">
        <v>3.4</v>
      </c>
      <c r="J90">
        <v>7</v>
      </c>
      <c r="K90">
        <v>0.49299999999999999</v>
      </c>
      <c r="L90">
        <v>0.8</v>
      </c>
      <c r="M90">
        <v>2.5</v>
      </c>
      <c r="N90">
        <v>0.32800000000000001</v>
      </c>
      <c r="O90">
        <v>2.6</v>
      </c>
      <c r="P90">
        <v>4.5</v>
      </c>
      <c r="Q90">
        <v>0.58499999999999996</v>
      </c>
      <c r="R90">
        <v>0.55200000000000005</v>
      </c>
      <c r="S90">
        <v>1.7</v>
      </c>
      <c r="T90">
        <v>2.2000000000000002</v>
      </c>
      <c r="U90">
        <v>0.76200000000000001</v>
      </c>
      <c r="V90">
        <v>2.1</v>
      </c>
      <c r="W90">
        <v>3.5</v>
      </c>
      <c r="X90">
        <v>5.5</v>
      </c>
      <c r="Y90">
        <v>0.4</v>
      </c>
      <c r="Z90">
        <v>0.6</v>
      </c>
      <c r="AA90">
        <v>0.8</v>
      </c>
      <c r="AB90">
        <v>0.5</v>
      </c>
      <c r="AC90">
        <v>1.9</v>
      </c>
      <c r="AD90">
        <v>9.4</v>
      </c>
      <c r="AE90">
        <v>1523</v>
      </c>
      <c r="AF90">
        <v>18</v>
      </c>
      <c r="AG90">
        <v>0.59</v>
      </c>
      <c r="AH90">
        <v>0.35699999999999998</v>
      </c>
      <c r="AI90">
        <v>0.318</v>
      </c>
      <c r="AJ90">
        <v>10.9</v>
      </c>
      <c r="AK90">
        <v>21.2</v>
      </c>
      <c r="AL90">
        <v>15.7</v>
      </c>
      <c r="AM90">
        <v>2.7</v>
      </c>
      <c r="AN90">
        <v>1.5</v>
      </c>
      <c r="AO90">
        <v>4.0999999999999996</v>
      </c>
      <c r="AP90">
        <v>6.4</v>
      </c>
      <c r="AQ90">
        <v>18</v>
      </c>
      <c r="AR90">
        <v>3</v>
      </c>
      <c r="AS90">
        <v>2</v>
      </c>
      <c r="AT90">
        <v>5</v>
      </c>
      <c r="AU90">
        <v>0.156</v>
      </c>
      <c r="AV90">
        <v>0.7</v>
      </c>
      <c r="AW90">
        <v>-0.8</v>
      </c>
      <c r="AX90">
        <v>-0.1</v>
      </c>
      <c r="AY90">
        <v>0.7</v>
      </c>
      <c r="AZ90" s="8">
        <v>2.4500000000000002</v>
      </c>
      <c r="BA90" s="8">
        <v>0.19306540583136328</v>
      </c>
      <c r="BB90" s="3">
        <v>0</v>
      </c>
    </row>
    <row r="91" spans="1:54" x14ac:dyDescent="0.25">
      <c r="A91" t="s">
        <v>292</v>
      </c>
      <c r="B91" s="2">
        <v>4500000</v>
      </c>
      <c r="C91" t="s">
        <v>62</v>
      </c>
      <c r="D91">
        <v>26</v>
      </c>
      <c r="E91" t="s">
        <v>53</v>
      </c>
      <c r="F91">
        <v>72</v>
      </c>
      <c r="G91">
        <v>36</v>
      </c>
      <c r="H91">
        <v>26.3</v>
      </c>
      <c r="I91">
        <v>3.3</v>
      </c>
      <c r="J91">
        <v>7.5</v>
      </c>
      <c r="K91">
        <v>0.435</v>
      </c>
      <c r="L91">
        <v>2.1</v>
      </c>
      <c r="M91">
        <v>5.3</v>
      </c>
      <c r="N91">
        <v>0.39700000000000002</v>
      </c>
      <c r="O91">
        <v>1.2</v>
      </c>
      <c r="P91">
        <v>2.2999999999999998</v>
      </c>
      <c r="Q91">
        <v>0.52500000000000002</v>
      </c>
      <c r="R91">
        <v>0.57399999999999995</v>
      </c>
      <c r="S91">
        <v>0.8</v>
      </c>
      <c r="T91">
        <v>1</v>
      </c>
      <c r="U91">
        <v>0.81699999999999995</v>
      </c>
      <c r="V91">
        <v>1.1000000000000001</v>
      </c>
      <c r="W91">
        <v>3.4</v>
      </c>
      <c r="X91">
        <v>4.5</v>
      </c>
      <c r="Y91">
        <v>3.5</v>
      </c>
      <c r="Z91">
        <v>1.3</v>
      </c>
      <c r="AA91">
        <v>0.1</v>
      </c>
      <c r="AB91">
        <v>1.6</v>
      </c>
      <c r="AC91">
        <v>1.8</v>
      </c>
      <c r="AD91">
        <v>9.4</v>
      </c>
      <c r="AE91">
        <v>1894</v>
      </c>
      <c r="AF91">
        <v>12.8</v>
      </c>
      <c r="AG91">
        <v>0.59299999999999997</v>
      </c>
      <c r="AH91">
        <v>0.7</v>
      </c>
      <c r="AI91">
        <v>0.13100000000000001</v>
      </c>
      <c r="AJ91">
        <v>4.7</v>
      </c>
      <c r="AK91">
        <v>14</v>
      </c>
      <c r="AL91">
        <v>9.4</v>
      </c>
      <c r="AM91">
        <v>17.3</v>
      </c>
      <c r="AN91">
        <v>2.4</v>
      </c>
      <c r="AO91">
        <v>0.5</v>
      </c>
      <c r="AP91">
        <v>16.399999999999999</v>
      </c>
      <c r="AQ91">
        <v>15.1</v>
      </c>
      <c r="AR91">
        <v>1.9</v>
      </c>
      <c r="AS91">
        <v>2.2999999999999998</v>
      </c>
      <c r="AT91">
        <v>4.2</v>
      </c>
      <c r="AU91">
        <v>0.106</v>
      </c>
      <c r="AV91">
        <v>-0.6</v>
      </c>
      <c r="AW91">
        <v>1.3</v>
      </c>
      <c r="AX91">
        <v>0.7</v>
      </c>
      <c r="AY91">
        <v>1.3</v>
      </c>
      <c r="AZ91" s="8">
        <v>2.4500000000000002</v>
      </c>
      <c r="BA91" s="8">
        <v>0.5444444444444444</v>
      </c>
      <c r="BB91" s="3">
        <v>0</v>
      </c>
    </row>
    <row r="92" spans="1:54" x14ac:dyDescent="0.25">
      <c r="A92" t="s">
        <v>198</v>
      </c>
      <c r="B92" s="2">
        <v>10733400</v>
      </c>
      <c r="C92" t="s">
        <v>62</v>
      </c>
      <c r="D92">
        <v>21</v>
      </c>
      <c r="E92" t="s">
        <v>76</v>
      </c>
      <c r="F92">
        <v>79</v>
      </c>
      <c r="G92">
        <v>79</v>
      </c>
      <c r="H92">
        <v>36</v>
      </c>
      <c r="I92">
        <v>8.9</v>
      </c>
      <c r="J92">
        <v>19.5</v>
      </c>
      <c r="K92">
        <v>0.45900000000000002</v>
      </c>
      <c r="L92">
        <v>2.7</v>
      </c>
      <c r="M92">
        <v>7.3</v>
      </c>
      <c r="N92">
        <v>0.36899999999999999</v>
      </c>
      <c r="O92">
        <v>6.3</v>
      </c>
      <c r="P92">
        <v>12.2</v>
      </c>
      <c r="Q92">
        <v>0.51300000000000001</v>
      </c>
      <c r="R92">
        <v>0.52800000000000002</v>
      </c>
      <c r="S92">
        <v>4</v>
      </c>
      <c r="T92">
        <v>5.3</v>
      </c>
      <c r="U92">
        <v>0.75600000000000001</v>
      </c>
      <c r="V92">
        <v>0.6</v>
      </c>
      <c r="W92">
        <v>5.2</v>
      </c>
      <c r="X92">
        <v>5.8</v>
      </c>
      <c r="Y92">
        <v>4.4000000000000004</v>
      </c>
      <c r="Z92">
        <v>1.6</v>
      </c>
      <c r="AA92">
        <v>0.7</v>
      </c>
      <c r="AB92">
        <v>3.3</v>
      </c>
      <c r="AC92">
        <v>2.4</v>
      </c>
      <c r="AD92">
        <v>24.6</v>
      </c>
      <c r="AE92">
        <v>2842</v>
      </c>
      <c r="AF92">
        <v>17.399999999999999</v>
      </c>
      <c r="AG92">
        <v>0.56399999999999995</v>
      </c>
      <c r="AH92">
        <v>0.375</v>
      </c>
      <c r="AI92">
        <v>0.27400000000000002</v>
      </c>
      <c r="AJ92">
        <v>1.9</v>
      </c>
      <c r="AK92">
        <v>15.9</v>
      </c>
      <c r="AL92">
        <v>9</v>
      </c>
      <c r="AM92">
        <v>19.3</v>
      </c>
      <c r="AN92">
        <v>2.1</v>
      </c>
      <c r="AO92">
        <v>1.8</v>
      </c>
      <c r="AP92">
        <v>13</v>
      </c>
      <c r="AQ92">
        <v>29.9</v>
      </c>
      <c r="AR92">
        <v>0.2</v>
      </c>
      <c r="AS92">
        <v>3.6</v>
      </c>
      <c r="AT92">
        <v>3.8</v>
      </c>
      <c r="AU92">
        <v>6.4000000000000001E-2</v>
      </c>
      <c r="AV92">
        <v>1</v>
      </c>
      <c r="AW92">
        <v>0</v>
      </c>
      <c r="AX92">
        <v>1</v>
      </c>
      <c r="AY92">
        <v>2.1</v>
      </c>
      <c r="AZ92" s="8">
        <v>2.4</v>
      </c>
      <c r="BA92" s="8">
        <v>0.22360109564536867</v>
      </c>
      <c r="BB92" s="3">
        <v>0</v>
      </c>
    </row>
    <row r="93" spans="1:54" x14ac:dyDescent="0.25">
      <c r="A93" t="s">
        <v>183</v>
      </c>
      <c r="B93" s="2">
        <v>12804878</v>
      </c>
      <c r="C93" t="s">
        <v>75</v>
      </c>
      <c r="D93">
        <v>31</v>
      </c>
      <c r="E93" t="s">
        <v>130</v>
      </c>
      <c r="F93">
        <v>68</v>
      </c>
      <c r="G93">
        <v>68</v>
      </c>
      <c r="H93">
        <v>28.6</v>
      </c>
      <c r="I93">
        <v>4.0999999999999996</v>
      </c>
      <c r="J93">
        <v>8.1999999999999993</v>
      </c>
      <c r="K93">
        <v>0.499</v>
      </c>
      <c r="L93">
        <v>1.4</v>
      </c>
      <c r="M93">
        <v>3.5</v>
      </c>
      <c r="N93">
        <v>0.39400000000000002</v>
      </c>
      <c r="O93">
        <v>2.7</v>
      </c>
      <c r="P93">
        <v>4.7</v>
      </c>
      <c r="Q93">
        <v>0.57599999999999996</v>
      </c>
      <c r="R93">
        <v>0.58299999999999996</v>
      </c>
      <c r="S93">
        <v>2.9</v>
      </c>
      <c r="T93">
        <v>3.4</v>
      </c>
      <c r="U93">
        <v>0.85299999999999998</v>
      </c>
      <c r="V93">
        <v>1.2</v>
      </c>
      <c r="W93">
        <v>5</v>
      </c>
      <c r="X93">
        <v>6.2</v>
      </c>
      <c r="Y93">
        <v>3.7</v>
      </c>
      <c r="Z93">
        <v>0.9</v>
      </c>
      <c r="AA93">
        <v>0.5</v>
      </c>
      <c r="AB93">
        <v>2.5</v>
      </c>
      <c r="AC93">
        <v>3.4</v>
      </c>
      <c r="AD93">
        <v>12.5</v>
      </c>
      <c r="AE93">
        <v>1942</v>
      </c>
      <c r="AF93">
        <v>14.4</v>
      </c>
      <c r="AG93">
        <v>0.64300000000000002</v>
      </c>
      <c r="AH93">
        <v>0.42399999999999999</v>
      </c>
      <c r="AI93">
        <v>0.41699999999999998</v>
      </c>
      <c r="AJ93">
        <v>4.5999999999999996</v>
      </c>
      <c r="AK93">
        <v>18.600000000000001</v>
      </c>
      <c r="AL93">
        <v>11.7</v>
      </c>
      <c r="AM93">
        <v>17.600000000000001</v>
      </c>
      <c r="AN93">
        <v>1.5</v>
      </c>
      <c r="AO93">
        <v>1.6</v>
      </c>
      <c r="AP93">
        <v>20.3</v>
      </c>
      <c r="AQ93">
        <v>17.8</v>
      </c>
      <c r="AR93">
        <v>2.4</v>
      </c>
      <c r="AS93">
        <v>1.9</v>
      </c>
      <c r="AT93">
        <v>4.3</v>
      </c>
      <c r="AU93">
        <v>0.106</v>
      </c>
      <c r="AV93">
        <v>-0.4</v>
      </c>
      <c r="AW93">
        <v>0.9</v>
      </c>
      <c r="AX93">
        <v>0.4</v>
      </c>
      <c r="AY93">
        <v>1.2</v>
      </c>
      <c r="AZ93" s="8">
        <v>2.35</v>
      </c>
      <c r="BA93" s="8">
        <v>0.18352381022294784</v>
      </c>
      <c r="BB93" s="3">
        <v>0</v>
      </c>
    </row>
    <row r="94" spans="1:54" x14ac:dyDescent="0.25">
      <c r="A94" t="s">
        <v>217</v>
      </c>
      <c r="B94" s="2">
        <v>9125000</v>
      </c>
      <c r="C94" t="s">
        <v>52</v>
      </c>
      <c r="D94">
        <v>27</v>
      </c>
      <c r="E94" t="s">
        <v>63</v>
      </c>
      <c r="F94">
        <v>62</v>
      </c>
      <c r="G94">
        <v>61</v>
      </c>
      <c r="H94">
        <v>27.3</v>
      </c>
      <c r="I94">
        <v>4</v>
      </c>
      <c r="J94">
        <v>8.3000000000000007</v>
      </c>
      <c r="K94">
        <v>0.48</v>
      </c>
      <c r="L94">
        <v>1.3</v>
      </c>
      <c r="M94">
        <v>3.3</v>
      </c>
      <c r="N94">
        <v>0.38200000000000001</v>
      </c>
      <c r="O94">
        <v>2.7</v>
      </c>
      <c r="P94">
        <v>5</v>
      </c>
      <c r="Q94">
        <v>0.54300000000000004</v>
      </c>
      <c r="R94">
        <v>0.55500000000000005</v>
      </c>
      <c r="S94">
        <v>1</v>
      </c>
      <c r="T94">
        <v>1.2</v>
      </c>
      <c r="U94">
        <v>0.83099999999999996</v>
      </c>
      <c r="V94">
        <v>0.4</v>
      </c>
      <c r="W94">
        <v>3</v>
      </c>
      <c r="X94">
        <v>3.4</v>
      </c>
      <c r="Y94">
        <v>5.3</v>
      </c>
      <c r="Z94">
        <v>0.7</v>
      </c>
      <c r="AA94">
        <v>0.2</v>
      </c>
      <c r="AB94">
        <v>1</v>
      </c>
      <c r="AC94">
        <v>1.2</v>
      </c>
      <c r="AD94">
        <v>10.3</v>
      </c>
      <c r="AE94">
        <v>1695</v>
      </c>
      <c r="AF94">
        <v>15</v>
      </c>
      <c r="AG94">
        <v>0.57899999999999996</v>
      </c>
      <c r="AH94">
        <v>0.39600000000000002</v>
      </c>
      <c r="AI94">
        <v>0.15</v>
      </c>
      <c r="AJ94">
        <v>1.8</v>
      </c>
      <c r="AK94">
        <v>11.6</v>
      </c>
      <c r="AL94">
        <v>6.9</v>
      </c>
      <c r="AM94">
        <v>26.4</v>
      </c>
      <c r="AN94">
        <v>1.2</v>
      </c>
      <c r="AO94">
        <v>0.6</v>
      </c>
      <c r="AP94">
        <v>9.9</v>
      </c>
      <c r="AQ94">
        <v>15.6</v>
      </c>
      <c r="AR94">
        <v>3.1</v>
      </c>
      <c r="AS94">
        <v>1.1000000000000001</v>
      </c>
      <c r="AT94">
        <v>4.2</v>
      </c>
      <c r="AU94">
        <v>0.12</v>
      </c>
      <c r="AV94">
        <v>0.8</v>
      </c>
      <c r="AW94">
        <v>-0.4</v>
      </c>
      <c r="AX94">
        <v>0.5</v>
      </c>
      <c r="AY94">
        <v>1.1000000000000001</v>
      </c>
      <c r="AZ94" s="8">
        <v>2.35</v>
      </c>
      <c r="BA94" s="8">
        <v>0.25753424657534246</v>
      </c>
      <c r="BB94" s="3">
        <v>0</v>
      </c>
    </row>
    <row r="95" spans="1:54" x14ac:dyDescent="0.25">
      <c r="A95" t="s">
        <v>219</v>
      </c>
      <c r="B95" s="2">
        <v>9030000</v>
      </c>
      <c r="C95" t="s">
        <v>52</v>
      </c>
      <c r="D95">
        <v>28</v>
      </c>
      <c r="E95" t="s">
        <v>87</v>
      </c>
      <c r="F95">
        <v>67</v>
      </c>
      <c r="G95">
        <v>36</v>
      </c>
      <c r="H95">
        <v>23.5</v>
      </c>
      <c r="I95">
        <v>1.9</v>
      </c>
      <c r="J95">
        <v>4.3</v>
      </c>
      <c r="K95">
        <v>0.45500000000000002</v>
      </c>
      <c r="L95">
        <v>0.8</v>
      </c>
      <c r="M95">
        <v>2.2999999999999998</v>
      </c>
      <c r="N95">
        <v>0.36399999999999999</v>
      </c>
      <c r="O95">
        <v>1.1000000000000001</v>
      </c>
      <c r="P95">
        <v>2</v>
      </c>
      <c r="Q95">
        <v>0.55600000000000005</v>
      </c>
      <c r="R95">
        <v>0.55100000000000005</v>
      </c>
      <c r="S95">
        <v>0.9</v>
      </c>
      <c r="T95">
        <v>1.1000000000000001</v>
      </c>
      <c r="U95">
        <v>0.80800000000000005</v>
      </c>
      <c r="V95">
        <v>0.6</v>
      </c>
      <c r="W95">
        <v>2.2999999999999998</v>
      </c>
      <c r="X95">
        <v>2.9</v>
      </c>
      <c r="Y95">
        <v>2.9</v>
      </c>
      <c r="Z95">
        <v>1.5</v>
      </c>
      <c r="AA95">
        <v>0.7</v>
      </c>
      <c r="AB95">
        <v>1.1000000000000001</v>
      </c>
      <c r="AC95">
        <v>2.4</v>
      </c>
      <c r="AD95">
        <v>5.6</v>
      </c>
      <c r="AE95">
        <v>1575</v>
      </c>
      <c r="AF95">
        <v>11.5</v>
      </c>
      <c r="AG95">
        <v>0.58799999999999997</v>
      </c>
      <c r="AH95">
        <v>0.52800000000000002</v>
      </c>
      <c r="AI95">
        <v>0.255</v>
      </c>
      <c r="AJ95">
        <v>3.1</v>
      </c>
      <c r="AK95">
        <v>10.9</v>
      </c>
      <c r="AL95">
        <v>7.1</v>
      </c>
      <c r="AM95">
        <v>15.4</v>
      </c>
      <c r="AN95">
        <v>3</v>
      </c>
      <c r="AO95">
        <v>2.8</v>
      </c>
      <c r="AP95">
        <v>19.5</v>
      </c>
      <c r="AQ95">
        <v>11.1</v>
      </c>
      <c r="AR95">
        <v>1</v>
      </c>
      <c r="AS95">
        <v>2.6</v>
      </c>
      <c r="AT95">
        <v>3.6</v>
      </c>
      <c r="AU95">
        <v>0.109</v>
      </c>
      <c r="AV95">
        <v>-2.2000000000000002</v>
      </c>
      <c r="AW95">
        <v>3.3</v>
      </c>
      <c r="AX95">
        <v>1.1000000000000001</v>
      </c>
      <c r="AY95">
        <v>1.2</v>
      </c>
      <c r="AZ95" s="8">
        <v>2.35</v>
      </c>
      <c r="BA95" s="8">
        <v>0.26024363233665559</v>
      </c>
      <c r="BB95" s="3">
        <v>0</v>
      </c>
    </row>
    <row r="96" spans="1:54" x14ac:dyDescent="0.25">
      <c r="A96" t="s">
        <v>379</v>
      </c>
      <c r="B96" s="2">
        <v>2277000</v>
      </c>
      <c r="C96" t="s">
        <v>62</v>
      </c>
      <c r="D96">
        <v>22</v>
      </c>
      <c r="E96" t="s">
        <v>123</v>
      </c>
      <c r="F96">
        <v>71</v>
      </c>
      <c r="G96">
        <v>66</v>
      </c>
      <c r="H96">
        <v>29.9</v>
      </c>
      <c r="I96">
        <v>4</v>
      </c>
      <c r="J96">
        <v>8.5</v>
      </c>
      <c r="K96">
        <v>0.46800000000000003</v>
      </c>
      <c r="L96">
        <v>2.2000000000000002</v>
      </c>
      <c r="M96">
        <v>5.7</v>
      </c>
      <c r="N96">
        <v>0.38600000000000001</v>
      </c>
      <c r="O96">
        <v>1.8</v>
      </c>
      <c r="P96">
        <v>2.7</v>
      </c>
      <c r="Q96">
        <v>0.64100000000000001</v>
      </c>
      <c r="R96">
        <v>0.59899999999999998</v>
      </c>
      <c r="S96">
        <v>1.1000000000000001</v>
      </c>
      <c r="T96">
        <v>1.4</v>
      </c>
      <c r="U96">
        <v>0.79600000000000004</v>
      </c>
      <c r="V96">
        <v>0.7</v>
      </c>
      <c r="W96">
        <v>2.5</v>
      </c>
      <c r="X96">
        <v>3.2</v>
      </c>
      <c r="Y96">
        <v>2.1</v>
      </c>
      <c r="Z96">
        <v>0.7</v>
      </c>
      <c r="AA96">
        <v>0.4</v>
      </c>
      <c r="AB96">
        <v>1</v>
      </c>
      <c r="AC96">
        <v>2.5</v>
      </c>
      <c r="AD96">
        <v>11.3</v>
      </c>
      <c r="AE96">
        <v>2121</v>
      </c>
      <c r="AF96">
        <v>11.7</v>
      </c>
      <c r="AG96">
        <v>0.61899999999999999</v>
      </c>
      <c r="AH96">
        <v>0.67600000000000005</v>
      </c>
      <c r="AI96">
        <v>0.16300000000000001</v>
      </c>
      <c r="AJ96">
        <v>2.5</v>
      </c>
      <c r="AK96">
        <v>9.4</v>
      </c>
      <c r="AL96">
        <v>5.9</v>
      </c>
      <c r="AM96">
        <v>9.6999999999999993</v>
      </c>
      <c r="AN96">
        <v>1.1000000000000001</v>
      </c>
      <c r="AO96">
        <v>1.2</v>
      </c>
      <c r="AP96">
        <v>9.6999999999999993</v>
      </c>
      <c r="AQ96">
        <v>14.4</v>
      </c>
      <c r="AR96">
        <v>3.2</v>
      </c>
      <c r="AS96">
        <v>1.6</v>
      </c>
      <c r="AT96">
        <v>4.8</v>
      </c>
      <c r="AU96">
        <v>0.108</v>
      </c>
      <c r="AV96">
        <v>-0.3</v>
      </c>
      <c r="AW96">
        <v>0.1</v>
      </c>
      <c r="AX96">
        <v>-0.1</v>
      </c>
      <c r="AY96">
        <v>1</v>
      </c>
      <c r="AZ96" s="8">
        <v>2.35</v>
      </c>
      <c r="BA96" s="8">
        <v>1.0320597277119017</v>
      </c>
      <c r="BB96" s="3">
        <v>0</v>
      </c>
    </row>
    <row r="97" spans="1:54" x14ac:dyDescent="0.25">
      <c r="A97" t="s">
        <v>428</v>
      </c>
      <c r="B97" s="2">
        <v>1836090</v>
      </c>
      <c r="C97" t="s">
        <v>62</v>
      </c>
      <c r="D97">
        <v>23</v>
      </c>
      <c r="E97" t="s">
        <v>109</v>
      </c>
      <c r="F97">
        <v>73</v>
      </c>
      <c r="G97">
        <v>10</v>
      </c>
      <c r="H97">
        <v>19.100000000000001</v>
      </c>
      <c r="I97">
        <v>3.1</v>
      </c>
      <c r="J97">
        <v>7</v>
      </c>
      <c r="K97">
        <v>0.441</v>
      </c>
      <c r="L97">
        <v>2.2000000000000002</v>
      </c>
      <c r="M97">
        <v>5.4</v>
      </c>
      <c r="N97">
        <v>0.40899999999999997</v>
      </c>
      <c r="O97">
        <v>0.9</v>
      </c>
      <c r="P97">
        <v>1.6</v>
      </c>
      <c r="Q97">
        <v>0.55300000000000005</v>
      </c>
      <c r="R97">
        <v>0.59899999999999998</v>
      </c>
      <c r="S97">
        <v>1.1000000000000001</v>
      </c>
      <c r="T97">
        <v>1.4</v>
      </c>
      <c r="U97">
        <v>0.82</v>
      </c>
      <c r="V97">
        <v>0.4</v>
      </c>
      <c r="W97">
        <v>2</v>
      </c>
      <c r="X97">
        <v>2.4</v>
      </c>
      <c r="Y97">
        <v>1.2</v>
      </c>
      <c r="Z97">
        <v>0.7</v>
      </c>
      <c r="AA97">
        <v>0.1</v>
      </c>
      <c r="AB97">
        <v>0.5</v>
      </c>
      <c r="AC97">
        <v>1.4</v>
      </c>
      <c r="AD97">
        <v>9.5</v>
      </c>
      <c r="AE97">
        <v>1395</v>
      </c>
      <c r="AF97">
        <v>14.5</v>
      </c>
      <c r="AG97">
        <v>0.626</v>
      </c>
      <c r="AH97">
        <v>0.77600000000000002</v>
      </c>
      <c r="AI97">
        <v>0.19700000000000001</v>
      </c>
      <c r="AJ97">
        <v>2</v>
      </c>
      <c r="AK97">
        <v>11.6</v>
      </c>
      <c r="AL97">
        <v>6.7</v>
      </c>
      <c r="AM97">
        <v>8.6999999999999993</v>
      </c>
      <c r="AN97">
        <v>1.6</v>
      </c>
      <c r="AO97">
        <v>0.5</v>
      </c>
      <c r="AP97">
        <v>6.6</v>
      </c>
      <c r="AQ97">
        <v>17.7</v>
      </c>
      <c r="AR97">
        <v>2.5</v>
      </c>
      <c r="AS97">
        <v>1.3</v>
      </c>
      <c r="AT97">
        <v>3.8</v>
      </c>
      <c r="AU97">
        <v>0.13100000000000001</v>
      </c>
      <c r="AV97">
        <v>1.3</v>
      </c>
      <c r="AW97">
        <v>-0.4</v>
      </c>
      <c r="AX97">
        <v>0.9</v>
      </c>
      <c r="AY97">
        <v>1</v>
      </c>
      <c r="AZ97" s="8">
        <v>2.35</v>
      </c>
      <c r="BA97" s="8">
        <v>1.2798936871286266</v>
      </c>
      <c r="BB97" s="3">
        <v>0</v>
      </c>
    </row>
    <row r="98" spans="1:54" x14ac:dyDescent="0.25">
      <c r="A98" t="s">
        <v>409</v>
      </c>
      <c r="B98" s="2">
        <v>1968175</v>
      </c>
      <c r="C98" t="s">
        <v>75</v>
      </c>
      <c r="D98">
        <v>25</v>
      </c>
      <c r="E98" t="s">
        <v>58</v>
      </c>
      <c r="F98">
        <v>59</v>
      </c>
      <c r="G98">
        <v>26</v>
      </c>
      <c r="H98">
        <v>18.3</v>
      </c>
      <c r="I98">
        <v>3.9</v>
      </c>
      <c r="J98">
        <v>6.3</v>
      </c>
      <c r="K98">
        <v>0.623</v>
      </c>
      <c r="L98">
        <v>0.4</v>
      </c>
      <c r="M98">
        <v>1</v>
      </c>
      <c r="N98">
        <v>0.441</v>
      </c>
      <c r="O98">
        <v>3.5</v>
      </c>
      <c r="P98">
        <v>5.3</v>
      </c>
      <c r="Q98">
        <v>0.65800000000000003</v>
      </c>
      <c r="R98">
        <v>0.65900000000000003</v>
      </c>
      <c r="S98">
        <v>1.6</v>
      </c>
      <c r="T98">
        <v>2.1</v>
      </c>
      <c r="U98">
        <v>0.73799999999999999</v>
      </c>
      <c r="V98">
        <v>1.5</v>
      </c>
      <c r="W98">
        <v>4.3</v>
      </c>
      <c r="X98">
        <v>5.7</v>
      </c>
      <c r="Y98">
        <v>0.5</v>
      </c>
      <c r="Z98">
        <v>0.3</v>
      </c>
      <c r="AA98">
        <v>0.5</v>
      </c>
      <c r="AB98">
        <v>0.6</v>
      </c>
      <c r="AC98">
        <v>1.7</v>
      </c>
      <c r="AD98">
        <v>9.8000000000000007</v>
      </c>
      <c r="AE98">
        <v>1081</v>
      </c>
      <c r="AF98">
        <v>19.7</v>
      </c>
      <c r="AG98">
        <v>0.68200000000000005</v>
      </c>
      <c r="AH98">
        <v>0.16</v>
      </c>
      <c r="AI98">
        <v>0.34100000000000003</v>
      </c>
      <c r="AJ98">
        <v>8.9</v>
      </c>
      <c r="AK98">
        <v>24.6</v>
      </c>
      <c r="AL98">
        <v>17</v>
      </c>
      <c r="AM98">
        <v>4.3</v>
      </c>
      <c r="AN98">
        <v>0.7</v>
      </c>
      <c r="AO98">
        <v>2.4</v>
      </c>
      <c r="AP98">
        <v>8.1999999999999993</v>
      </c>
      <c r="AQ98">
        <v>18.2</v>
      </c>
      <c r="AR98">
        <v>2.7</v>
      </c>
      <c r="AS98">
        <v>1.4</v>
      </c>
      <c r="AT98">
        <v>4.0999999999999996</v>
      </c>
      <c r="AU98">
        <v>0.183</v>
      </c>
      <c r="AV98">
        <v>1.1000000000000001</v>
      </c>
      <c r="AW98">
        <v>-0.5</v>
      </c>
      <c r="AX98">
        <v>0.6</v>
      </c>
      <c r="AY98">
        <v>0.7</v>
      </c>
      <c r="AZ98" s="8">
        <v>2.3499999999999996</v>
      </c>
      <c r="BA98" s="8">
        <v>1.1939995173193438</v>
      </c>
      <c r="BB98" s="3">
        <v>0</v>
      </c>
    </row>
    <row r="99" spans="1:54" x14ac:dyDescent="0.25">
      <c r="A99" t="s">
        <v>411</v>
      </c>
      <c r="B99" s="2">
        <v>1968175</v>
      </c>
      <c r="C99" t="s">
        <v>75</v>
      </c>
      <c r="D99">
        <v>25</v>
      </c>
      <c r="E99" t="s">
        <v>70</v>
      </c>
      <c r="F99">
        <v>78</v>
      </c>
      <c r="G99">
        <v>28</v>
      </c>
      <c r="H99">
        <v>20.3</v>
      </c>
      <c r="I99">
        <v>2.7</v>
      </c>
      <c r="J99">
        <v>4.3</v>
      </c>
      <c r="K99">
        <v>0.64100000000000001</v>
      </c>
      <c r="L99">
        <v>0.1</v>
      </c>
      <c r="M99">
        <v>0.2</v>
      </c>
      <c r="N99">
        <v>0.38900000000000001</v>
      </c>
      <c r="O99">
        <v>2.7</v>
      </c>
      <c r="P99">
        <v>4.0999999999999996</v>
      </c>
      <c r="Q99">
        <v>0.65500000000000003</v>
      </c>
      <c r="R99">
        <v>0.65100000000000002</v>
      </c>
      <c r="S99">
        <v>1.1000000000000001</v>
      </c>
      <c r="T99">
        <v>1.6</v>
      </c>
      <c r="U99">
        <v>0.66400000000000003</v>
      </c>
      <c r="V99">
        <v>1.7</v>
      </c>
      <c r="W99">
        <v>3.7</v>
      </c>
      <c r="X99">
        <v>5.4</v>
      </c>
      <c r="Y99">
        <v>1.3</v>
      </c>
      <c r="Z99">
        <v>0.5</v>
      </c>
      <c r="AA99">
        <v>1.3</v>
      </c>
      <c r="AB99">
        <v>0.9</v>
      </c>
      <c r="AC99">
        <v>2.2000000000000002</v>
      </c>
      <c r="AD99">
        <v>6.6</v>
      </c>
      <c r="AE99">
        <v>1584</v>
      </c>
      <c r="AF99">
        <v>16.2</v>
      </c>
      <c r="AG99">
        <v>0.66600000000000004</v>
      </c>
      <c r="AH99">
        <v>5.3999999999999999E-2</v>
      </c>
      <c r="AI99">
        <v>0.374</v>
      </c>
      <c r="AJ99">
        <v>9.5</v>
      </c>
      <c r="AK99">
        <v>20.9</v>
      </c>
      <c r="AL99">
        <v>15.2</v>
      </c>
      <c r="AM99">
        <v>9.1999999999999993</v>
      </c>
      <c r="AN99">
        <v>1.2</v>
      </c>
      <c r="AO99">
        <v>5.7</v>
      </c>
      <c r="AP99">
        <v>14.7</v>
      </c>
      <c r="AQ99">
        <v>12.5</v>
      </c>
      <c r="AR99">
        <v>2.9</v>
      </c>
      <c r="AS99">
        <v>1.6</v>
      </c>
      <c r="AT99">
        <v>4.4000000000000004</v>
      </c>
      <c r="AU99">
        <v>0.13400000000000001</v>
      </c>
      <c r="AV99">
        <v>-0.9</v>
      </c>
      <c r="AW99">
        <v>0.9</v>
      </c>
      <c r="AX99">
        <v>0.1</v>
      </c>
      <c r="AY99">
        <v>0.8</v>
      </c>
      <c r="AZ99" s="8">
        <v>2.25</v>
      </c>
      <c r="BA99" s="8">
        <v>1.1431910272206485</v>
      </c>
      <c r="BB99" s="3">
        <v>0</v>
      </c>
    </row>
    <row r="100" spans="1:54" x14ac:dyDescent="0.25">
      <c r="A100" t="s">
        <v>445</v>
      </c>
      <c r="B100" s="2">
        <v>1637966</v>
      </c>
      <c r="C100" t="s">
        <v>65</v>
      </c>
      <c r="D100">
        <v>25</v>
      </c>
      <c r="E100" t="s">
        <v>113</v>
      </c>
      <c r="F100">
        <v>80</v>
      </c>
      <c r="G100">
        <v>8</v>
      </c>
      <c r="H100">
        <v>16.100000000000001</v>
      </c>
      <c r="I100">
        <v>2.2999999999999998</v>
      </c>
      <c r="J100">
        <v>5</v>
      </c>
      <c r="K100">
        <v>0.45500000000000002</v>
      </c>
      <c r="L100">
        <v>1.8</v>
      </c>
      <c r="M100">
        <v>4.2</v>
      </c>
      <c r="N100">
        <v>0.41799999999999998</v>
      </c>
      <c r="O100">
        <v>0.5</v>
      </c>
      <c r="P100">
        <v>0.8</v>
      </c>
      <c r="Q100">
        <v>0.65600000000000003</v>
      </c>
      <c r="R100">
        <v>0.63100000000000001</v>
      </c>
      <c r="S100">
        <v>0.2</v>
      </c>
      <c r="T100">
        <v>0.2</v>
      </c>
      <c r="U100">
        <v>0.70599999999999996</v>
      </c>
      <c r="V100">
        <v>0.4</v>
      </c>
      <c r="W100">
        <v>2.1</v>
      </c>
      <c r="X100">
        <v>2.6</v>
      </c>
      <c r="Y100">
        <v>0.9</v>
      </c>
      <c r="Z100">
        <v>0.4</v>
      </c>
      <c r="AA100">
        <v>0.3</v>
      </c>
      <c r="AB100">
        <v>0.4</v>
      </c>
      <c r="AC100">
        <v>1.2</v>
      </c>
      <c r="AD100">
        <v>6.4</v>
      </c>
      <c r="AE100">
        <v>1290</v>
      </c>
      <c r="AF100">
        <v>12.7</v>
      </c>
      <c r="AG100">
        <v>0.63400000000000001</v>
      </c>
      <c r="AH100">
        <v>0.84599999999999997</v>
      </c>
      <c r="AI100">
        <v>4.2999999999999997E-2</v>
      </c>
      <c r="AJ100">
        <v>3</v>
      </c>
      <c r="AK100">
        <v>14.1</v>
      </c>
      <c r="AL100">
        <v>8.6</v>
      </c>
      <c r="AM100">
        <v>7.6</v>
      </c>
      <c r="AN100">
        <v>1.1000000000000001</v>
      </c>
      <c r="AO100">
        <v>1.4</v>
      </c>
      <c r="AP100">
        <v>6.9</v>
      </c>
      <c r="AQ100">
        <v>14.7</v>
      </c>
      <c r="AR100">
        <v>1.8</v>
      </c>
      <c r="AS100">
        <v>1.6</v>
      </c>
      <c r="AT100">
        <v>3.4</v>
      </c>
      <c r="AU100">
        <v>0.128</v>
      </c>
      <c r="AV100">
        <v>0.6</v>
      </c>
      <c r="AW100">
        <v>0.4</v>
      </c>
      <c r="AX100">
        <v>1</v>
      </c>
      <c r="AY100">
        <v>1</v>
      </c>
      <c r="AZ100" s="8">
        <v>2.2000000000000002</v>
      </c>
      <c r="BA100" s="8">
        <v>1.3431292224624931</v>
      </c>
      <c r="BB100" s="3">
        <v>0</v>
      </c>
    </row>
    <row r="101" spans="1:54" x14ac:dyDescent="0.25">
      <c r="A101" t="s">
        <v>223</v>
      </c>
      <c r="B101" s="2">
        <v>8854879</v>
      </c>
      <c r="C101" t="s">
        <v>75</v>
      </c>
      <c r="D101">
        <v>24</v>
      </c>
      <c r="E101" t="s">
        <v>123</v>
      </c>
      <c r="F101">
        <v>82</v>
      </c>
      <c r="G101">
        <v>8</v>
      </c>
      <c r="H101">
        <v>19.8</v>
      </c>
      <c r="I101">
        <v>2.1</v>
      </c>
      <c r="J101">
        <v>4</v>
      </c>
      <c r="K101">
        <v>0.53500000000000003</v>
      </c>
      <c r="L101">
        <v>0.1</v>
      </c>
      <c r="M101">
        <v>0.5</v>
      </c>
      <c r="N101">
        <v>0.216</v>
      </c>
      <c r="O101">
        <v>2</v>
      </c>
      <c r="P101">
        <v>3.5</v>
      </c>
      <c r="Q101">
        <v>0.57599999999999996</v>
      </c>
      <c r="R101">
        <v>0.54700000000000004</v>
      </c>
      <c r="S101">
        <v>0.6</v>
      </c>
      <c r="T101">
        <v>0.9</v>
      </c>
      <c r="U101">
        <v>0.67600000000000005</v>
      </c>
      <c r="V101">
        <v>2.5</v>
      </c>
      <c r="W101">
        <v>4</v>
      </c>
      <c r="X101">
        <v>6.5</v>
      </c>
      <c r="Y101">
        <v>1.2</v>
      </c>
      <c r="Z101">
        <v>0.6</v>
      </c>
      <c r="AA101">
        <v>0.8</v>
      </c>
      <c r="AB101">
        <v>0.8</v>
      </c>
      <c r="AC101">
        <v>2.6</v>
      </c>
      <c r="AD101">
        <v>5</v>
      </c>
      <c r="AE101">
        <v>1626</v>
      </c>
      <c r="AF101">
        <v>14.2</v>
      </c>
      <c r="AG101">
        <v>0.56699999999999995</v>
      </c>
      <c r="AH101">
        <v>0.113</v>
      </c>
      <c r="AI101">
        <v>0.217</v>
      </c>
      <c r="AJ101">
        <v>14.1</v>
      </c>
      <c r="AK101">
        <v>22.2</v>
      </c>
      <c r="AL101">
        <v>18.100000000000001</v>
      </c>
      <c r="AM101">
        <v>8.3000000000000007</v>
      </c>
      <c r="AN101">
        <v>1.6</v>
      </c>
      <c r="AO101">
        <v>3.7</v>
      </c>
      <c r="AP101">
        <v>15.6</v>
      </c>
      <c r="AQ101">
        <v>11.2</v>
      </c>
      <c r="AR101">
        <v>2.2000000000000002</v>
      </c>
      <c r="AS101">
        <v>2.4</v>
      </c>
      <c r="AT101">
        <v>4.5999999999999996</v>
      </c>
      <c r="AU101">
        <v>0.13600000000000001</v>
      </c>
      <c r="AV101">
        <v>-1.5</v>
      </c>
      <c r="AW101">
        <v>1.2</v>
      </c>
      <c r="AX101">
        <v>-0.3</v>
      </c>
      <c r="AY101">
        <v>0.7</v>
      </c>
      <c r="AZ101" s="8">
        <v>2.15</v>
      </c>
      <c r="BA101" s="8">
        <v>0.24280399540185699</v>
      </c>
      <c r="BB101" s="3">
        <v>0</v>
      </c>
    </row>
    <row r="102" spans="1:54" x14ac:dyDescent="0.25">
      <c r="A102" t="s">
        <v>144</v>
      </c>
      <c r="B102" s="2">
        <v>18796296</v>
      </c>
      <c r="C102" t="s">
        <v>62</v>
      </c>
      <c r="D102">
        <v>28</v>
      </c>
      <c r="E102" t="s">
        <v>107</v>
      </c>
      <c r="F102">
        <v>74</v>
      </c>
      <c r="G102">
        <v>30</v>
      </c>
      <c r="H102">
        <v>30.2</v>
      </c>
      <c r="I102">
        <v>4.3</v>
      </c>
      <c r="J102">
        <v>10</v>
      </c>
      <c r="K102">
        <v>0.43099999999999999</v>
      </c>
      <c r="L102">
        <v>1.7</v>
      </c>
      <c r="M102">
        <v>4.4000000000000004</v>
      </c>
      <c r="N102">
        <v>0.39200000000000002</v>
      </c>
      <c r="O102">
        <v>2.6</v>
      </c>
      <c r="P102">
        <v>5.6</v>
      </c>
      <c r="Q102">
        <v>0.46200000000000002</v>
      </c>
      <c r="R102">
        <v>0.51700000000000002</v>
      </c>
      <c r="S102">
        <v>1.8</v>
      </c>
      <c r="T102">
        <v>2.4</v>
      </c>
      <c r="U102">
        <v>0.72199999999999998</v>
      </c>
      <c r="V102">
        <v>0.7</v>
      </c>
      <c r="W102">
        <v>3.1</v>
      </c>
      <c r="X102">
        <v>3.8</v>
      </c>
      <c r="Y102">
        <v>3.9</v>
      </c>
      <c r="Z102">
        <v>1</v>
      </c>
      <c r="AA102">
        <v>0.3</v>
      </c>
      <c r="AB102">
        <v>1.6</v>
      </c>
      <c r="AC102">
        <v>2.2999999999999998</v>
      </c>
      <c r="AD102">
        <v>12.1</v>
      </c>
      <c r="AE102">
        <v>2237</v>
      </c>
      <c r="AF102">
        <v>12.4</v>
      </c>
      <c r="AG102">
        <v>0.54600000000000004</v>
      </c>
      <c r="AH102">
        <v>0.437</v>
      </c>
      <c r="AI102">
        <v>0.24299999999999999</v>
      </c>
      <c r="AJ102">
        <v>2.8</v>
      </c>
      <c r="AK102">
        <v>12.1</v>
      </c>
      <c r="AL102">
        <v>7.4</v>
      </c>
      <c r="AM102">
        <v>18</v>
      </c>
      <c r="AN102">
        <v>1.6</v>
      </c>
      <c r="AO102">
        <v>1</v>
      </c>
      <c r="AP102">
        <v>12.4</v>
      </c>
      <c r="AQ102">
        <v>18.7</v>
      </c>
      <c r="AR102">
        <v>1.4</v>
      </c>
      <c r="AS102">
        <v>3.1</v>
      </c>
      <c r="AT102">
        <v>4.4000000000000004</v>
      </c>
      <c r="AU102">
        <v>9.5000000000000001E-2</v>
      </c>
      <c r="AV102">
        <v>-1</v>
      </c>
      <c r="AW102">
        <v>0.8</v>
      </c>
      <c r="AX102">
        <v>-0.2</v>
      </c>
      <c r="AY102">
        <v>1</v>
      </c>
      <c r="AZ102" s="8">
        <v>2.1</v>
      </c>
      <c r="BA102" s="8">
        <v>0.11172413969220318</v>
      </c>
      <c r="BB102" s="3">
        <v>0</v>
      </c>
    </row>
    <row r="103" spans="1:54" x14ac:dyDescent="0.25">
      <c r="A103" t="s">
        <v>161</v>
      </c>
      <c r="B103" s="2">
        <v>16500000</v>
      </c>
      <c r="C103" t="s">
        <v>52</v>
      </c>
      <c r="D103">
        <v>24</v>
      </c>
      <c r="E103" t="s">
        <v>152</v>
      </c>
      <c r="F103">
        <v>60</v>
      </c>
      <c r="G103">
        <v>60</v>
      </c>
      <c r="H103">
        <v>29.6</v>
      </c>
      <c r="I103">
        <v>5.8</v>
      </c>
      <c r="J103">
        <v>11.3</v>
      </c>
      <c r="K103">
        <v>0.51400000000000001</v>
      </c>
      <c r="L103">
        <v>0.5</v>
      </c>
      <c r="M103">
        <v>1.5</v>
      </c>
      <c r="N103">
        <v>0.31</v>
      </c>
      <c r="O103">
        <v>5.4</v>
      </c>
      <c r="P103">
        <v>9.9</v>
      </c>
      <c r="Q103">
        <v>0.54400000000000004</v>
      </c>
      <c r="R103">
        <v>0.53400000000000003</v>
      </c>
      <c r="S103">
        <v>1.9</v>
      </c>
      <c r="T103">
        <v>2.4</v>
      </c>
      <c r="U103">
        <v>0.78300000000000003</v>
      </c>
      <c r="V103">
        <v>1.2</v>
      </c>
      <c r="W103">
        <v>2.8</v>
      </c>
      <c r="X103">
        <v>3.9</v>
      </c>
      <c r="Y103">
        <v>5.7</v>
      </c>
      <c r="Z103">
        <v>1.5</v>
      </c>
      <c r="AA103">
        <v>0.4</v>
      </c>
      <c r="AB103">
        <v>2.2999999999999998</v>
      </c>
      <c r="AC103">
        <v>2.2000000000000002</v>
      </c>
      <c r="AD103">
        <v>14</v>
      </c>
      <c r="AE103">
        <v>1778</v>
      </c>
      <c r="AF103">
        <v>16.600000000000001</v>
      </c>
      <c r="AG103">
        <v>0.56399999999999995</v>
      </c>
      <c r="AH103">
        <v>0.128</v>
      </c>
      <c r="AI103">
        <v>0.21099999999999999</v>
      </c>
      <c r="AJ103">
        <v>4.4000000000000004</v>
      </c>
      <c r="AK103">
        <v>10.5</v>
      </c>
      <c r="AL103">
        <v>7.4</v>
      </c>
      <c r="AM103">
        <v>29.8</v>
      </c>
      <c r="AN103">
        <v>2.4</v>
      </c>
      <c r="AO103">
        <v>1.4</v>
      </c>
      <c r="AP103">
        <v>15.8</v>
      </c>
      <c r="AQ103">
        <v>21.3</v>
      </c>
      <c r="AR103">
        <v>1.7</v>
      </c>
      <c r="AS103">
        <v>2</v>
      </c>
      <c r="AT103">
        <v>3.7</v>
      </c>
      <c r="AU103">
        <v>0.1</v>
      </c>
      <c r="AV103">
        <v>-0.1</v>
      </c>
      <c r="AW103">
        <v>0.7</v>
      </c>
      <c r="AX103">
        <v>0.5</v>
      </c>
      <c r="AY103">
        <v>1.2</v>
      </c>
      <c r="AZ103" s="8">
        <v>2.1</v>
      </c>
      <c r="BA103" s="8">
        <v>0.12727272727272726</v>
      </c>
      <c r="BB103" s="3">
        <v>0</v>
      </c>
    </row>
    <row r="104" spans="1:54" x14ac:dyDescent="0.25">
      <c r="A104" t="s">
        <v>227</v>
      </c>
      <c r="B104" s="2">
        <v>8623920</v>
      </c>
      <c r="C104" t="s">
        <v>52</v>
      </c>
      <c r="D104">
        <v>21</v>
      </c>
      <c r="E104" t="s">
        <v>118</v>
      </c>
      <c r="F104">
        <v>36</v>
      </c>
      <c r="G104">
        <v>36</v>
      </c>
      <c r="H104">
        <v>35.200000000000003</v>
      </c>
      <c r="I104">
        <v>8.1999999999999993</v>
      </c>
      <c r="J104">
        <v>20</v>
      </c>
      <c r="K104">
        <v>0.41099999999999998</v>
      </c>
      <c r="L104">
        <v>4</v>
      </c>
      <c r="M104">
        <v>10.6</v>
      </c>
      <c r="N104">
        <v>0.376</v>
      </c>
      <c r="O104">
        <v>4.2</v>
      </c>
      <c r="P104">
        <v>9.4</v>
      </c>
      <c r="Q104">
        <v>0.45</v>
      </c>
      <c r="R104">
        <v>0.51</v>
      </c>
      <c r="S104">
        <v>2.8</v>
      </c>
      <c r="T104">
        <v>3.4</v>
      </c>
      <c r="U104">
        <v>0.83599999999999997</v>
      </c>
      <c r="V104">
        <v>1.2</v>
      </c>
      <c r="W104">
        <v>5.3</v>
      </c>
      <c r="X104">
        <v>6.4</v>
      </c>
      <c r="Y104">
        <v>8.4</v>
      </c>
      <c r="Z104">
        <v>1.3</v>
      </c>
      <c r="AA104">
        <v>0.3</v>
      </c>
      <c r="AB104">
        <v>3.6</v>
      </c>
      <c r="AC104">
        <v>3.3</v>
      </c>
      <c r="AD104">
        <v>23.3</v>
      </c>
      <c r="AE104">
        <v>1268</v>
      </c>
      <c r="AF104">
        <v>17.899999999999999</v>
      </c>
      <c r="AG104">
        <v>0.54100000000000004</v>
      </c>
      <c r="AH104">
        <v>0.53100000000000003</v>
      </c>
      <c r="AI104">
        <v>0.16900000000000001</v>
      </c>
      <c r="AJ104">
        <v>3.5</v>
      </c>
      <c r="AK104">
        <v>16.2</v>
      </c>
      <c r="AL104">
        <v>9.6999999999999993</v>
      </c>
      <c r="AM104">
        <v>38.700000000000003</v>
      </c>
      <c r="AN104">
        <v>1.7</v>
      </c>
      <c r="AO104">
        <v>0.8</v>
      </c>
      <c r="AP104">
        <v>14.3</v>
      </c>
      <c r="AQ104">
        <v>30</v>
      </c>
      <c r="AR104">
        <v>0.6</v>
      </c>
      <c r="AS104">
        <v>1.2</v>
      </c>
      <c r="AT104">
        <v>1.8</v>
      </c>
      <c r="AU104">
        <v>6.8000000000000005E-2</v>
      </c>
      <c r="AV104">
        <v>3.2</v>
      </c>
      <c r="AW104">
        <v>-0.8</v>
      </c>
      <c r="AX104">
        <v>2.4</v>
      </c>
      <c r="AY104">
        <v>1.4</v>
      </c>
      <c r="AZ104" s="8">
        <v>2.1</v>
      </c>
      <c r="BA104" s="8">
        <v>0.24350875240030057</v>
      </c>
      <c r="BB104" s="3">
        <v>0</v>
      </c>
    </row>
    <row r="105" spans="1:54" x14ac:dyDescent="0.25">
      <c r="A105" t="s">
        <v>141</v>
      </c>
      <c r="B105" s="2">
        <v>19700319</v>
      </c>
      <c r="C105" t="s">
        <v>28</v>
      </c>
      <c r="D105">
        <v>34</v>
      </c>
      <c r="E105" t="s">
        <v>55</v>
      </c>
      <c r="F105">
        <v>78</v>
      </c>
      <c r="G105">
        <v>19</v>
      </c>
      <c r="H105">
        <v>21.9</v>
      </c>
      <c r="I105">
        <v>2.1</v>
      </c>
      <c r="J105">
        <v>4.9000000000000004</v>
      </c>
      <c r="K105">
        <v>0.42</v>
      </c>
      <c r="L105">
        <v>1.6</v>
      </c>
      <c r="M105">
        <v>4.0999999999999996</v>
      </c>
      <c r="N105">
        <v>0.39100000000000001</v>
      </c>
      <c r="O105">
        <v>0.5</v>
      </c>
      <c r="P105">
        <v>0.8</v>
      </c>
      <c r="Q105">
        <v>0.56299999999999994</v>
      </c>
      <c r="R105">
        <v>0.58299999999999996</v>
      </c>
      <c r="S105">
        <v>0.4</v>
      </c>
      <c r="T105">
        <v>0.6</v>
      </c>
      <c r="U105">
        <v>0.70799999999999996</v>
      </c>
      <c r="V105">
        <v>0.8</v>
      </c>
      <c r="W105">
        <v>3</v>
      </c>
      <c r="X105">
        <v>3.8</v>
      </c>
      <c r="Y105">
        <v>1.6</v>
      </c>
      <c r="Z105">
        <v>0.7</v>
      </c>
      <c r="AA105">
        <v>0.6</v>
      </c>
      <c r="AB105">
        <v>0.6</v>
      </c>
      <c r="AC105">
        <v>1.9</v>
      </c>
      <c r="AD105">
        <v>6.1</v>
      </c>
      <c r="AE105">
        <v>1709</v>
      </c>
      <c r="AF105">
        <v>11</v>
      </c>
      <c r="AG105">
        <v>0.59399999999999997</v>
      </c>
      <c r="AH105">
        <v>0.83199999999999996</v>
      </c>
      <c r="AI105">
        <v>0.126</v>
      </c>
      <c r="AJ105">
        <v>4.0999999999999996</v>
      </c>
      <c r="AK105">
        <v>15.4</v>
      </c>
      <c r="AL105">
        <v>9.8000000000000007</v>
      </c>
      <c r="AM105">
        <v>9.4</v>
      </c>
      <c r="AN105">
        <v>1.5</v>
      </c>
      <c r="AO105">
        <v>2.2999999999999998</v>
      </c>
      <c r="AP105">
        <v>11.1</v>
      </c>
      <c r="AQ105">
        <v>11.5</v>
      </c>
      <c r="AR105">
        <v>1.7</v>
      </c>
      <c r="AS105">
        <v>1.9</v>
      </c>
      <c r="AT105">
        <v>3.6</v>
      </c>
      <c r="AU105">
        <v>0.10100000000000001</v>
      </c>
      <c r="AV105">
        <v>-0.8</v>
      </c>
      <c r="AW105">
        <v>1.2</v>
      </c>
      <c r="AX105">
        <v>0.5</v>
      </c>
      <c r="AY105">
        <v>1</v>
      </c>
      <c r="AZ105" s="8">
        <v>2.0499999999999998</v>
      </c>
      <c r="BA105" s="8">
        <v>0.10405922868558624</v>
      </c>
      <c r="BB105" s="3">
        <v>0</v>
      </c>
    </row>
    <row r="106" spans="1:54" x14ac:dyDescent="0.25">
      <c r="A106" t="s">
        <v>269</v>
      </c>
      <c r="B106" s="2">
        <v>5722116</v>
      </c>
      <c r="C106" t="s">
        <v>62</v>
      </c>
      <c r="D106">
        <v>23</v>
      </c>
      <c r="E106" t="s">
        <v>80</v>
      </c>
      <c r="F106">
        <v>67</v>
      </c>
      <c r="G106">
        <v>67</v>
      </c>
      <c r="H106">
        <v>34.9</v>
      </c>
      <c r="I106">
        <v>7.3</v>
      </c>
      <c r="J106">
        <v>16.600000000000001</v>
      </c>
      <c r="K106">
        <v>0.439</v>
      </c>
      <c r="L106">
        <v>3</v>
      </c>
      <c r="M106">
        <v>8</v>
      </c>
      <c r="N106">
        <v>0.378</v>
      </c>
      <c r="O106">
        <v>4.2</v>
      </c>
      <c r="P106">
        <v>8.5</v>
      </c>
      <c r="Q106">
        <v>0.497</v>
      </c>
      <c r="R106">
        <v>0.53100000000000003</v>
      </c>
      <c r="S106">
        <v>2.5</v>
      </c>
      <c r="T106">
        <v>2.7</v>
      </c>
      <c r="U106">
        <v>0.93400000000000005</v>
      </c>
      <c r="V106">
        <v>0.4</v>
      </c>
      <c r="W106">
        <v>5</v>
      </c>
      <c r="X106">
        <v>5.4</v>
      </c>
      <c r="Y106">
        <v>4.2</v>
      </c>
      <c r="Z106">
        <v>0.8</v>
      </c>
      <c r="AA106">
        <v>0.2</v>
      </c>
      <c r="AB106">
        <v>2.4</v>
      </c>
      <c r="AC106">
        <v>1.5</v>
      </c>
      <c r="AD106">
        <v>20.100000000000001</v>
      </c>
      <c r="AE106">
        <v>2337</v>
      </c>
      <c r="AF106">
        <v>15.3</v>
      </c>
      <c r="AG106">
        <v>0.56599999999999995</v>
      </c>
      <c r="AH106">
        <v>0.48399999999999999</v>
      </c>
      <c r="AI106">
        <v>0.16400000000000001</v>
      </c>
      <c r="AJ106">
        <v>1.3</v>
      </c>
      <c r="AK106">
        <v>17.3</v>
      </c>
      <c r="AL106">
        <v>9</v>
      </c>
      <c r="AM106">
        <v>19.899999999999999</v>
      </c>
      <c r="AN106">
        <v>1.1000000000000001</v>
      </c>
      <c r="AO106">
        <v>0.7</v>
      </c>
      <c r="AP106">
        <v>11.7</v>
      </c>
      <c r="AQ106">
        <v>25.6</v>
      </c>
      <c r="AR106">
        <v>1.1000000000000001</v>
      </c>
      <c r="AS106">
        <v>2.4</v>
      </c>
      <c r="AT106">
        <v>3.5</v>
      </c>
      <c r="AU106">
        <v>7.1999999999999995E-2</v>
      </c>
      <c r="AV106">
        <v>1.5</v>
      </c>
      <c r="AW106">
        <v>-0.8</v>
      </c>
      <c r="AX106">
        <v>0.6</v>
      </c>
      <c r="AY106">
        <v>1.6</v>
      </c>
      <c r="AZ106" s="8">
        <v>2.0499999999999998</v>
      </c>
      <c r="BA106" s="8">
        <v>0.35825907758598391</v>
      </c>
      <c r="BB106" s="3">
        <v>0</v>
      </c>
    </row>
    <row r="107" spans="1:54" x14ac:dyDescent="0.25">
      <c r="A107" t="s">
        <v>413</v>
      </c>
      <c r="B107" s="2">
        <v>1930681</v>
      </c>
      <c r="C107" t="s">
        <v>62</v>
      </c>
      <c r="D107">
        <v>26</v>
      </c>
      <c r="E107" t="s">
        <v>55</v>
      </c>
      <c r="F107">
        <v>81</v>
      </c>
      <c r="G107">
        <v>36</v>
      </c>
      <c r="H107">
        <v>23.1</v>
      </c>
      <c r="I107">
        <v>3.4</v>
      </c>
      <c r="J107">
        <v>6.5</v>
      </c>
      <c r="K107">
        <v>0.51900000000000002</v>
      </c>
      <c r="L107">
        <v>1</v>
      </c>
      <c r="M107">
        <v>2.4</v>
      </c>
      <c r="N107">
        <v>0.38900000000000001</v>
      </c>
      <c r="O107">
        <v>2.4</v>
      </c>
      <c r="P107">
        <v>4</v>
      </c>
      <c r="Q107">
        <v>0.59799999999999998</v>
      </c>
      <c r="R107">
        <v>0.59299999999999997</v>
      </c>
      <c r="S107">
        <v>1.1000000000000001</v>
      </c>
      <c r="T107">
        <v>1.5</v>
      </c>
      <c r="U107">
        <v>0.78</v>
      </c>
      <c r="V107">
        <v>1</v>
      </c>
      <c r="W107">
        <v>2.5</v>
      </c>
      <c r="X107">
        <v>3.4</v>
      </c>
      <c r="Y107">
        <v>2.2999999999999998</v>
      </c>
      <c r="Z107">
        <v>0.5</v>
      </c>
      <c r="AA107">
        <v>0.3</v>
      </c>
      <c r="AB107">
        <v>1</v>
      </c>
      <c r="AC107">
        <v>1.8</v>
      </c>
      <c r="AD107">
        <v>8.8000000000000007</v>
      </c>
      <c r="AE107">
        <v>1872</v>
      </c>
      <c r="AF107">
        <v>13.4</v>
      </c>
      <c r="AG107">
        <v>0.61899999999999999</v>
      </c>
      <c r="AH107">
        <v>0.378</v>
      </c>
      <c r="AI107">
        <v>0.22500000000000001</v>
      </c>
      <c r="AJ107">
        <v>4.7</v>
      </c>
      <c r="AK107">
        <v>11.8</v>
      </c>
      <c r="AL107">
        <v>8.3000000000000007</v>
      </c>
      <c r="AM107">
        <v>14</v>
      </c>
      <c r="AN107">
        <v>1.1000000000000001</v>
      </c>
      <c r="AO107">
        <v>1</v>
      </c>
      <c r="AP107">
        <v>12.2</v>
      </c>
      <c r="AQ107">
        <v>15.3</v>
      </c>
      <c r="AR107">
        <v>2.8</v>
      </c>
      <c r="AS107">
        <v>1.5</v>
      </c>
      <c r="AT107">
        <v>4.3</v>
      </c>
      <c r="AU107">
        <v>0.111</v>
      </c>
      <c r="AV107">
        <v>-0.3</v>
      </c>
      <c r="AW107">
        <v>0.1</v>
      </c>
      <c r="AX107">
        <v>-0.2</v>
      </c>
      <c r="AY107">
        <v>0.8</v>
      </c>
      <c r="AZ107" s="8">
        <v>2.0499999999999998</v>
      </c>
      <c r="BA107" s="8">
        <v>1.0618015094155895</v>
      </c>
      <c r="BB107" s="3">
        <v>0</v>
      </c>
    </row>
    <row r="108" spans="1:54" x14ac:dyDescent="0.25">
      <c r="A108" t="s">
        <v>149</v>
      </c>
      <c r="B108" s="2">
        <v>17926829</v>
      </c>
      <c r="C108" t="s">
        <v>75</v>
      </c>
      <c r="D108">
        <v>29</v>
      </c>
      <c r="E108" t="s">
        <v>150</v>
      </c>
      <c r="F108">
        <v>42</v>
      </c>
      <c r="G108">
        <v>42</v>
      </c>
      <c r="H108">
        <v>27</v>
      </c>
      <c r="I108">
        <v>3.7</v>
      </c>
      <c r="J108">
        <v>6.3</v>
      </c>
      <c r="K108">
        <v>0.59699999999999998</v>
      </c>
      <c r="L108">
        <v>0</v>
      </c>
      <c r="M108">
        <v>0</v>
      </c>
      <c r="N108">
        <v>0</v>
      </c>
      <c r="O108">
        <v>3.7</v>
      </c>
      <c r="P108">
        <v>6.2</v>
      </c>
      <c r="Q108">
        <v>0.59899999999999998</v>
      </c>
      <c r="R108">
        <v>0.59699999999999998</v>
      </c>
      <c r="S108">
        <v>1.1000000000000001</v>
      </c>
      <c r="T108">
        <v>3.1</v>
      </c>
      <c r="U108">
        <v>0.36399999999999999</v>
      </c>
      <c r="V108">
        <v>5.0999999999999996</v>
      </c>
      <c r="W108">
        <v>6.5</v>
      </c>
      <c r="X108">
        <v>11.5</v>
      </c>
      <c r="Y108">
        <v>2.2999999999999998</v>
      </c>
      <c r="Z108">
        <v>0.9</v>
      </c>
      <c r="AA108">
        <v>1.1000000000000001</v>
      </c>
      <c r="AB108">
        <v>1.9</v>
      </c>
      <c r="AC108">
        <v>2.2999999999999998</v>
      </c>
      <c r="AD108">
        <v>8.6</v>
      </c>
      <c r="AE108">
        <v>1133</v>
      </c>
      <c r="AF108">
        <v>17.5</v>
      </c>
      <c r="AG108">
        <v>0.56399999999999995</v>
      </c>
      <c r="AH108">
        <v>4.0000000000000001E-3</v>
      </c>
      <c r="AI108">
        <v>0.49</v>
      </c>
      <c r="AJ108">
        <v>20.100000000000001</v>
      </c>
      <c r="AK108">
        <v>25.3</v>
      </c>
      <c r="AL108">
        <v>22.7</v>
      </c>
      <c r="AM108">
        <v>11.2</v>
      </c>
      <c r="AN108">
        <v>1.5</v>
      </c>
      <c r="AO108">
        <v>3.7</v>
      </c>
      <c r="AP108">
        <v>19.8</v>
      </c>
      <c r="AQ108">
        <v>14.6</v>
      </c>
      <c r="AR108">
        <v>1.3</v>
      </c>
      <c r="AS108">
        <v>2.1</v>
      </c>
      <c r="AT108">
        <v>3.4</v>
      </c>
      <c r="AU108">
        <v>0.14399999999999999</v>
      </c>
      <c r="AV108">
        <v>-0.3</v>
      </c>
      <c r="AW108">
        <v>0.9</v>
      </c>
      <c r="AX108">
        <v>0.6</v>
      </c>
      <c r="AY108">
        <v>0.7</v>
      </c>
      <c r="AZ108" s="8">
        <v>2</v>
      </c>
      <c r="BA108" s="8">
        <v>0.11156462752001484</v>
      </c>
      <c r="BB108" s="3">
        <v>0</v>
      </c>
    </row>
    <row r="109" spans="1:54" x14ac:dyDescent="0.25">
      <c r="A109" t="s">
        <v>375</v>
      </c>
      <c r="B109" s="2">
        <v>2300000</v>
      </c>
      <c r="C109" t="s">
        <v>65</v>
      </c>
      <c r="D109">
        <v>26</v>
      </c>
      <c r="E109" t="s">
        <v>150</v>
      </c>
      <c r="F109">
        <v>72</v>
      </c>
      <c r="G109">
        <v>23</v>
      </c>
      <c r="H109">
        <v>20.8</v>
      </c>
      <c r="I109">
        <v>1.9</v>
      </c>
      <c r="J109">
        <v>4.4000000000000004</v>
      </c>
      <c r="K109">
        <v>0.43099999999999999</v>
      </c>
      <c r="L109">
        <v>0.8</v>
      </c>
      <c r="M109">
        <v>2.5</v>
      </c>
      <c r="N109">
        <v>0.33900000000000002</v>
      </c>
      <c r="O109">
        <v>1.1000000000000001</v>
      </c>
      <c r="P109">
        <v>2</v>
      </c>
      <c r="Q109">
        <v>0.54500000000000004</v>
      </c>
      <c r="R109">
        <v>0.52500000000000002</v>
      </c>
      <c r="S109">
        <v>0.4</v>
      </c>
      <c r="T109">
        <v>0.5</v>
      </c>
      <c r="U109">
        <v>0.77800000000000002</v>
      </c>
      <c r="V109">
        <v>0.9</v>
      </c>
      <c r="W109">
        <v>3.4</v>
      </c>
      <c r="X109">
        <v>4.3</v>
      </c>
      <c r="Y109">
        <v>1.4</v>
      </c>
      <c r="Z109">
        <v>1.1000000000000001</v>
      </c>
      <c r="AA109">
        <v>0.3</v>
      </c>
      <c r="AB109">
        <v>0.5</v>
      </c>
      <c r="AC109">
        <v>1.6</v>
      </c>
      <c r="AD109">
        <v>5.0999999999999996</v>
      </c>
      <c r="AE109">
        <v>1494</v>
      </c>
      <c r="AF109">
        <v>10.8</v>
      </c>
      <c r="AG109">
        <v>0.54200000000000004</v>
      </c>
      <c r="AH109">
        <v>0.55300000000000005</v>
      </c>
      <c r="AI109">
        <v>0.113</v>
      </c>
      <c r="AJ109">
        <v>4.5</v>
      </c>
      <c r="AK109">
        <v>17.399999999999999</v>
      </c>
      <c r="AL109">
        <v>11</v>
      </c>
      <c r="AM109">
        <v>8.1999999999999993</v>
      </c>
      <c r="AN109">
        <v>2.4</v>
      </c>
      <c r="AO109">
        <v>1.5</v>
      </c>
      <c r="AP109">
        <v>9.9</v>
      </c>
      <c r="AQ109">
        <v>10.4</v>
      </c>
      <c r="AR109">
        <v>1</v>
      </c>
      <c r="AS109">
        <v>2.5</v>
      </c>
      <c r="AT109">
        <v>3.5</v>
      </c>
      <c r="AU109">
        <v>0.111</v>
      </c>
      <c r="AV109">
        <v>-1.9</v>
      </c>
      <c r="AW109">
        <v>2.4</v>
      </c>
      <c r="AX109">
        <v>0.5</v>
      </c>
      <c r="AY109">
        <v>0.9</v>
      </c>
      <c r="AZ109" s="8">
        <v>2</v>
      </c>
      <c r="BA109" s="8">
        <v>0.86956521739130432</v>
      </c>
      <c r="BB109" s="3">
        <v>0</v>
      </c>
    </row>
    <row r="110" spans="1:54" x14ac:dyDescent="0.25">
      <c r="A110" t="s">
        <v>415</v>
      </c>
      <c r="B110" s="2">
        <v>1930681</v>
      </c>
      <c r="C110" t="s">
        <v>75</v>
      </c>
      <c r="D110">
        <v>23</v>
      </c>
      <c r="E110" t="s">
        <v>76</v>
      </c>
      <c r="F110">
        <v>68</v>
      </c>
      <c r="G110">
        <v>11</v>
      </c>
      <c r="H110">
        <v>18.399999999999999</v>
      </c>
      <c r="I110">
        <v>4.5999999999999996</v>
      </c>
      <c r="J110">
        <v>8.5</v>
      </c>
      <c r="K110">
        <v>0.53700000000000003</v>
      </c>
      <c r="L110">
        <v>1.1000000000000001</v>
      </c>
      <c r="M110">
        <v>3.2</v>
      </c>
      <c r="N110">
        <v>0.34599999999999997</v>
      </c>
      <c r="O110">
        <v>3.5</v>
      </c>
      <c r="P110">
        <v>5.3</v>
      </c>
      <c r="Q110">
        <v>0.65300000000000002</v>
      </c>
      <c r="R110">
        <v>0.60199999999999998</v>
      </c>
      <c r="S110">
        <v>1.3</v>
      </c>
      <c r="T110">
        <v>1.9</v>
      </c>
      <c r="U110">
        <v>0.67700000000000005</v>
      </c>
      <c r="V110">
        <v>1.1000000000000001</v>
      </c>
      <c r="W110">
        <v>3.8</v>
      </c>
      <c r="X110">
        <v>4.9000000000000004</v>
      </c>
      <c r="Y110">
        <v>1.1000000000000001</v>
      </c>
      <c r="Z110">
        <v>0.6</v>
      </c>
      <c r="AA110">
        <v>0.8</v>
      </c>
      <c r="AB110">
        <v>1.4</v>
      </c>
      <c r="AC110">
        <v>2.6</v>
      </c>
      <c r="AD110">
        <v>11.5</v>
      </c>
      <c r="AE110">
        <v>1251</v>
      </c>
      <c r="AF110">
        <v>18.5</v>
      </c>
      <c r="AG110">
        <v>0.61699999999999999</v>
      </c>
      <c r="AH110">
        <v>0.376</v>
      </c>
      <c r="AI110">
        <v>0.22</v>
      </c>
      <c r="AJ110">
        <v>6.6</v>
      </c>
      <c r="AK110">
        <v>22.8</v>
      </c>
      <c r="AL110">
        <v>14.9</v>
      </c>
      <c r="AM110">
        <v>9.6</v>
      </c>
      <c r="AN110">
        <v>1.6</v>
      </c>
      <c r="AO110">
        <v>3.7</v>
      </c>
      <c r="AP110">
        <v>12.7</v>
      </c>
      <c r="AQ110">
        <v>24.8</v>
      </c>
      <c r="AR110">
        <v>1.1000000000000001</v>
      </c>
      <c r="AS110">
        <v>1.9</v>
      </c>
      <c r="AT110">
        <v>3</v>
      </c>
      <c r="AU110">
        <v>0.114</v>
      </c>
      <c r="AV110">
        <v>0.3</v>
      </c>
      <c r="AW110">
        <v>0.8</v>
      </c>
      <c r="AX110">
        <v>1</v>
      </c>
      <c r="AY110">
        <v>1</v>
      </c>
      <c r="AZ110" s="8">
        <v>2</v>
      </c>
      <c r="BA110" s="8">
        <v>1.0359039116249655</v>
      </c>
      <c r="BB110" s="3">
        <v>0</v>
      </c>
    </row>
    <row r="111" spans="1:54" x14ac:dyDescent="0.25">
      <c r="A111" t="s">
        <v>423</v>
      </c>
      <c r="B111" s="2">
        <v>1878720</v>
      </c>
      <c r="C111" t="s">
        <v>75</v>
      </c>
      <c r="D111">
        <v>25</v>
      </c>
      <c r="E111" t="s">
        <v>152</v>
      </c>
      <c r="F111">
        <v>57</v>
      </c>
      <c r="G111">
        <v>18</v>
      </c>
      <c r="H111">
        <v>19.5</v>
      </c>
      <c r="I111">
        <v>3.5</v>
      </c>
      <c r="J111">
        <v>6.9</v>
      </c>
      <c r="K111">
        <v>0.5</v>
      </c>
      <c r="L111">
        <v>0.9</v>
      </c>
      <c r="M111">
        <v>2.9</v>
      </c>
      <c r="N111">
        <v>0.313</v>
      </c>
      <c r="O111">
        <v>2.6</v>
      </c>
      <c r="P111">
        <v>4.0999999999999996</v>
      </c>
      <c r="Q111">
        <v>0.63100000000000001</v>
      </c>
      <c r="R111">
        <v>0.56399999999999995</v>
      </c>
      <c r="S111">
        <v>2.7</v>
      </c>
      <c r="T111">
        <v>3.2</v>
      </c>
      <c r="U111">
        <v>0.84099999999999997</v>
      </c>
      <c r="V111">
        <v>1.2</v>
      </c>
      <c r="W111">
        <v>3.3</v>
      </c>
      <c r="X111">
        <v>4.5</v>
      </c>
      <c r="Y111">
        <v>1.5</v>
      </c>
      <c r="Z111">
        <v>0.6</v>
      </c>
      <c r="AA111">
        <v>0.2</v>
      </c>
      <c r="AB111">
        <v>1.2</v>
      </c>
      <c r="AC111">
        <v>2.4</v>
      </c>
      <c r="AD111">
        <v>10.5</v>
      </c>
      <c r="AE111">
        <v>1109</v>
      </c>
      <c r="AF111">
        <v>17.399999999999999</v>
      </c>
      <c r="AG111">
        <v>0.63</v>
      </c>
      <c r="AH111">
        <v>0.41199999999999998</v>
      </c>
      <c r="AI111">
        <v>0.46</v>
      </c>
      <c r="AJ111">
        <v>7</v>
      </c>
      <c r="AK111">
        <v>19.399999999999999</v>
      </c>
      <c r="AL111">
        <v>13.2</v>
      </c>
      <c r="AM111">
        <v>11.5</v>
      </c>
      <c r="AN111">
        <v>1.6</v>
      </c>
      <c r="AO111">
        <v>1.1000000000000001</v>
      </c>
      <c r="AP111">
        <v>12.5</v>
      </c>
      <c r="AQ111">
        <v>21.1</v>
      </c>
      <c r="AR111">
        <v>2.1</v>
      </c>
      <c r="AS111">
        <v>1.3</v>
      </c>
      <c r="AT111">
        <v>3.4</v>
      </c>
      <c r="AU111">
        <v>0.14899999999999999</v>
      </c>
      <c r="AV111">
        <v>0.4</v>
      </c>
      <c r="AW111">
        <v>0.2</v>
      </c>
      <c r="AX111">
        <v>0.6</v>
      </c>
      <c r="AY111">
        <v>0.7</v>
      </c>
      <c r="AZ111" s="8">
        <v>2</v>
      </c>
      <c r="BA111" s="8">
        <v>1.0645545903593936</v>
      </c>
      <c r="BB111" s="3">
        <v>0</v>
      </c>
    </row>
    <row r="112" spans="1:54" x14ac:dyDescent="0.25">
      <c r="A112" t="s">
        <v>246</v>
      </c>
      <c r="B112" s="2">
        <v>7040880</v>
      </c>
      <c r="C112" t="s">
        <v>65</v>
      </c>
      <c r="D112">
        <v>22</v>
      </c>
      <c r="E112" t="s">
        <v>107</v>
      </c>
      <c r="F112">
        <v>76</v>
      </c>
      <c r="G112">
        <v>46</v>
      </c>
      <c r="H112">
        <v>21.7</v>
      </c>
      <c r="I112">
        <v>2.2999999999999998</v>
      </c>
      <c r="J112">
        <v>4.7</v>
      </c>
      <c r="K112">
        <v>0.49399999999999999</v>
      </c>
      <c r="L112">
        <v>0.8</v>
      </c>
      <c r="M112">
        <v>2.2999999999999998</v>
      </c>
      <c r="N112">
        <v>0.36299999999999999</v>
      </c>
      <c r="O112">
        <v>1.5</v>
      </c>
      <c r="P112">
        <v>2.4</v>
      </c>
      <c r="Q112">
        <v>0.61699999999999999</v>
      </c>
      <c r="R112">
        <v>0.58199999999999996</v>
      </c>
      <c r="S112">
        <v>1</v>
      </c>
      <c r="T112">
        <v>1.4</v>
      </c>
      <c r="U112">
        <v>0.75700000000000001</v>
      </c>
      <c r="V112">
        <v>0.7</v>
      </c>
      <c r="W112">
        <v>1.8</v>
      </c>
      <c r="X112">
        <v>2.5</v>
      </c>
      <c r="Y112">
        <v>1.1000000000000001</v>
      </c>
      <c r="Z112">
        <v>0.7</v>
      </c>
      <c r="AA112">
        <v>0.4</v>
      </c>
      <c r="AB112">
        <v>0.6</v>
      </c>
      <c r="AC112">
        <v>2.1</v>
      </c>
      <c r="AD112">
        <v>6.4</v>
      </c>
      <c r="AE112">
        <v>1652</v>
      </c>
      <c r="AF112">
        <v>10.7</v>
      </c>
      <c r="AG112">
        <v>0.61399999999999999</v>
      </c>
      <c r="AH112">
        <v>0.48299999999999998</v>
      </c>
      <c r="AI112">
        <v>0.29099999999999998</v>
      </c>
      <c r="AJ112">
        <v>3.7</v>
      </c>
      <c r="AK112">
        <v>9.6</v>
      </c>
      <c r="AL112">
        <v>6.7</v>
      </c>
      <c r="AM112">
        <v>7</v>
      </c>
      <c r="AN112">
        <v>1.7</v>
      </c>
      <c r="AO112">
        <v>1.7</v>
      </c>
      <c r="AP112">
        <v>9.5</v>
      </c>
      <c r="AQ112">
        <v>11.9</v>
      </c>
      <c r="AR112">
        <v>1.9</v>
      </c>
      <c r="AS112">
        <v>2.2999999999999998</v>
      </c>
      <c r="AT112">
        <v>4.2</v>
      </c>
      <c r="AU112">
        <v>0.122</v>
      </c>
      <c r="AV112">
        <v>-1.9</v>
      </c>
      <c r="AW112">
        <v>1.6</v>
      </c>
      <c r="AX112">
        <v>-0.3</v>
      </c>
      <c r="AY112">
        <v>0.7</v>
      </c>
      <c r="AZ112" s="8">
        <v>1.9500000000000002</v>
      </c>
      <c r="BA112" s="8">
        <v>0.27695401711149747</v>
      </c>
      <c r="BB112" s="3">
        <v>0</v>
      </c>
    </row>
    <row r="113" spans="1:54" x14ac:dyDescent="0.25">
      <c r="A113" t="s">
        <v>176</v>
      </c>
      <c r="B113" s="2">
        <v>13745455</v>
      </c>
      <c r="C113" t="s">
        <v>62</v>
      </c>
      <c r="D113">
        <v>26</v>
      </c>
      <c r="E113" t="s">
        <v>150</v>
      </c>
      <c r="F113">
        <v>59</v>
      </c>
      <c r="G113">
        <v>14</v>
      </c>
      <c r="H113">
        <v>22.3</v>
      </c>
      <c r="I113">
        <v>3.2</v>
      </c>
      <c r="J113">
        <v>6.5</v>
      </c>
      <c r="K113">
        <v>0.49199999999999999</v>
      </c>
      <c r="L113">
        <v>2.2999999999999998</v>
      </c>
      <c r="M113">
        <v>4.5999999999999996</v>
      </c>
      <c r="N113">
        <v>0.49399999999999999</v>
      </c>
      <c r="O113">
        <v>0.9</v>
      </c>
      <c r="P113">
        <v>1.9</v>
      </c>
      <c r="Q113">
        <v>0.48699999999999999</v>
      </c>
      <c r="R113">
        <v>0.66600000000000004</v>
      </c>
      <c r="S113">
        <v>0.6</v>
      </c>
      <c r="T113">
        <v>0.7</v>
      </c>
      <c r="U113">
        <v>0.94899999999999995</v>
      </c>
      <c r="V113">
        <v>0.3</v>
      </c>
      <c r="W113">
        <v>2.4</v>
      </c>
      <c r="X113">
        <v>2.7</v>
      </c>
      <c r="Y113">
        <v>1.5</v>
      </c>
      <c r="Z113">
        <v>0.5</v>
      </c>
      <c r="AA113">
        <v>0.1</v>
      </c>
      <c r="AB113">
        <v>0.8</v>
      </c>
      <c r="AC113">
        <v>1.4</v>
      </c>
      <c r="AD113">
        <v>9.3000000000000007</v>
      </c>
      <c r="AE113">
        <v>1315</v>
      </c>
      <c r="AF113">
        <v>13</v>
      </c>
      <c r="AG113">
        <v>0.68400000000000005</v>
      </c>
      <c r="AH113">
        <v>0.70399999999999996</v>
      </c>
      <c r="AI113">
        <v>0.10199999999999999</v>
      </c>
      <c r="AJ113">
        <v>1.2</v>
      </c>
      <c r="AK113">
        <v>11.8</v>
      </c>
      <c r="AL113">
        <v>6.6</v>
      </c>
      <c r="AM113">
        <v>9.4</v>
      </c>
      <c r="AN113">
        <v>1.2</v>
      </c>
      <c r="AO113">
        <v>0.3</v>
      </c>
      <c r="AP113">
        <v>10.3</v>
      </c>
      <c r="AQ113">
        <v>14.5</v>
      </c>
      <c r="AR113">
        <v>2.2000000000000002</v>
      </c>
      <c r="AS113">
        <v>1.2</v>
      </c>
      <c r="AT113">
        <v>3.4</v>
      </c>
      <c r="AU113">
        <v>0.124</v>
      </c>
      <c r="AV113">
        <v>0.6</v>
      </c>
      <c r="AW113">
        <v>-0.1</v>
      </c>
      <c r="AX113">
        <v>0.5</v>
      </c>
      <c r="AY113">
        <v>0.8</v>
      </c>
      <c r="AZ113" s="8">
        <v>1.95</v>
      </c>
      <c r="BA113" s="8">
        <v>0.14186507467377399</v>
      </c>
      <c r="BB113" s="3">
        <v>0</v>
      </c>
    </row>
    <row r="114" spans="1:54" x14ac:dyDescent="0.25">
      <c r="A114" t="s">
        <v>137</v>
      </c>
      <c r="B114" s="2">
        <v>20955000</v>
      </c>
      <c r="C114" t="s">
        <v>28</v>
      </c>
      <c r="D114">
        <v>28</v>
      </c>
      <c r="E114" t="s">
        <v>70</v>
      </c>
      <c r="F114">
        <v>63</v>
      </c>
      <c r="G114">
        <v>63</v>
      </c>
      <c r="H114">
        <v>35.700000000000003</v>
      </c>
      <c r="I114">
        <v>6.9</v>
      </c>
      <c r="J114">
        <v>14.5</v>
      </c>
      <c r="K114">
        <v>0.47499999999999998</v>
      </c>
      <c r="L114">
        <v>2.2999999999999998</v>
      </c>
      <c r="M114">
        <v>5.7</v>
      </c>
      <c r="N114">
        <v>0.40100000000000002</v>
      </c>
      <c r="O114">
        <v>4.5999999999999996</v>
      </c>
      <c r="P114">
        <v>8.8000000000000007</v>
      </c>
      <c r="Q114">
        <v>0.52300000000000002</v>
      </c>
      <c r="R114">
        <v>0.55400000000000005</v>
      </c>
      <c r="S114">
        <v>4.4000000000000004</v>
      </c>
      <c r="T114">
        <v>5.4</v>
      </c>
      <c r="U114">
        <v>0.81299999999999994</v>
      </c>
      <c r="V114">
        <v>0.8</v>
      </c>
      <c r="W114">
        <v>3.7</v>
      </c>
      <c r="X114">
        <v>4.5</v>
      </c>
      <c r="Y114">
        <v>2.4</v>
      </c>
      <c r="Z114">
        <v>0.8</v>
      </c>
      <c r="AA114">
        <v>0.8</v>
      </c>
      <c r="AB114">
        <v>1.8</v>
      </c>
      <c r="AC114">
        <v>2.4</v>
      </c>
      <c r="AD114">
        <v>20.5</v>
      </c>
      <c r="AE114">
        <v>2246</v>
      </c>
      <c r="AF114">
        <v>16</v>
      </c>
      <c r="AG114">
        <v>0.60599999999999998</v>
      </c>
      <c r="AH114">
        <v>0.39300000000000002</v>
      </c>
      <c r="AI114">
        <v>0.375</v>
      </c>
      <c r="AJ114">
        <v>2.7</v>
      </c>
      <c r="AK114">
        <v>11.9</v>
      </c>
      <c r="AL114">
        <v>7.2</v>
      </c>
      <c r="AM114">
        <v>10.3</v>
      </c>
      <c r="AN114">
        <v>1.1000000000000001</v>
      </c>
      <c r="AO114">
        <v>2.1</v>
      </c>
      <c r="AP114">
        <v>9.8000000000000007</v>
      </c>
      <c r="AQ114">
        <v>22.8</v>
      </c>
      <c r="AR114">
        <v>3.1</v>
      </c>
      <c r="AS114">
        <v>1</v>
      </c>
      <c r="AT114">
        <v>4.0999999999999996</v>
      </c>
      <c r="AU114">
        <v>8.6999999999999994E-2</v>
      </c>
      <c r="AV114">
        <v>1.2</v>
      </c>
      <c r="AW114">
        <v>-1.4</v>
      </c>
      <c r="AX114">
        <v>-0.2</v>
      </c>
      <c r="AY114">
        <v>1</v>
      </c>
      <c r="AZ114" s="8">
        <v>1.9499999999999997</v>
      </c>
      <c r="BA114" s="8">
        <v>9.3056549749463119E-2</v>
      </c>
      <c r="BB114" s="3">
        <v>0</v>
      </c>
    </row>
    <row r="115" spans="1:54" x14ac:dyDescent="0.25">
      <c r="A115" t="s">
        <v>193</v>
      </c>
      <c r="B115" s="2">
        <v>11080125</v>
      </c>
      <c r="C115" t="s">
        <v>75</v>
      </c>
      <c r="D115">
        <v>31</v>
      </c>
      <c r="E115" t="s">
        <v>73</v>
      </c>
      <c r="F115">
        <v>76</v>
      </c>
      <c r="G115">
        <v>64</v>
      </c>
      <c r="H115">
        <v>19.2</v>
      </c>
      <c r="I115">
        <v>2.6</v>
      </c>
      <c r="J115">
        <v>3.5</v>
      </c>
      <c r="K115">
        <v>0.73199999999999998</v>
      </c>
      <c r="L115">
        <v>0</v>
      </c>
      <c r="M115">
        <v>0.1</v>
      </c>
      <c r="N115">
        <v>0</v>
      </c>
      <c r="O115">
        <v>2.6</v>
      </c>
      <c r="P115">
        <v>3.5</v>
      </c>
      <c r="Q115">
        <v>0.746</v>
      </c>
      <c r="R115">
        <v>0.73199999999999998</v>
      </c>
      <c r="S115">
        <v>1.5</v>
      </c>
      <c r="T115">
        <v>2.2000000000000002</v>
      </c>
      <c r="U115">
        <v>0.66700000000000004</v>
      </c>
      <c r="V115">
        <v>2</v>
      </c>
      <c r="W115">
        <v>2.2000000000000002</v>
      </c>
      <c r="X115">
        <v>4.0999999999999996</v>
      </c>
      <c r="Y115">
        <v>0.9</v>
      </c>
      <c r="Z115">
        <v>0.6</v>
      </c>
      <c r="AA115">
        <v>0.3</v>
      </c>
      <c r="AB115">
        <v>0.9</v>
      </c>
      <c r="AC115">
        <v>2.8</v>
      </c>
      <c r="AD115">
        <v>6.7</v>
      </c>
      <c r="AE115">
        <v>1458</v>
      </c>
      <c r="AF115">
        <v>15.5</v>
      </c>
      <c r="AG115">
        <v>0.73799999999999999</v>
      </c>
      <c r="AH115">
        <v>1.9E-2</v>
      </c>
      <c r="AI115">
        <v>0.625</v>
      </c>
      <c r="AJ115">
        <v>11.8</v>
      </c>
      <c r="AK115">
        <v>13.3</v>
      </c>
      <c r="AL115">
        <v>12.5</v>
      </c>
      <c r="AM115">
        <v>6.9</v>
      </c>
      <c r="AN115">
        <v>1.6</v>
      </c>
      <c r="AO115">
        <v>1.6</v>
      </c>
      <c r="AP115">
        <v>15.9</v>
      </c>
      <c r="AQ115">
        <v>12.6</v>
      </c>
      <c r="AR115">
        <v>3.8</v>
      </c>
      <c r="AS115">
        <v>1.3</v>
      </c>
      <c r="AT115">
        <v>5.0999999999999996</v>
      </c>
      <c r="AU115">
        <v>0.16800000000000001</v>
      </c>
      <c r="AV115">
        <v>-1.2</v>
      </c>
      <c r="AW115">
        <v>0</v>
      </c>
      <c r="AX115">
        <v>-1.2</v>
      </c>
      <c r="AY115">
        <v>0.3</v>
      </c>
      <c r="AZ115" s="8">
        <v>1.9499999999999997</v>
      </c>
      <c r="BA115" s="8">
        <v>0.1759907943276813</v>
      </c>
      <c r="BB115" s="3">
        <v>0</v>
      </c>
    </row>
    <row r="116" spans="1:54" x14ac:dyDescent="0.25">
      <c r="A116" t="s">
        <v>159</v>
      </c>
      <c r="B116" s="2">
        <v>16758621</v>
      </c>
      <c r="C116" t="s">
        <v>62</v>
      </c>
      <c r="D116">
        <v>29</v>
      </c>
      <c r="E116" t="s">
        <v>55</v>
      </c>
      <c r="F116">
        <v>60</v>
      </c>
      <c r="G116">
        <v>8</v>
      </c>
      <c r="H116">
        <v>26.1</v>
      </c>
      <c r="I116">
        <v>5.7</v>
      </c>
      <c r="J116">
        <v>11.8</v>
      </c>
      <c r="K116">
        <v>0.47899999999999998</v>
      </c>
      <c r="L116">
        <v>1.9</v>
      </c>
      <c r="M116">
        <v>4.8</v>
      </c>
      <c r="N116">
        <v>0.39700000000000002</v>
      </c>
      <c r="O116">
        <v>3.8</v>
      </c>
      <c r="P116">
        <v>7.1</v>
      </c>
      <c r="Q116">
        <v>0.53400000000000003</v>
      </c>
      <c r="R116">
        <v>0.55900000000000005</v>
      </c>
      <c r="S116">
        <v>3.8</v>
      </c>
      <c r="T116">
        <v>4.5999999999999996</v>
      </c>
      <c r="U116">
        <v>0.81200000000000006</v>
      </c>
      <c r="V116">
        <v>0.4</v>
      </c>
      <c r="W116">
        <v>2.5</v>
      </c>
      <c r="X116">
        <v>2.9</v>
      </c>
      <c r="Y116">
        <v>1.8</v>
      </c>
      <c r="Z116">
        <v>0.8</v>
      </c>
      <c r="AA116">
        <v>0.3</v>
      </c>
      <c r="AB116">
        <v>1.7</v>
      </c>
      <c r="AC116">
        <v>2.1</v>
      </c>
      <c r="AD116">
        <v>17</v>
      </c>
      <c r="AE116">
        <v>1567</v>
      </c>
      <c r="AF116">
        <v>17.100000000000001</v>
      </c>
      <c r="AG116">
        <v>0.61199999999999999</v>
      </c>
      <c r="AH116">
        <v>0.40400000000000003</v>
      </c>
      <c r="AI116">
        <v>0.39</v>
      </c>
      <c r="AJ116">
        <v>1.7</v>
      </c>
      <c r="AK116">
        <v>10.7</v>
      </c>
      <c r="AL116">
        <v>6.3</v>
      </c>
      <c r="AM116">
        <v>11</v>
      </c>
      <c r="AN116">
        <v>1.6</v>
      </c>
      <c r="AO116">
        <v>1</v>
      </c>
      <c r="AP116">
        <v>10.8</v>
      </c>
      <c r="AQ116">
        <v>26</v>
      </c>
      <c r="AR116">
        <v>2.1</v>
      </c>
      <c r="AS116">
        <v>1.4</v>
      </c>
      <c r="AT116">
        <v>3.5</v>
      </c>
      <c r="AU116">
        <v>0.107</v>
      </c>
      <c r="AV116">
        <v>0.9</v>
      </c>
      <c r="AW116">
        <v>-0.7</v>
      </c>
      <c r="AX116">
        <v>0.3</v>
      </c>
      <c r="AY116">
        <v>0.9</v>
      </c>
      <c r="AZ116" s="8">
        <v>1.9</v>
      </c>
      <c r="BA116" s="8">
        <v>0.11337448349718035</v>
      </c>
      <c r="BB116" s="3">
        <v>0</v>
      </c>
    </row>
    <row r="117" spans="1:54" x14ac:dyDescent="0.25">
      <c r="A117" t="s">
        <v>252</v>
      </c>
      <c r="B117" s="2">
        <v>6479000</v>
      </c>
      <c r="C117" t="s">
        <v>65</v>
      </c>
      <c r="D117">
        <v>26</v>
      </c>
      <c r="E117" t="s">
        <v>103</v>
      </c>
      <c r="F117">
        <v>80</v>
      </c>
      <c r="G117">
        <v>31</v>
      </c>
      <c r="H117">
        <v>28.5</v>
      </c>
      <c r="I117">
        <v>4.5</v>
      </c>
      <c r="J117">
        <v>9.3000000000000007</v>
      </c>
      <c r="K117">
        <v>0.48299999999999998</v>
      </c>
      <c r="L117">
        <v>1.1000000000000001</v>
      </c>
      <c r="M117">
        <v>3.2</v>
      </c>
      <c r="N117">
        <v>0.35799999999999998</v>
      </c>
      <c r="O117">
        <v>3.3</v>
      </c>
      <c r="P117">
        <v>6.1</v>
      </c>
      <c r="Q117">
        <v>0.54800000000000004</v>
      </c>
      <c r="R117">
        <v>0.54500000000000004</v>
      </c>
      <c r="S117">
        <v>1.5</v>
      </c>
      <c r="T117">
        <v>1.9</v>
      </c>
      <c r="U117">
        <v>0.75800000000000001</v>
      </c>
      <c r="V117">
        <v>0.8</v>
      </c>
      <c r="W117">
        <v>3.3</v>
      </c>
      <c r="X117">
        <v>4.0999999999999996</v>
      </c>
      <c r="Y117">
        <v>3.4</v>
      </c>
      <c r="Z117">
        <v>1.1000000000000001</v>
      </c>
      <c r="AA117">
        <v>0.6</v>
      </c>
      <c r="AB117">
        <v>1.5</v>
      </c>
      <c r="AC117">
        <v>2.4</v>
      </c>
      <c r="AD117">
        <v>11.5</v>
      </c>
      <c r="AE117">
        <v>2280</v>
      </c>
      <c r="AF117">
        <v>13.3</v>
      </c>
      <c r="AG117">
        <v>0.57099999999999995</v>
      </c>
      <c r="AH117">
        <v>0.34300000000000003</v>
      </c>
      <c r="AI117">
        <v>0.20599999999999999</v>
      </c>
      <c r="AJ117">
        <v>3.3</v>
      </c>
      <c r="AK117">
        <v>13</v>
      </c>
      <c r="AL117">
        <v>8.3000000000000007</v>
      </c>
      <c r="AM117">
        <v>15.7</v>
      </c>
      <c r="AN117">
        <v>1.9</v>
      </c>
      <c r="AO117">
        <v>2</v>
      </c>
      <c r="AP117">
        <v>13.2</v>
      </c>
      <c r="AQ117">
        <v>17.8</v>
      </c>
      <c r="AR117">
        <v>1.7</v>
      </c>
      <c r="AS117">
        <v>2.6</v>
      </c>
      <c r="AT117">
        <v>4.3</v>
      </c>
      <c r="AU117">
        <v>0.09</v>
      </c>
      <c r="AV117">
        <v>-1.1000000000000001</v>
      </c>
      <c r="AW117">
        <v>0.6</v>
      </c>
      <c r="AX117">
        <v>-0.5</v>
      </c>
      <c r="AY117">
        <v>0.9</v>
      </c>
      <c r="AZ117" s="8">
        <v>1.9</v>
      </c>
      <c r="BA117" s="8">
        <v>0.2932551319648094</v>
      </c>
      <c r="BB117" s="3">
        <v>0</v>
      </c>
    </row>
    <row r="118" spans="1:54" x14ac:dyDescent="0.25">
      <c r="A118" t="s">
        <v>402</v>
      </c>
      <c r="B118" s="2">
        <v>2000000</v>
      </c>
      <c r="C118" t="s">
        <v>28</v>
      </c>
      <c r="D118">
        <v>28</v>
      </c>
      <c r="E118" t="s">
        <v>109</v>
      </c>
      <c r="F118">
        <v>53</v>
      </c>
      <c r="G118">
        <v>10</v>
      </c>
      <c r="H118">
        <v>22.8</v>
      </c>
      <c r="I118">
        <v>3.4</v>
      </c>
      <c r="J118">
        <v>6.5</v>
      </c>
      <c r="K118">
        <v>0.51700000000000002</v>
      </c>
      <c r="L118">
        <v>0.9</v>
      </c>
      <c r="M118">
        <v>2.5</v>
      </c>
      <c r="N118">
        <v>0.373</v>
      </c>
      <c r="O118">
        <v>2.4</v>
      </c>
      <c r="P118">
        <v>4</v>
      </c>
      <c r="Q118">
        <v>0.60799999999999998</v>
      </c>
      <c r="R118">
        <v>0.59</v>
      </c>
      <c r="S118">
        <v>0.3</v>
      </c>
      <c r="T118">
        <v>0.7</v>
      </c>
      <c r="U118">
        <v>0.436</v>
      </c>
      <c r="V118">
        <v>1.8</v>
      </c>
      <c r="W118">
        <v>3.1</v>
      </c>
      <c r="X118">
        <v>4.9000000000000004</v>
      </c>
      <c r="Y118">
        <v>2</v>
      </c>
      <c r="Z118">
        <v>0.8</v>
      </c>
      <c r="AA118">
        <v>0.3</v>
      </c>
      <c r="AB118">
        <v>0.6</v>
      </c>
      <c r="AC118">
        <v>2.1</v>
      </c>
      <c r="AD118">
        <v>8</v>
      </c>
      <c r="AE118">
        <v>1206</v>
      </c>
      <c r="AF118">
        <v>14.4</v>
      </c>
      <c r="AG118">
        <v>0.58499999999999996</v>
      </c>
      <c r="AH118">
        <v>0.38700000000000001</v>
      </c>
      <c r="AI118">
        <v>0.113</v>
      </c>
      <c r="AJ118">
        <v>8.5</v>
      </c>
      <c r="AK118">
        <v>14.9</v>
      </c>
      <c r="AL118">
        <v>11.6</v>
      </c>
      <c r="AM118">
        <v>11.7</v>
      </c>
      <c r="AN118">
        <v>1.8</v>
      </c>
      <c r="AO118">
        <v>1.1000000000000001</v>
      </c>
      <c r="AP118">
        <v>8.1</v>
      </c>
      <c r="AQ118">
        <v>13.7</v>
      </c>
      <c r="AR118">
        <v>2</v>
      </c>
      <c r="AS118">
        <v>1.3</v>
      </c>
      <c r="AT118">
        <v>3.3</v>
      </c>
      <c r="AU118">
        <v>0.13300000000000001</v>
      </c>
      <c r="AV118">
        <v>0.1</v>
      </c>
      <c r="AW118">
        <v>0.4</v>
      </c>
      <c r="AX118">
        <v>0.5</v>
      </c>
      <c r="AY118">
        <v>0.8</v>
      </c>
      <c r="AZ118" s="8">
        <v>1.9</v>
      </c>
      <c r="BA118" s="8">
        <v>0.95</v>
      </c>
      <c r="BB118" s="3">
        <v>0</v>
      </c>
    </row>
    <row r="119" spans="1:54" x14ac:dyDescent="0.25">
      <c r="A119" t="s">
        <v>207</v>
      </c>
      <c r="B119" s="2">
        <v>10012800</v>
      </c>
      <c r="C119" t="s">
        <v>62</v>
      </c>
      <c r="D119">
        <v>31</v>
      </c>
      <c r="E119" t="s">
        <v>201</v>
      </c>
      <c r="F119">
        <v>51</v>
      </c>
      <c r="G119">
        <v>8</v>
      </c>
      <c r="H119">
        <v>22</v>
      </c>
      <c r="I119">
        <v>3.9</v>
      </c>
      <c r="J119">
        <v>9</v>
      </c>
      <c r="K119">
        <v>0.436</v>
      </c>
      <c r="L119">
        <v>1.9</v>
      </c>
      <c r="M119">
        <v>4.7</v>
      </c>
      <c r="N119">
        <v>0.41399999999999998</v>
      </c>
      <c r="O119">
        <v>2</v>
      </c>
      <c r="P119">
        <v>4.3</v>
      </c>
      <c r="Q119">
        <v>0.45900000000000002</v>
      </c>
      <c r="R119">
        <v>0.54400000000000004</v>
      </c>
      <c r="S119">
        <v>3</v>
      </c>
      <c r="T119">
        <v>3.7</v>
      </c>
      <c r="U119">
        <v>0.81399999999999995</v>
      </c>
      <c r="V119">
        <v>0.4</v>
      </c>
      <c r="W119">
        <v>2.7</v>
      </c>
      <c r="X119">
        <v>3.1</v>
      </c>
      <c r="Y119">
        <v>2.2000000000000002</v>
      </c>
      <c r="Z119">
        <v>0.7</v>
      </c>
      <c r="AA119">
        <v>0.2</v>
      </c>
      <c r="AB119">
        <v>1.1000000000000001</v>
      </c>
      <c r="AC119">
        <v>1.9</v>
      </c>
      <c r="AD119">
        <v>12.8</v>
      </c>
      <c r="AE119">
        <v>1122</v>
      </c>
      <c r="AF119">
        <v>16.5</v>
      </c>
      <c r="AG119">
        <v>0.60199999999999998</v>
      </c>
      <c r="AH119">
        <v>0.52100000000000002</v>
      </c>
      <c r="AI119">
        <v>0.41</v>
      </c>
      <c r="AJ119">
        <v>1.8</v>
      </c>
      <c r="AK119">
        <v>14.2</v>
      </c>
      <c r="AL119">
        <v>7.8</v>
      </c>
      <c r="AM119">
        <v>15.9</v>
      </c>
      <c r="AN119">
        <v>1.6</v>
      </c>
      <c r="AO119">
        <v>0.6</v>
      </c>
      <c r="AP119">
        <v>9.6999999999999993</v>
      </c>
      <c r="AQ119">
        <v>22.8</v>
      </c>
      <c r="AR119">
        <v>1.9</v>
      </c>
      <c r="AS119">
        <v>0.6</v>
      </c>
      <c r="AT119">
        <v>2.5</v>
      </c>
      <c r="AU119">
        <v>0.109</v>
      </c>
      <c r="AV119">
        <v>1.8</v>
      </c>
      <c r="AW119">
        <v>-0.5</v>
      </c>
      <c r="AX119">
        <v>1.2</v>
      </c>
      <c r="AY119">
        <v>0.9</v>
      </c>
      <c r="AZ119" s="8">
        <v>1.85</v>
      </c>
      <c r="BA119" s="8">
        <v>0.18476350271652284</v>
      </c>
      <c r="BB119" s="3">
        <v>0</v>
      </c>
    </row>
    <row r="120" spans="1:54" x14ac:dyDescent="0.25">
      <c r="A120" t="s">
        <v>303</v>
      </c>
      <c r="B120" s="2">
        <v>4124280</v>
      </c>
      <c r="C120" t="s">
        <v>75</v>
      </c>
      <c r="D120">
        <v>19</v>
      </c>
      <c r="E120" t="s">
        <v>201</v>
      </c>
      <c r="F120">
        <v>67</v>
      </c>
      <c r="G120">
        <v>31</v>
      </c>
      <c r="H120">
        <v>24.9</v>
      </c>
      <c r="I120">
        <v>3.9</v>
      </c>
      <c r="J120">
        <v>5.9</v>
      </c>
      <c r="K120">
        <v>0.64800000000000002</v>
      </c>
      <c r="L120">
        <v>0</v>
      </c>
      <c r="M120">
        <v>0</v>
      </c>
      <c r="N120">
        <v>0</v>
      </c>
      <c r="O120">
        <v>3.9</v>
      </c>
      <c r="P120">
        <v>5.9</v>
      </c>
      <c r="Q120">
        <v>0.65200000000000002</v>
      </c>
      <c r="R120">
        <v>0.64800000000000002</v>
      </c>
      <c r="S120">
        <v>1.4</v>
      </c>
      <c r="T120">
        <v>2.2999999999999998</v>
      </c>
      <c r="U120">
        <v>0.61099999999999999</v>
      </c>
      <c r="V120">
        <v>3.4</v>
      </c>
      <c r="W120">
        <v>5.5</v>
      </c>
      <c r="X120">
        <v>8.9</v>
      </c>
      <c r="Y120">
        <v>1.1000000000000001</v>
      </c>
      <c r="Z120">
        <v>0.7</v>
      </c>
      <c r="AA120">
        <v>0.9</v>
      </c>
      <c r="AB120">
        <v>1.4</v>
      </c>
      <c r="AC120">
        <v>2.7</v>
      </c>
      <c r="AD120">
        <v>9.1</v>
      </c>
      <c r="AE120">
        <v>1670</v>
      </c>
      <c r="AF120">
        <v>17.3</v>
      </c>
      <c r="AG120">
        <v>0.65500000000000003</v>
      </c>
      <c r="AH120">
        <v>5.0000000000000001E-3</v>
      </c>
      <c r="AI120">
        <v>0.39400000000000002</v>
      </c>
      <c r="AJ120">
        <v>14.7</v>
      </c>
      <c r="AK120">
        <v>25.1</v>
      </c>
      <c r="AL120">
        <v>19.7</v>
      </c>
      <c r="AM120">
        <v>6.8</v>
      </c>
      <c r="AN120">
        <v>1.3</v>
      </c>
      <c r="AO120">
        <v>3.1</v>
      </c>
      <c r="AP120">
        <v>16.5</v>
      </c>
      <c r="AQ120">
        <v>14.3</v>
      </c>
      <c r="AR120">
        <v>2.9</v>
      </c>
      <c r="AS120">
        <v>1.6</v>
      </c>
      <c r="AT120">
        <v>4.5</v>
      </c>
      <c r="AU120">
        <v>0.129</v>
      </c>
      <c r="AV120">
        <v>-0.4</v>
      </c>
      <c r="AW120">
        <v>-0.4</v>
      </c>
      <c r="AX120">
        <v>-0.8</v>
      </c>
      <c r="AY120">
        <v>0.5</v>
      </c>
      <c r="AZ120" s="8">
        <v>1.85</v>
      </c>
      <c r="BA120" s="8">
        <v>0.44856314314256063</v>
      </c>
      <c r="BB120" s="3">
        <v>0</v>
      </c>
    </row>
    <row r="121" spans="1:54" x14ac:dyDescent="0.25">
      <c r="A121" t="s">
        <v>234</v>
      </c>
      <c r="B121" s="2">
        <v>8008440</v>
      </c>
      <c r="C121" t="s">
        <v>65</v>
      </c>
      <c r="D121">
        <v>22</v>
      </c>
      <c r="E121" t="s">
        <v>116</v>
      </c>
      <c r="F121">
        <v>80</v>
      </c>
      <c r="G121">
        <v>78</v>
      </c>
      <c r="H121">
        <v>29.8</v>
      </c>
      <c r="I121">
        <v>4.4000000000000004</v>
      </c>
      <c r="J121">
        <v>9.8000000000000007</v>
      </c>
      <c r="K121">
        <v>0.45300000000000001</v>
      </c>
      <c r="L121">
        <v>2.6</v>
      </c>
      <c r="M121">
        <v>6.3</v>
      </c>
      <c r="N121">
        <v>0.41099999999999998</v>
      </c>
      <c r="O121">
        <v>1.9</v>
      </c>
      <c r="P121">
        <v>3.5</v>
      </c>
      <c r="Q121">
        <v>0.52700000000000002</v>
      </c>
      <c r="R121">
        <v>0.58399999999999996</v>
      </c>
      <c r="S121">
        <v>0.8</v>
      </c>
      <c r="T121">
        <v>1</v>
      </c>
      <c r="U121">
        <v>0.76500000000000001</v>
      </c>
      <c r="V121">
        <v>1.1000000000000001</v>
      </c>
      <c r="W121">
        <v>3.5</v>
      </c>
      <c r="X121">
        <v>4.5999999999999996</v>
      </c>
      <c r="Y121">
        <v>1.2</v>
      </c>
      <c r="Z121">
        <v>0.8</v>
      </c>
      <c r="AA121">
        <v>0.5</v>
      </c>
      <c r="AB121">
        <v>0.8</v>
      </c>
      <c r="AC121">
        <v>2</v>
      </c>
      <c r="AD121">
        <v>12.2</v>
      </c>
      <c r="AE121">
        <v>2382</v>
      </c>
      <c r="AF121">
        <v>12.3</v>
      </c>
      <c r="AG121">
        <v>0.59699999999999998</v>
      </c>
      <c r="AH121">
        <v>0.64100000000000001</v>
      </c>
      <c r="AI121">
        <v>0.104</v>
      </c>
      <c r="AJ121">
        <v>4.3</v>
      </c>
      <c r="AK121">
        <v>13.4</v>
      </c>
      <c r="AL121">
        <v>8.9</v>
      </c>
      <c r="AM121">
        <v>5.5</v>
      </c>
      <c r="AN121">
        <v>1.2</v>
      </c>
      <c r="AO121">
        <v>1.5</v>
      </c>
      <c r="AP121">
        <v>6.8</v>
      </c>
      <c r="AQ121">
        <v>15.8</v>
      </c>
      <c r="AR121">
        <v>2.6</v>
      </c>
      <c r="AS121">
        <v>1.7</v>
      </c>
      <c r="AT121">
        <v>4.3</v>
      </c>
      <c r="AU121">
        <v>8.6999999999999994E-2</v>
      </c>
      <c r="AV121">
        <v>0.4</v>
      </c>
      <c r="AW121">
        <v>-1</v>
      </c>
      <c r="AX121">
        <v>-0.6</v>
      </c>
      <c r="AY121">
        <v>0.8</v>
      </c>
      <c r="AZ121" s="8">
        <v>1.8499999999999999</v>
      </c>
      <c r="BA121" s="8">
        <v>0.23100628836577408</v>
      </c>
      <c r="BB121" s="3">
        <v>0</v>
      </c>
    </row>
    <row r="122" spans="1:54" x14ac:dyDescent="0.25">
      <c r="A122" t="s">
        <v>121</v>
      </c>
      <c r="B122" s="2">
        <v>28333334</v>
      </c>
      <c r="C122" t="s">
        <v>52</v>
      </c>
      <c r="D122">
        <v>36</v>
      </c>
      <c r="E122" t="s">
        <v>80</v>
      </c>
      <c r="F122">
        <v>55</v>
      </c>
      <c r="G122">
        <v>44</v>
      </c>
      <c r="H122">
        <v>31.2</v>
      </c>
      <c r="I122">
        <v>3.6</v>
      </c>
      <c r="J122">
        <v>8.8000000000000007</v>
      </c>
      <c r="K122">
        <v>0.40400000000000003</v>
      </c>
      <c r="L122">
        <v>1.9</v>
      </c>
      <c r="M122">
        <v>5.6</v>
      </c>
      <c r="N122">
        <v>0.34499999999999997</v>
      </c>
      <c r="O122">
        <v>1.6</v>
      </c>
      <c r="P122">
        <v>3.2</v>
      </c>
      <c r="Q122">
        <v>0.50900000000000001</v>
      </c>
      <c r="R122">
        <v>0.51400000000000001</v>
      </c>
      <c r="S122">
        <v>2.1</v>
      </c>
      <c r="T122">
        <v>2.5</v>
      </c>
      <c r="U122">
        <v>0.85899999999999999</v>
      </c>
      <c r="V122">
        <v>0.8</v>
      </c>
      <c r="W122">
        <v>3.3</v>
      </c>
      <c r="X122">
        <v>4.0999999999999996</v>
      </c>
      <c r="Y122">
        <v>5.0999999999999996</v>
      </c>
      <c r="Z122">
        <v>1</v>
      </c>
      <c r="AA122">
        <v>0.4</v>
      </c>
      <c r="AB122">
        <v>1.9</v>
      </c>
      <c r="AC122">
        <v>2.6</v>
      </c>
      <c r="AD122">
        <v>11.2</v>
      </c>
      <c r="AE122">
        <v>1718</v>
      </c>
      <c r="AF122">
        <v>12.6</v>
      </c>
      <c r="AG122">
        <v>0.56499999999999995</v>
      </c>
      <c r="AH122">
        <v>0.63900000000000001</v>
      </c>
      <c r="AI122">
        <v>0.27800000000000002</v>
      </c>
      <c r="AJ122">
        <v>2.8</v>
      </c>
      <c r="AK122">
        <v>12.9</v>
      </c>
      <c r="AL122">
        <v>7.7</v>
      </c>
      <c r="AM122">
        <v>23.4</v>
      </c>
      <c r="AN122">
        <v>1.7</v>
      </c>
      <c r="AO122">
        <v>1.2</v>
      </c>
      <c r="AP122">
        <v>15.9</v>
      </c>
      <c r="AQ122">
        <v>16.7</v>
      </c>
      <c r="AR122">
        <v>1.5</v>
      </c>
      <c r="AS122">
        <v>1.9</v>
      </c>
      <c r="AT122">
        <v>3.4</v>
      </c>
      <c r="AU122">
        <v>9.6000000000000002E-2</v>
      </c>
      <c r="AV122">
        <v>-0.7</v>
      </c>
      <c r="AW122">
        <v>0.8</v>
      </c>
      <c r="AX122">
        <v>0.2</v>
      </c>
      <c r="AY122">
        <v>0.9</v>
      </c>
      <c r="AZ122" s="8">
        <v>1.8</v>
      </c>
      <c r="BA122" s="8">
        <v>6.3529410269896225E-2</v>
      </c>
      <c r="BB122" s="3">
        <v>0</v>
      </c>
    </row>
    <row r="123" spans="1:54" x14ac:dyDescent="0.25">
      <c r="A123" t="s">
        <v>337</v>
      </c>
      <c r="B123" s="2">
        <v>2959080</v>
      </c>
      <c r="C123" t="s">
        <v>65</v>
      </c>
      <c r="D123">
        <v>23</v>
      </c>
      <c r="E123" t="s">
        <v>85</v>
      </c>
      <c r="F123">
        <v>77</v>
      </c>
      <c r="G123">
        <v>37</v>
      </c>
      <c r="H123">
        <v>27.6</v>
      </c>
      <c r="I123">
        <v>4.5999999999999996</v>
      </c>
      <c r="J123">
        <v>10.9</v>
      </c>
      <c r="K123">
        <v>0.42199999999999999</v>
      </c>
      <c r="L123">
        <v>2</v>
      </c>
      <c r="M123">
        <v>5.4</v>
      </c>
      <c r="N123">
        <v>0.36099999999999999</v>
      </c>
      <c r="O123">
        <v>2.6</v>
      </c>
      <c r="P123">
        <v>5.4</v>
      </c>
      <c r="Q123">
        <v>0.48299999999999998</v>
      </c>
      <c r="R123">
        <v>0.51300000000000001</v>
      </c>
      <c r="S123">
        <v>2.7</v>
      </c>
      <c r="T123">
        <v>3.1</v>
      </c>
      <c r="U123">
        <v>0.86099999999999999</v>
      </c>
      <c r="V123">
        <v>1.3</v>
      </c>
      <c r="W123">
        <v>3.4</v>
      </c>
      <c r="X123">
        <v>4.7</v>
      </c>
      <c r="Y123">
        <v>1.5</v>
      </c>
      <c r="Z123">
        <v>0.9</v>
      </c>
      <c r="AA123">
        <v>0.2</v>
      </c>
      <c r="AB123">
        <v>0.9</v>
      </c>
      <c r="AC123">
        <v>1.6</v>
      </c>
      <c r="AD123">
        <v>13.8</v>
      </c>
      <c r="AE123">
        <v>2129</v>
      </c>
      <c r="AF123">
        <v>14.6</v>
      </c>
      <c r="AG123">
        <v>0.56399999999999995</v>
      </c>
      <c r="AH123">
        <v>0.5</v>
      </c>
      <c r="AI123">
        <v>0.28499999999999998</v>
      </c>
      <c r="AJ123">
        <v>5</v>
      </c>
      <c r="AK123">
        <v>14</v>
      </c>
      <c r="AL123">
        <v>9.4</v>
      </c>
      <c r="AM123">
        <v>8.1</v>
      </c>
      <c r="AN123">
        <v>1.6</v>
      </c>
      <c r="AO123">
        <v>0.5</v>
      </c>
      <c r="AP123">
        <v>7</v>
      </c>
      <c r="AQ123">
        <v>20.2</v>
      </c>
      <c r="AR123">
        <v>2.6</v>
      </c>
      <c r="AS123">
        <v>1.2</v>
      </c>
      <c r="AT123">
        <v>3.9</v>
      </c>
      <c r="AU123">
        <v>8.6999999999999994E-2</v>
      </c>
      <c r="AV123">
        <v>0.9</v>
      </c>
      <c r="AW123">
        <v>-1.2</v>
      </c>
      <c r="AX123">
        <v>-0.3</v>
      </c>
      <c r="AY123">
        <v>0.9</v>
      </c>
      <c r="AZ123" s="8">
        <v>1.8</v>
      </c>
      <c r="BA123" s="8">
        <v>0.6082971734458007</v>
      </c>
      <c r="BB123" s="3">
        <v>0</v>
      </c>
    </row>
    <row r="124" spans="1:54" x14ac:dyDescent="0.25">
      <c r="A124" t="s">
        <v>171</v>
      </c>
      <c r="B124" s="2">
        <v>14004703</v>
      </c>
      <c r="C124" t="s">
        <v>62</v>
      </c>
      <c r="D124">
        <v>29</v>
      </c>
      <c r="E124" t="s">
        <v>103</v>
      </c>
      <c r="F124">
        <v>76</v>
      </c>
      <c r="G124">
        <v>76</v>
      </c>
      <c r="H124">
        <v>31.3</v>
      </c>
      <c r="I124">
        <v>3.8</v>
      </c>
      <c r="J124">
        <v>8.3000000000000007</v>
      </c>
      <c r="K124">
        <v>0.46200000000000002</v>
      </c>
      <c r="L124">
        <v>1.8</v>
      </c>
      <c r="M124">
        <v>4.2</v>
      </c>
      <c r="N124">
        <v>0.42299999999999999</v>
      </c>
      <c r="O124">
        <v>2.1</v>
      </c>
      <c r="P124">
        <v>4.0999999999999996</v>
      </c>
      <c r="Q124">
        <v>0.502</v>
      </c>
      <c r="R124">
        <v>0.56899999999999995</v>
      </c>
      <c r="S124">
        <v>1.4</v>
      </c>
      <c r="T124">
        <v>1.6</v>
      </c>
      <c r="U124">
        <v>0.82399999999999995</v>
      </c>
      <c r="V124">
        <v>0.5</v>
      </c>
      <c r="W124">
        <v>2.2999999999999998</v>
      </c>
      <c r="X124">
        <v>2.7</v>
      </c>
      <c r="Y124">
        <v>2.4</v>
      </c>
      <c r="Z124">
        <v>1.5</v>
      </c>
      <c r="AA124">
        <v>0.5</v>
      </c>
      <c r="AB124">
        <v>1.1000000000000001</v>
      </c>
      <c r="AC124">
        <v>1.9</v>
      </c>
      <c r="AD124">
        <v>10.8</v>
      </c>
      <c r="AE124">
        <v>2381</v>
      </c>
      <c r="AF124">
        <v>11.5</v>
      </c>
      <c r="AG124">
        <v>0.59799999999999998</v>
      </c>
      <c r="AH124">
        <v>0.505</v>
      </c>
      <c r="AI124">
        <v>0.19800000000000001</v>
      </c>
      <c r="AJ124">
        <v>1.7</v>
      </c>
      <c r="AK124">
        <v>8.1</v>
      </c>
      <c r="AL124">
        <v>5</v>
      </c>
      <c r="AM124">
        <v>9.8000000000000007</v>
      </c>
      <c r="AN124">
        <v>2.2999999999999998</v>
      </c>
      <c r="AO124">
        <v>1.3</v>
      </c>
      <c r="AP124">
        <v>11.1</v>
      </c>
      <c r="AQ124">
        <v>14.1</v>
      </c>
      <c r="AR124">
        <v>2</v>
      </c>
      <c r="AS124">
        <v>2.5</v>
      </c>
      <c r="AT124">
        <v>4.5</v>
      </c>
      <c r="AU124">
        <v>9.0999999999999998E-2</v>
      </c>
      <c r="AV124">
        <v>-1.6</v>
      </c>
      <c r="AW124">
        <v>0.6</v>
      </c>
      <c r="AX124">
        <v>-1</v>
      </c>
      <c r="AY124">
        <v>0.6</v>
      </c>
      <c r="AZ124" s="8">
        <v>1.75</v>
      </c>
      <c r="BA124" s="8">
        <v>0.12495802302983505</v>
      </c>
      <c r="BB124" s="3">
        <v>0</v>
      </c>
    </row>
    <row r="125" spans="1:54" x14ac:dyDescent="0.25">
      <c r="A125" t="s">
        <v>211</v>
      </c>
      <c r="B125" s="2">
        <v>9472219</v>
      </c>
      <c r="C125" t="s">
        <v>62</v>
      </c>
      <c r="D125">
        <v>24</v>
      </c>
      <c r="E125" t="s">
        <v>116</v>
      </c>
      <c r="F125">
        <v>77</v>
      </c>
      <c r="G125">
        <v>0</v>
      </c>
      <c r="H125">
        <v>22.3</v>
      </c>
      <c r="I125">
        <v>4.5999999999999996</v>
      </c>
      <c r="J125">
        <v>10.3</v>
      </c>
      <c r="K125">
        <v>0.44800000000000001</v>
      </c>
      <c r="L125">
        <v>1.9</v>
      </c>
      <c r="M125">
        <v>5.2</v>
      </c>
      <c r="N125">
        <v>0.35899999999999999</v>
      </c>
      <c r="O125">
        <v>2.8</v>
      </c>
      <c r="P125">
        <v>5.2</v>
      </c>
      <c r="Q125">
        <v>0.53800000000000003</v>
      </c>
      <c r="R125">
        <v>0.53800000000000003</v>
      </c>
      <c r="S125">
        <v>2.4</v>
      </c>
      <c r="T125">
        <v>2.7</v>
      </c>
      <c r="U125">
        <v>0.88900000000000001</v>
      </c>
      <c r="V125">
        <v>0.4</v>
      </c>
      <c r="W125">
        <v>2.2000000000000002</v>
      </c>
      <c r="X125">
        <v>2.6</v>
      </c>
      <c r="Y125">
        <v>3.9</v>
      </c>
      <c r="Z125">
        <v>0.6</v>
      </c>
      <c r="AA125">
        <v>0.3</v>
      </c>
      <c r="AB125">
        <v>1.9</v>
      </c>
      <c r="AC125">
        <v>1.6</v>
      </c>
      <c r="AD125">
        <v>13.5</v>
      </c>
      <c r="AE125">
        <v>1719</v>
      </c>
      <c r="AF125">
        <v>16.600000000000001</v>
      </c>
      <c r="AG125">
        <v>0.58699999999999997</v>
      </c>
      <c r="AH125">
        <v>0.5</v>
      </c>
      <c r="AI125">
        <v>0.26</v>
      </c>
      <c r="AJ125">
        <v>2.1</v>
      </c>
      <c r="AK125">
        <v>11.3</v>
      </c>
      <c r="AL125">
        <v>6.7</v>
      </c>
      <c r="AM125">
        <v>25</v>
      </c>
      <c r="AN125">
        <v>1.4</v>
      </c>
      <c r="AO125">
        <v>1</v>
      </c>
      <c r="AP125">
        <v>14.1</v>
      </c>
      <c r="AQ125">
        <v>25.8</v>
      </c>
      <c r="AR125">
        <v>2.1</v>
      </c>
      <c r="AS125">
        <v>1.2</v>
      </c>
      <c r="AT125">
        <v>3.2</v>
      </c>
      <c r="AU125">
        <v>9.0999999999999998E-2</v>
      </c>
      <c r="AV125">
        <v>1.6</v>
      </c>
      <c r="AW125">
        <v>-1.4</v>
      </c>
      <c r="AX125">
        <v>0.3</v>
      </c>
      <c r="AY125">
        <v>1</v>
      </c>
      <c r="AZ125" s="8">
        <v>1.75</v>
      </c>
      <c r="BA125" s="8">
        <v>0.18475079598560801</v>
      </c>
      <c r="BB125" s="3">
        <v>0</v>
      </c>
    </row>
    <row r="126" spans="1:54" x14ac:dyDescent="0.25">
      <c r="A126" t="s">
        <v>280</v>
      </c>
      <c r="B126" s="2">
        <v>5121951</v>
      </c>
      <c r="C126" t="s">
        <v>28</v>
      </c>
      <c r="D126">
        <v>32</v>
      </c>
      <c r="E126" t="s">
        <v>60</v>
      </c>
      <c r="F126">
        <v>79</v>
      </c>
      <c r="G126">
        <v>60</v>
      </c>
      <c r="H126">
        <v>24.7</v>
      </c>
      <c r="I126">
        <v>2.9</v>
      </c>
      <c r="J126">
        <v>6.3</v>
      </c>
      <c r="K126">
        <v>0.45600000000000002</v>
      </c>
      <c r="L126">
        <v>1.3</v>
      </c>
      <c r="M126">
        <v>3.2</v>
      </c>
      <c r="N126">
        <v>0.39500000000000002</v>
      </c>
      <c r="O126">
        <v>1.6</v>
      </c>
      <c r="P126">
        <v>3.1</v>
      </c>
      <c r="Q126">
        <v>0.51800000000000002</v>
      </c>
      <c r="R126">
        <v>0.55600000000000005</v>
      </c>
      <c r="S126">
        <v>0.4</v>
      </c>
      <c r="T126">
        <v>0.6</v>
      </c>
      <c r="U126">
        <v>0.71099999999999997</v>
      </c>
      <c r="V126">
        <v>1.8</v>
      </c>
      <c r="W126">
        <v>3.6</v>
      </c>
      <c r="X126">
        <v>5.4</v>
      </c>
      <c r="Y126">
        <v>1.5</v>
      </c>
      <c r="Z126">
        <v>0.6</v>
      </c>
      <c r="AA126">
        <v>0.8</v>
      </c>
      <c r="AB126">
        <v>0.9</v>
      </c>
      <c r="AC126">
        <v>2.2999999999999998</v>
      </c>
      <c r="AD126">
        <v>7.4</v>
      </c>
      <c r="AE126">
        <v>1948</v>
      </c>
      <c r="AF126">
        <v>11.6</v>
      </c>
      <c r="AG126">
        <v>0.56599999999999995</v>
      </c>
      <c r="AH126">
        <v>0.50600000000000001</v>
      </c>
      <c r="AI126">
        <v>0.09</v>
      </c>
      <c r="AJ126">
        <v>8.1</v>
      </c>
      <c r="AK126">
        <v>16.3</v>
      </c>
      <c r="AL126">
        <v>12.1</v>
      </c>
      <c r="AM126">
        <v>7.9</v>
      </c>
      <c r="AN126">
        <v>1.3</v>
      </c>
      <c r="AO126">
        <v>2.9</v>
      </c>
      <c r="AP126">
        <v>12.3</v>
      </c>
      <c r="AQ126">
        <v>13</v>
      </c>
      <c r="AR126">
        <v>1.5</v>
      </c>
      <c r="AS126">
        <v>2.5</v>
      </c>
      <c r="AT126">
        <v>4</v>
      </c>
      <c r="AU126">
        <v>9.8000000000000004E-2</v>
      </c>
      <c r="AV126">
        <v>-1.3</v>
      </c>
      <c r="AW126">
        <v>0.7</v>
      </c>
      <c r="AX126">
        <v>-0.6</v>
      </c>
      <c r="AY126">
        <v>0.7</v>
      </c>
      <c r="AZ126" s="8">
        <v>1.7</v>
      </c>
      <c r="BA126" s="8">
        <v>0.33190477612925229</v>
      </c>
      <c r="BB126" s="3">
        <v>0</v>
      </c>
    </row>
    <row r="127" spans="1:54" x14ac:dyDescent="0.25">
      <c r="A127" t="s">
        <v>299</v>
      </c>
      <c r="B127" s="2">
        <v>4306281</v>
      </c>
      <c r="C127" t="s">
        <v>28</v>
      </c>
      <c r="D127">
        <v>24</v>
      </c>
      <c r="E127" t="s">
        <v>113</v>
      </c>
      <c r="F127">
        <v>79</v>
      </c>
      <c r="G127">
        <v>23</v>
      </c>
      <c r="H127">
        <v>25.9</v>
      </c>
      <c r="I127">
        <v>2.7</v>
      </c>
      <c r="J127">
        <v>6</v>
      </c>
      <c r="K127">
        <v>0.45400000000000001</v>
      </c>
      <c r="L127">
        <v>1.5</v>
      </c>
      <c r="M127">
        <v>3.7</v>
      </c>
      <c r="N127">
        <v>0.39500000000000002</v>
      </c>
      <c r="O127">
        <v>1.3</v>
      </c>
      <c r="P127">
        <v>2.2999999999999998</v>
      </c>
      <c r="Q127">
        <v>0.54600000000000004</v>
      </c>
      <c r="R127">
        <v>0.57499999999999996</v>
      </c>
      <c r="S127">
        <v>1.2</v>
      </c>
      <c r="T127">
        <v>1.5</v>
      </c>
      <c r="U127">
        <v>0.77</v>
      </c>
      <c r="V127">
        <v>1.1000000000000001</v>
      </c>
      <c r="W127">
        <v>3.5</v>
      </c>
      <c r="X127">
        <v>4.5999999999999996</v>
      </c>
      <c r="Y127">
        <v>1.7</v>
      </c>
      <c r="Z127">
        <v>0.5</v>
      </c>
      <c r="AA127">
        <v>0.4</v>
      </c>
      <c r="AB127">
        <v>1</v>
      </c>
      <c r="AC127">
        <v>2.4</v>
      </c>
      <c r="AD127">
        <v>8.1</v>
      </c>
      <c r="AE127">
        <v>2045</v>
      </c>
      <c r="AF127">
        <v>10.3</v>
      </c>
      <c r="AG127">
        <v>0.60499999999999998</v>
      </c>
      <c r="AH127">
        <v>0.61099999999999999</v>
      </c>
      <c r="AI127">
        <v>0.25600000000000001</v>
      </c>
      <c r="AJ127">
        <v>4.7</v>
      </c>
      <c r="AK127">
        <v>14.5</v>
      </c>
      <c r="AL127">
        <v>9.6999999999999993</v>
      </c>
      <c r="AM127">
        <v>8.4</v>
      </c>
      <c r="AN127">
        <v>1</v>
      </c>
      <c r="AO127">
        <v>1.3</v>
      </c>
      <c r="AP127">
        <v>13.4</v>
      </c>
      <c r="AQ127">
        <v>13.1</v>
      </c>
      <c r="AR127">
        <v>1.9</v>
      </c>
      <c r="AS127">
        <v>2.6</v>
      </c>
      <c r="AT127">
        <v>4.4000000000000004</v>
      </c>
      <c r="AU127">
        <v>0.104</v>
      </c>
      <c r="AV127">
        <v>-1.8</v>
      </c>
      <c r="AW127">
        <v>0.7</v>
      </c>
      <c r="AX127">
        <v>-1.1000000000000001</v>
      </c>
      <c r="AY127">
        <v>0.5</v>
      </c>
      <c r="AZ127" s="8">
        <v>1.6500000000000001</v>
      </c>
      <c r="BA127" s="8">
        <v>0.38316124748942304</v>
      </c>
      <c r="BB127" s="3">
        <v>0</v>
      </c>
    </row>
    <row r="128" spans="1:54" x14ac:dyDescent="0.25">
      <c r="A128" t="s">
        <v>111</v>
      </c>
      <c r="B128" s="2">
        <v>30556968</v>
      </c>
      <c r="C128" t="s">
        <v>28</v>
      </c>
      <c r="D128">
        <v>34</v>
      </c>
      <c r="E128" t="s">
        <v>80</v>
      </c>
      <c r="F128">
        <v>62</v>
      </c>
      <c r="G128">
        <v>20</v>
      </c>
      <c r="H128">
        <v>20</v>
      </c>
      <c r="I128">
        <v>2.7</v>
      </c>
      <c r="J128">
        <v>6.8</v>
      </c>
      <c r="K128">
        <v>0.38900000000000001</v>
      </c>
      <c r="L128">
        <v>1.6</v>
      </c>
      <c r="M128">
        <v>4.8</v>
      </c>
      <c r="N128">
        <v>0.33400000000000002</v>
      </c>
      <c r="O128">
        <v>1.1000000000000001</v>
      </c>
      <c r="P128">
        <v>2.1</v>
      </c>
      <c r="Q128">
        <v>0.51600000000000001</v>
      </c>
      <c r="R128">
        <v>0.50600000000000001</v>
      </c>
      <c r="S128">
        <v>1.3</v>
      </c>
      <c r="T128">
        <v>1.5</v>
      </c>
      <c r="U128">
        <v>0.879</v>
      </c>
      <c r="V128">
        <v>1</v>
      </c>
      <c r="W128">
        <v>5.5</v>
      </c>
      <c r="X128">
        <v>6.4</v>
      </c>
      <c r="Y128">
        <v>1.9</v>
      </c>
      <c r="Z128">
        <v>0.3</v>
      </c>
      <c r="AA128">
        <v>0.2</v>
      </c>
      <c r="AB128">
        <v>1.1000000000000001</v>
      </c>
      <c r="AC128">
        <v>1.6</v>
      </c>
      <c r="AD128">
        <v>8.1999999999999993</v>
      </c>
      <c r="AE128">
        <v>1240</v>
      </c>
      <c r="AF128">
        <v>13.1</v>
      </c>
      <c r="AG128">
        <v>0.54800000000000004</v>
      </c>
      <c r="AH128">
        <v>0.69799999999999995</v>
      </c>
      <c r="AI128">
        <v>0.215</v>
      </c>
      <c r="AJ128">
        <v>5.5</v>
      </c>
      <c r="AK128">
        <v>32.6</v>
      </c>
      <c r="AL128">
        <v>18.899999999999999</v>
      </c>
      <c r="AM128">
        <v>13.2</v>
      </c>
      <c r="AN128">
        <v>0.6</v>
      </c>
      <c r="AO128">
        <v>0.9</v>
      </c>
      <c r="AP128">
        <v>13.1</v>
      </c>
      <c r="AQ128">
        <v>19.2</v>
      </c>
      <c r="AR128">
        <v>0.6</v>
      </c>
      <c r="AS128">
        <v>2</v>
      </c>
      <c r="AT128">
        <v>2.6</v>
      </c>
      <c r="AU128">
        <v>9.9000000000000005E-2</v>
      </c>
      <c r="AV128">
        <v>0.2</v>
      </c>
      <c r="AW128">
        <v>0.4</v>
      </c>
      <c r="AX128">
        <v>0.6</v>
      </c>
      <c r="AY128">
        <v>0.8</v>
      </c>
      <c r="AZ128" s="8">
        <v>1.6</v>
      </c>
      <c r="BA128" s="8">
        <v>5.236121594262886E-2</v>
      </c>
      <c r="BB128" s="3">
        <v>0</v>
      </c>
    </row>
    <row r="129" spans="1:54" x14ac:dyDescent="0.25">
      <c r="A129" t="s">
        <v>387</v>
      </c>
      <c r="B129" s="2">
        <v>2161440</v>
      </c>
      <c r="C129" t="s">
        <v>65</v>
      </c>
      <c r="D129">
        <v>22</v>
      </c>
      <c r="E129" t="s">
        <v>76</v>
      </c>
      <c r="F129">
        <v>79</v>
      </c>
      <c r="G129">
        <v>79</v>
      </c>
      <c r="H129">
        <v>30.6</v>
      </c>
      <c r="I129">
        <v>4.7</v>
      </c>
      <c r="J129">
        <v>9.1</v>
      </c>
      <c r="K129">
        <v>0.51700000000000002</v>
      </c>
      <c r="L129">
        <v>1.4</v>
      </c>
      <c r="M129">
        <v>3.4</v>
      </c>
      <c r="N129">
        <v>0.39800000000000002</v>
      </c>
      <c r="O129">
        <v>3.3</v>
      </c>
      <c r="P129">
        <v>5.7</v>
      </c>
      <c r="Q129">
        <v>0.58799999999999997</v>
      </c>
      <c r="R129">
        <v>0.59099999999999997</v>
      </c>
      <c r="S129">
        <v>1.3</v>
      </c>
      <c r="T129">
        <v>1.8</v>
      </c>
      <c r="U129">
        <v>0.73599999999999999</v>
      </c>
      <c r="V129">
        <v>1.2</v>
      </c>
      <c r="W129">
        <v>2.7</v>
      </c>
      <c r="X129">
        <v>3.9</v>
      </c>
      <c r="Y129">
        <v>1.9</v>
      </c>
      <c r="Z129">
        <v>0.9</v>
      </c>
      <c r="AA129">
        <v>1</v>
      </c>
      <c r="AB129">
        <v>1.4</v>
      </c>
      <c r="AC129">
        <v>3.4</v>
      </c>
      <c r="AD129">
        <v>12.1</v>
      </c>
      <c r="AE129">
        <v>2416</v>
      </c>
      <c r="AF129">
        <v>12</v>
      </c>
      <c r="AG129">
        <v>0.61099999999999999</v>
      </c>
      <c r="AH129">
        <v>0.376</v>
      </c>
      <c r="AI129">
        <v>0.20100000000000001</v>
      </c>
      <c r="AJ129">
        <v>4.3</v>
      </c>
      <c r="AK129">
        <v>9.8000000000000007</v>
      </c>
      <c r="AL129">
        <v>7.1</v>
      </c>
      <c r="AM129">
        <v>8.4</v>
      </c>
      <c r="AN129">
        <v>1.5</v>
      </c>
      <c r="AO129">
        <v>2.7</v>
      </c>
      <c r="AP129">
        <v>12.6</v>
      </c>
      <c r="AQ129">
        <v>15.8</v>
      </c>
      <c r="AR129">
        <v>2</v>
      </c>
      <c r="AS129">
        <v>2.4</v>
      </c>
      <c r="AT129">
        <v>4.4000000000000004</v>
      </c>
      <c r="AU129">
        <v>8.6999999999999994E-2</v>
      </c>
      <c r="AV129">
        <v>-1.7</v>
      </c>
      <c r="AW129">
        <v>0.5</v>
      </c>
      <c r="AX129">
        <v>-1.2</v>
      </c>
      <c r="AY129">
        <v>0.5</v>
      </c>
      <c r="AZ129" s="8">
        <v>1.6</v>
      </c>
      <c r="BA129" s="8">
        <v>0.74024724257902141</v>
      </c>
      <c r="BB129" s="3">
        <v>0</v>
      </c>
    </row>
    <row r="130" spans="1:54" x14ac:dyDescent="0.25">
      <c r="A130" t="s">
        <v>128</v>
      </c>
      <c r="B130" s="2">
        <v>23500000</v>
      </c>
      <c r="C130" t="s">
        <v>28</v>
      </c>
      <c r="D130">
        <v>25</v>
      </c>
      <c r="E130" t="s">
        <v>85</v>
      </c>
      <c r="F130">
        <v>71</v>
      </c>
      <c r="G130">
        <v>71</v>
      </c>
      <c r="H130">
        <v>30</v>
      </c>
      <c r="I130">
        <v>5.0999999999999996</v>
      </c>
      <c r="J130">
        <v>10</v>
      </c>
      <c r="K130">
        <v>0.50800000000000001</v>
      </c>
      <c r="L130">
        <v>1</v>
      </c>
      <c r="M130">
        <v>3.4</v>
      </c>
      <c r="N130">
        <v>0.29199999999999998</v>
      </c>
      <c r="O130">
        <v>4.0999999999999996</v>
      </c>
      <c r="P130">
        <v>6.6</v>
      </c>
      <c r="Q130">
        <v>0.61899999999999999</v>
      </c>
      <c r="R130">
        <v>0.55700000000000005</v>
      </c>
      <c r="S130">
        <v>2</v>
      </c>
      <c r="T130">
        <v>2.5</v>
      </c>
      <c r="U130">
        <v>0.80300000000000005</v>
      </c>
      <c r="V130">
        <v>1.1000000000000001</v>
      </c>
      <c r="W130">
        <v>5.4</v>
      </c>
      <c r="X130">
        <v>6.5</v>
      </c>
      <c r="Y130">
        <v>1.2</v>
      </c>
      <c r="Z130">
        <v>0.6</v>
      </c>
      <c r="AA130">
        <v>1</v>
      </c>
      <c r="AB130">
        <v>1.1000000000000001</v>
      </c>
      <c r="AC130">
        <v>3.1</v>
      </c>
      <c r="AD130">
        <v>13.1</v>
      </c>
      <c r="AE130">
        <v>2130</v>
      </c>
      <c r="AF130">
        <v>13.6</v>
      </c>
      <c r="AG130">
        <v>0.59299999999999997</v>
      </c>
      <c r="AH130">
        <v>0.33900000000000002</v>
      </c>
      <c r="AI130">
        <v>0.252</v>
      </c>
      <c r="AJ130">
        <v>3.9</v>
      </c>
      <c r="AK130">
        <v>20</v>
      </c>
      <c r="AL130">
        <v>11.9</v>
      </c>
      <c r="AM130">
        <v>5.3</v>
      </c>
      <c r="AN130">
        <v>0.9</v>
      </c>
      <c r="AO130">
        <v>2.9</v>
      </c>
      <c r="AP130">
        <v>9.1</v>
      </c>
      <c r="AQ130">
        <v>17.100000000000001</v>
      </c>
      <c r="AR130">
        <v>2.1</v>
      </c>
      <c r="AS130">
        <v>2.1</v>
      </c>
      <c r="AT130">
        <v>4.2</v>
      </c>
      <c r="AU130">
        <v>9.5000000000000001E-2</v>
      </c>
      <c r="AV130">
        <v>-1.4</v>
      </c>
      <c r="AW130">
        <v>0.2</v>
      </c>
      <c r="AX130">
        <v>-1.3</v>
      </c>
      <c r="AY130">
        <v>0.4</v>
      </c>
      <c r="AZ130" s="8">
        <v>1.4500000000000002</v>
      </c>
      <c r="BA130" s="8">
        <v>6.1702127659574481E-2</v>
      </c>
      <c r="BB130" s="3">
        <v>0</v>
      </c>
    </row>
    <row r="131" spans="1:54" x14ac:dyDescent="0.25">
      <c r="A131" t="s">
        <v>434</v>
      </c>
      <c r="B131" s="2">
        <v>1782621</v>
      </c>
      <c r="C131" t="s">
        <v>75</v>
      </c>
      <c r="D131">
        <v>25</v>
      </c>
      <c r="E131" t="s">
        <v>118</v>
      </c>
      <c r="F131">
        <v>65</v>
      </c>
      <c r="G131">
        <v>9</v>
      </c>
      <c r="H131">
        <v>18.7</v>
      </c>
      <c r="I131">
        <v>3</v>
      </c>
      <c r="J131">
        <v>4.8</v>
      </c>
      <c r="K131">
        <v>0.629</v>
      </c>
      <c r="L131">
        <v>0</v>
      </c>
      <c r="M131">
        <v>0</v>
      </c>
      <c r="N131">
        <v>1</v>
      </c>
      <c r="O131">
        <v>3</v>
      </c>
      <c r="P131">
        <v>4.8</v>
      </c>
      <c r="Q131">
        <v>0.628</v>
      </c>
      <c r="R131">
        <v>0.63100000000000001</v>
      </c>
      <c r="S131">
        <v>2.1</v>
      </c>
      <c r="T131">
        <v>2.8</v>
      </c>
      <c r="U131">
        <v>0.749</v>
      </c>
      <c r="V131">
        <v>2.2999999999999998</v>
      </c>
      <c r="W131">
        <v>4.0999999999999996</v>
      </c>
      <c r="X131">
        <v>6.4</v>
      </c>
      <c r="Y131">
        <v>0.6</v>
      </c>
      <c r="Z131">
        <v>0.2</v>
      </c>
      <c r="AA131">
        <v>1.1000000000000001</v>
      </c>
      <c r="AB131">
        <v>0.9</v>
      </c>
      <c r="AC131">
        <v>2.4</v>
      </c>
      <c r="AD131">
        <v>8.1999999999999993</v>
      </c>
      <c r="AE131">
        <v>1217</v>
      </c>
      <c r="AF131">
        <v>18.3</v>
      </c>
      <c r="AG131">
        <v>0.67600000000000005</v>
      </c>
      <c r="AH131">
        <v>3.0000000000000001E-3</v>
      </c>
      <c r="AI131">
        <v>0.58499999999999996</v>
      </c>
      <c r="AJ131">
        <v>12.6</v>
      </c>
      <c r="AK131">
        <v>24</v>
      </c>
      <c r="AL131">
        <v>18.2</v>
      </c>
      <c r="AM131">
        <v>4.5</v>
      </c>
      <c r="AN131">
        <v>0.4</v>
      </c>
      <c r="AO131">
        <v>5.0999999999999996</v>
      </c>
      <c r="AP131">
        <v>13</v>
      </c>
      <c r="AQ131">
        <v>15.6</v>
      </c>
      <c r="AR131">
        <v>2.7</v>
      </c>
      <c r="AS131">
        <v>1.5</v>
      </c>
      <c r="AT131">
        <v>4.2</v>
      </c>
      <c r="AU131">
        <v>0.16500000000000001</v>
      </c>
      <c r="AV131">
        <v>-1</v>
      </c>
      <c r="AW131">
        <v>-0.2</v>
      </c>
      <c r="AX131">
        <v>-1.3</v>
      </c>
      <c r="AY131">
        <v>0.2</v>
      </c>
      <c r="AZ131" s="8">
        <v>1.4500000000000002</v>
      </c>
      <c r="BA131" s="8">
        <v>0.81340901964018164</v>
      </c>
      <c r="BB131" s="3">
        <v>0</v>
      </c>
    </row>
    <row r="132" spans="1:54" x14ac:dyDescent="0.25">
      <c r="A132" t="s">
        <v>464</v>
      </c>
      <c r="B132" s="2">
        <v>1280206</v>
      </c>
      <c r="C132" t="s">
        <v>52</v>
      </c>
      <c r="D132">
        <v>24</v>
      </c>
      <c r="E132" t="s">
        <v>63</v>
      </c>
      <c r="F132">
        <v>62</v>
      </c>
      <c r="G132">
        <v>7</v>
      </c>
      <c r="H132">
        <v>17.8</v>
      </c>
      <c r="I132">
        <v>2.5</v>
      </c>
      <c r="J132">
        <v>5.7</v>
      </c>
      <c r="K132">
        <v>0.44800000000000001</v>
      </c>
      <c r="L132">
        <v>0.6</v>
      </c>
      <c r="M132">
        <v>1.9</v>
      </c>
      <c r="N132">
        <v>0.32200000000000001</v>
      </c>
      <c r="O132">
        <v>1.9</v>
      </c>
      <c r="P132">
        <v>3.8</v>
      </c>
      <c r="Q132">
        <v>0.51100000000000001</v>
      </c>
      <c r="R132">
        <v>0.501</v>
      </c>
      <c r="S132">
        <v>0.9</v>
      </c>
      <c r="T132">
        <v>1.1000000000000001</v>
      </c>
      <c r="U132">
        <v>0.76800000000000002</v>
      </c>
      <c r="V132">
        <v>0.9</v>
      </c>
      <c r="W132">
        <v>2.4</v>
      </c>
      <c r="X132">
        <v>3.3</v>
      </c>
      <c r="Y132">
        <v>2.7</v>
      </c>
      <c r="Z132">
        <v>0.9</v>
      </c>
      <c r="AA132">
        <v>0.4</v>
      </c>
      <c r="AB132">
        <v>0.9</v>
      </c>
      <c r="AC132">
        <v>1.5</v>
      </c>
      <c r="AD132">
        <v>6.6</v>
      </c>
      <c r="AE132">
        <v>1106</v>
      </c>
      <c r="AF132">
        <v>14.8</v>
      </c>
      <c r="AG132">
        <v>0.53100000000000003</v>
      </c>
      <c r="AH132">
        <v>0.33400000000000002</v>
      </c>
      <c r="AI132">
        <v>0.19500000000000001</v>
      </c>
      <c r="AJ132">
        <v>6</v>
      </c>
      <c r="AK132">
        <v>14.3</v>
      </c>
      <c r="AL132">
        <v>10.3</v>
      </c>
      <c r="AM132">
        <v>20.8</v>
      </c>
      <c r="AN132">
        <v>2.6</v>
      </c>
      <c r="AO132">
        <v>2</v>
      </c>
      <c r="AP132">
        <v>12.9</v>
      </c>
      <c r="AQ132">
        <v>17.3</v>
      </c>
      <c r="AR132">
        <v>0.9</v>
      </c>
      <c r="AS132">
        <v>1.3</v>
      </c>
      <c r="AT132">
        <v>2.2000000000000002</v>
      </c>
      <c r="AU132">
        <v>9.7000000000000003E-2</v>
      </c>
      <c r="AV132">
        <v>-0.7</v>
      </c>
      <c r="AW132">
        <v>1.4</v>
      </c>
      <c r="AX132">
        <v>0.7</v>
      </c>
      <c r="AY132">
        <v>0.8</v>
      </c>
      <c r="AZ132" s="8">
        <v>1.4500000000000002</v>
      </c>
      <c r="BA132" s="8">
        <v>1.1326302173243996</v>
      </c>
      <c r="BB132" s="3">
        <v>0</v>
      </c>
    </row>
    <row r="133" spans="1:54" x14ac:dyDescent="0.25">
      <c r="A133" t="s">
        <v>259</v>
      </c>
      <c r="B133" s="2">
        <v>6025000</v>
      </c>
      <c r="C133" t="s">
        <v>52</v>
      </c>
      <c r="D133">
        <v>27</v>
      </c>
      <c r="E133" t="s">
        <v>68</v>
      </c>
      <c r="F133">
        <v>81</v>
      </c>
      <c r="G133">
        <v>39</v>
      </c>
      <c r="H133">
        <v>22.3</v>
      </c>
      <c r="I133">
        <v>3</v>
      </c>
      <c r="J133">
        <v>7</v>
      </c>
      <c r="K133">
        <v>0.42299999999999999</v>
      </c>
      <c r="L133">
        <v>1.8</v>
      </c>
      <c r="M133">
        <v>4.2</v>
      </c>
      <c r="N133">
        <v>0.42099999999999999</v>
      </c>
      <c r="O133">
        <v>1.2</v>
      </c>
      <c r="P133">
        <v>2.8</v>
      </c>
      <c r="Q133">
        <v>0.42499999999999999</v>
      </c>
      <c r="R133">
        <v>0.54900000000000004</v>
      </c>
      <c r="S133">
        <v>0.4</v>
      </c>
      <c r="T133">
        <v>0.5</v>
      </c>
      <c r="U133">
        <v>0.81599999999999995</v>
      </c>
      <c r="V133">
        <v>0.4</v>
      </c>
      <c r="W133">
        <v>2.1</v>
      </c>
      <c r="X133">
        <v>2.5</v>
      </c>
      <c r="Y133">
        <v>2.4</v>
      </c>
      <c r="Z133">
        <v>0.8</v>
      </c>
      <c r="AA133">
        <v>0.4</v>
      </c>
      <c r="AB133">
        <v>1</v>
      </c>
      <c r="AC133">
        <v>2</v>
      </c>
      <c r="AD133">
        <v>8</v>
      </c>
      <c r="AE133">
        <v>1810</v>
      </c>
      <c r="AF133">
        <v>10.9</v>
      </c>
      <c r="AG133">
        <v>0.56000000000000005</v>
      </c>
      <c r="AH133">
        <v>0.59599999999999997</v>
      </c>
      <c r="AI133">
        <v>6.7000000000000004E-2</v>
      </c>
      <c r="AJ133">
        <v>2.1</v>
      </c>
      <c r="AK133">
        <v>9.3000000000000007</v>
      </c>
      <c r="AL133">
        <v>5.8</v>
      </c>
      <c r="AM133">
        <v>14.5</v>
      </c>
      <c r="AN133">
        <v>1.7</v>
      </c>
      <c r="AO133">
        <v>1.3</v>
      </c>
      <c r="AP133">
        <v>11.8</v>
      </c>
      <c r="AQ133">
        <v>15.3</v>
      </c>
      <c r="AR133">
        <v>1.2</v>
      </c>
      <c r="AS133">
        <v>2.2999999999999998</v>
      </c>
      <c r="AT133">
        <v>3.5</v>
      </c>
      <c r="AU133">
        <v>9.1999999999999998E-2</v>
      </c>
      <c r="AV133">
        <v>-1.9</v>
      </c>
      <c r="AW133">
        <v>1.2</v>
      </c>
      <c r="AX133">
        <v>-0.6</v>
      </c>
      <c r="AY133">
        <v>0.6</v>
      </c>
      <c r="AZ133" s="8">
        <v>1.45</v>
      </c>
      <c r="BA133" s="8">
        <v>0.24066390041493776</v>
      </c>
      <c r="BB133" s="3">
        <v>0</v>
      </c>
    </row>
    <row r="134" spans="1:54" x14ac:dyDescent="0.25">
      <c r="A134" t="s">
        <v>71</v>
      </c>
      <c r="B134" s="2">
        <v>40600080</v>
      </c>
      <c r="C134" t="s">
        <v>65</v>
      </c>
      <c r="D134">
        <v>32</v>
      </c>
      <c r="E134" t="s">
        <v>53</v>
      </c>
      <c r="F134">
        <v>69</v>
      </c>
      <c r="G134">
        <v>69</v>
      </c>
      <c r="H134">
        <v>33</v>
      </c>
      <c r="I134">
        <v>7.9</v>
      </c>
      <c r="J134">
        <v>18.100000000000001</v>
      </c>
      <c r="K134">
        <v>0.436</v>
      </c>
      <c r="L134">
        <v>4.4000000000000004</v>
      </c>
      <c r="M134">
        <v>10.6</v>
      </c>
      <c r="N134">
        <v>0.41199999999999998</v>
      </c>
      <c r="O134">
        <v>3.6</v>
      </c>
      <c r="P134">
        <v>7.6</v>
      </c>
      <c r="Q134">
        <v>0.47</v>
      </c>
      <c r="R134">
        <v>0.55600000000000005</v>
      </c>
      <c r="S134">
        <v>1.7</v>
      </c>
      <c r="T134">
        <v>1.9</v>
      </c>
      <c r="U134">
        <v>0.879</v>
      </c>
      <c r="V134">
        <v>0.6</v>
      </c>
      <c r="W134">
        <v>3.6</v>
      </c>
      <c r="X134">
        <v>4.0999999999999996</v>
      </c>
      <c r="Y134">
        <v>2.4</v>
      </c>
      <c r="Z134">
        <v>0.7</v>
      </c>
      <c r="AA134">
        <v>0.4</v>
      </c>
      <c r="AB134">
        <v>1.8</v>
      </c>
      <c r="AC134">
        <v>1.9</v>
      </c>
      <c r="AD134">
        <v>21.9</v>
      </c>
      <c r="AE134">
        <v>2279</v>
      </c>
      <c r="AF134">
        <v>14.7</v>
      </c>
      <c r="AG134">
        <v>0.57599999999999996</v>
      </c>
      <c r="AH134">
        <v>0.58399999999999996</v>
      </c>
      <c r="AI134">
        <v>0.105</v>
      </c>
      <c r="AJ134">
        <v>1.9</v>
      </c>
      <c r="AK134">
        <v>11.7</v>
      </c>
      <c r="AL134">
        <v>6.9</v>
      </c>
      <c r="AM134">
        <v>11</v>
      </c>
      <c r="AN134">
        <v>1</v>
      </c>
      <c r="AO134">
        <v>1.1000000000000001</v>
      </c>
      <c r="AP134">
        <v>8.6</v>
      </c>
      <c r="AQ134">
        <v>26.4</v>
      </c>
      <c r="AR134">
        <v>1.2</v>
      </c>
      <c r="AS134">
        <v>1.9</v>
      </c>
      <c r="AT134">
        <v>3.1</v>
      </c>
      <c r="AU134">
        <v>6.6000000000000003E-2</v>
      </c>
      <c r="AV134">
        <v>1.5</v>
      </c>
      <c r="AW134">
        <v>-1.7</v>
      </c>
      <c r="AX134">
        <v>-0.3</v>
      </c>
      <c r="AY134">
        <v>1</v>
      </c>
      <c r="AZ134" s="8">
        <v>1.4000000000000001</v>
      </c>
      <c r="BA134" s="8">
        <v>3.4482690674501139E-2</v>
      </c>
      <c r="BB134" s="3">
        <v>0</v>
      </c>
    </row>
    <row r="135" spans="1:54" x14ac:dyDescent="0.25">
      <c r="A135" t="s">
        <v>154</v>
      </c>
      <c r="B135" s="2">
        <v>17207142</v>
      </c>
      <c r="C135" t="s">
        <v>52</v>
      </c>
      <c r="D135">
        <v>28</v>
      </c>
      <c r="E135" t="s">
        <v>113</v>
      </c>
      <c r="F135">
        <v>61</v>
      </c>
      <c r="G135">
        <v>61</v>
      </c>
      <c r="H135">
        <v>32.1</v>
      </c>
      <c r="I135">
        <v>4.0999999999999996</v>
      </c>
      <c r="J135">
        <v>9.9</v>
      </c>
      <c r="K135">
        <v>0.41499999999999998</v>
      </c>
      <c r="L135">
        <v>1.9</v>
      </c>
      <c r="M135">
        <v>5.6</v>
      </c>
      <c r="N135">
        <v>0.33600000000000002</v>
      </c>
      <c r="O135">
        <v>2.2000000000000002</v>
      </c>
      <c r="P135">
        <v>4.3</v>
      </c>
      <c r="Q135">
        <v>0.51900000000000002</v>
      </c>
      <c r="R135">
        <v>0.51100000000000001</v>
      </c>
      <c r="S135">
        <v>1.4</v>
      </c>
      <c r="T135">
        <v>1.9</v>
      </c>
      <c r="U135">
        <v>0.746</v>
      </c>
      <c r="V135">
        <v>0.8</v>
      </c>
      <c r="W135">
        <v>2.4</v>
      </c>
      <c r="X135">
        <v>3.1</v>
      </c>
      <c r="Y135">
        <v>6.3</v>
      </c>
      <c r="Z135">
        <v>1.5</v>
      </c>
      <c r="AA135">
        <v>0.4</v>
      </c>
      <c r="AB135">
        <v>2.2999999999999998</v>
      </c>
      <c r="AC135">
        <v>2.8</v>
      </c>
      <c r="AD135">
        <v>11.5</v>
      </c>
      <c r="AE135">
        <v>1957</v>
      </c>
      <c r="AF135">
        <v>12.1</v>
      </c>
      <c r="AG135">
        <v>0.53800000000000003</v>
      </c>
      <c r="AH135">
        <v>0.56799999999999995</v>
      </c>
      <c r="AI135">
        <v>0.19600000000000001</v>
      </c>
      <c r="AJ135">
        <v>2.6</v>
      </c>
      <c r="AK135">
        <v>8</v>
      </c>
      <c r="AL135">
        <v>5.3</v>
      </c>
      <c r="AM135">
        <v>26.4</v>
      </c>
      <c r="AN135">
        <v>2.2999999999999998</v>
      </c>
      <c r="AO135">
        <v>1</v>
      </c>
      <c r="AP135">
        <v>17.899999999999999</v>
      </c>
      <c r="AQ135">
        <v>17.8</v>
      </c>
      <c r="AR135">
        <v>1</v>
      </c>
      <c r="AS135">
        <v>2.7</v>
      </c>
      <c r="AT135">
        <v>3.7</v>
      </c>
      <c r="AU135">
        <v>9.1999999999999998E-2</v>
      </c>
      <c r="AV135">
        <v>-1.8</v>
      </c>
      <c r="AW135">
        <v>0.8</v>
      </c>
      <c r="AX135">
        <v>-1</v>
      </c>
      <c r="AY135">
        <v>0.5</v>
      </c>
      <c r="AZ135" s="8">
        <v>1.35</v>
      </c>
      <c r="BA135" s="8">
        <v>7.8455794692692135E-2</v>
      </c>
      <c r="BB135" s="3">
        <v>0</v>
      </c>
    </row>
    <row r="136" spans="1:54" x14ac:dyDescent="0.25">
      <c r="A136" t="s">
        <v>88</v>
      </c>
      <c r="B136" s="2">
        <v>35448672</v>
      </c>
      <c r="C136" t="s">
        <v>52</v>
      </c>
      <c r="D136">
        <v>26</v>
      </c>
      <c r="E136" t="s">
        <v>89</v>
      </c>
      <c r="F136">
        <v>42</v>
      </c>
      <c r="G136">
        <v>33</v>
      </c>
      <c r="H136">
        <v>26.3</v>
      </c>
      <c r="I136">
        <v>3.2</v>
      </c>
      <c r="J136">
        <v>5.6</v>
      </c>
      <c r="K136">
        <v>0.56599999999999995</v>
      </c>
      <c r="L136">
        <v>0</v>
      </c>
      <c r="M136">
        <v>0</v>
      </c>
      <c r="N136">
        <v>0</v>
      </c>
      <c r="O136">
        <v>3.2</v>
      </c>
      <c r="P136">
        <v>5.5</v>
      </c>
      <c r="Q136">
        <v>0.57099999999999995</v>
      </c>
      <c r="R136">
        <v>0.56599999999999995</v>
      </c>
      <c r="S136">
        <v>0.6</v>
      </c>
      <c r="T136">
        <v>1.4</v>
      </c>
      <c r="U136">
        <v>0.439</v>
      </c>
      <c r="V136">
        <v>1</v>
      </c>
      <c r="W136">
        <v>5.3</v>
      </c>
      <c r="X136">
        <v>6.3</v>
      </c>
      <c r="Y136">
        <v>6.1</v>
      </c>
      <c r="Z136">
        <v>1.3</v>
      </c>
      <c r="AA136">
        <v>0.6</v>
      </c>
      <c r="AB136">
        <v>2.2999999999999998</v>
      </c>
      <c r="AC136">
        <v>3.3</v>
      </c>
      <c r="AD136">
        <v>6.9</v>
      </c>
      <c r="AE136">
        <v>1105</v>
      </c>
      <c r="AF136">
        <v>13.4</v>
      </c>
      <c r="AG136">
        <v>0.55900000000000005</v>
      </c>
      <c r="AH136">
        <v>8.9999999999999993E-3</v>
      </c>
      <c r="AI136">
        <v>0.24299999999999999</v>
      </c>
      <c r="AJ136">
        <v>4.2</v>
      </c>
      <c r="AK136">
        <v>22.2</v>
      </c>
      <c r="AL136">
        <v>13.4</v>
      </c>
      <c r="AM136">
        <v>31.3</v>
      </c>
      <c r="AN136">
        <v>2.4</v>
      </c>
      <c r="AO136">
        <v>1.9</v>
      </c>
      <c r="AP136">
        <v>27.2</v>
      </c>
      <c r="AQ136">
        <v>14.3</v>
      </c>
      <c r="AR136">
        <v>0.5</v>
      </c>
      <c r="AS136">
        <v>1.7</v>
      </c>
      <c r="AT136">
        <v>2.2000000000000002</v>
      </c>
      <c r="AU136">
        <v>9.7000000000000003E-2</v>
      </c>
      <c r="AV136">
        <v>-2.2000000000000002</v>
      </c>
      <c r="AW136">
        <v>2.6</v>
      </c>
      <c r="AX136">
        <v>0.4</v>
      </c>
      <c r="AY136">
        <v>0.7</v>
      </c>
      <c r="AZ136" s="8">
        <v>1.3</v>
      </c>
      <c r="BA136" s="8">
        <v>3.6672741929514314E-2</v>
      </c>
      <c r="BB136" s="3">
        <v>0</v>
      </c>
    </row>
    <row r="137" spans="1:54" x14ac:dyDescent="0.25">
      <c r="A137" t="s">
        <v>240</v>
      </c>
      <c r="B137" s="2">
        <v>7426088</v>
      </c>
      <c r="C137" t="s">
        <v>65</v>
      </c>
      <c r="D137">
        <v>27</v>
      </c>
      <c r="E137" t="s">
        <v>107</v>
      </c>
      <c r="F137">
        <v>77</v>
      </c>
      <c r="G137">
        <v>2</v>
      </c>
      <c r="H137">
        <v>20.100000000000001</v>
      </c>
      <c r="I137">
        <v>3.1</v>
      </c>
      <c r="J137">
        <v>6.9</v>
      </c>
      <c r="K137">
        <v>0.45100000000000001</v>
      </c>
      <c r="L137">
        <v>1.5</v>
      </c>
      <c r="M137">
        <v>4.0999999999999996</v>
      </c>
      <c r="N137">
        <v>0.372</v>
      </c>
      <c r="O137">
        <v>1.6</v>
      </c>
      <c r="P137">
        <v>2.8</v>
      </c>
      <c r="Q137">
        <v>0.56399999999999995</v>
      </c>
      <c r="R137">
        <v>0.56000000000000005</v>
      </c>
      <c r="S137">
        <v>1</v>
      </c>
      <c r="T137">
        <v>1.4</v>
      </c>
      <c r="U137">
        <v>0.69399999999999995</v>
      </c>
      <c r="V137">
        <v>0.3</v>
      </c>
      <c r="W137">
        <v>2</v>
      </c>
      <c r="X137">
        <v>2.2999999999999998</v>
      </c>
      <c r="Y137">
        <v>1.5</v>
      </c>
      <c r="Z137">
        <v>0.5</v>
      </c>
      <c r="AA137">
        <v>0.1</v>
      </c>
      <c r="AB137">
        <v>0.7</v>
      </c>
      <c r="AC137">
        <v>1.6</v>
      </c>
      <c r="AD137">
        <v>8.6999999999999993</v>
      </c>
      <c r="AE137">
        <v>1548</v>
      </c>
      <c r="AF137">
        <v>12</v>
      </c>
      <c r="AG137">
        <v>0.57899999999999996</v>
      </c>
      <c r="AH137">
        <v>0.58899999999999997</v>
      </c>
      <c r="AI137">
        <v>0.20399999999999999</v>
      </c>
      <c r="AJ137">
        <v>1.9</v>
      </c>
      <c r="AK137">
        <v>11.5</v>
      </c>
      <c r="AL137">
        <v>6.7</v>
      </c>
      <c r="AM137">
        <v>10.6</v>
      </c>
      <c r="AN137">
        <v>1.1000000000000001</v>
      </c>
      <c r="AO137">
        <v>0.7</v>
      </c>
      <c r="AP137">
        <v>8.3000000000000007</v>
      </c>
      <c r="AQ137">
        <v>18.2</v>
      </c>
      <c r="AR137">
        <v>1.4</v>
      </c>
      <c r="AS137">
        <v>1.9</v>
      </c>
      <c r="AT137">
        <v>3.3</v>
      </c>
      <c r="AU137">
        <v>0.10299999999999999</v>
      </c>
      <c r="AV137">
        <v>-0.8</v>
      </c>
      <c r="AW137">
        <v>0.2</v>
      </c>
      <c r="AX137">
        <v>-0.7</v>
      </c>
      <c r="AY137">
        <v>0.5</v>
      </c>
      <c r="AZ137" s="8">
        <v>1.2999999999999998</v>
      </c>
      <c r="BA137" s="8">
        <v>0.1750585234109803</v>
      </c>
      <c r="BB137" s="3">
        <v>0</v>
      </c>
    </row>
    <row r="138" spans="1:54" x14ac:dyDescent="0.25">
      <c r="A138" t="s">
        <v>410</v>
      </c>
      <c r="B138" s="2">
        <v>1968175</v>
      </c>
      <c r="C138" t="s">
        <v>62</v>
      </c>
      <c r="D138">
        <v>24</v>
      </c>
      <c r="E138" t="s">
        <v>60</v>
      </c>
      <c r="F138">
        <v>72</v>
      </c>
      <c r="G138">
        <v>26</v>
      </c>
      <c r="H138">
        <v>18.8</v>
      </c>
      <c r="I138">
        <v>2.2999999999999998</v>
      </c>
      <c r="J138">
        <v>5.8</v>
      </c>
      <c r="K138">
        <v>0.39100000000000001</v>
      </c>
      <c r="L138">
        <v>0.9</v>
      </c>
      <c r="M138">
        <v>2.7</v>
      </c>
      <c r="N138">
        <v>0.33500000000000002</v>
      </c>
      <c r="O138">
        <v>1.3</v>
      </c>
      <c r="P138">
        <v>3</v>
      </c>
      <c r="Q138">
        <v>0.442</v>
      </c>
      <c r="R138">
        <v>0.47099999999999997</v>
      </c>
      <c r="S138">
        <v>1.9</v>
      </c>
      <c r="T138">
        <v>2.7</v>
      </c>
      <c r="U138">
        <v>0.72399999999999998</v>
      </c>
      <c r="V138">
        <v>1.5</v>
      </c>
      <c r="W138">
        <v>2</v>
      </c>
      <c r="X138">
        <v>3.5</v>
      </c>
      <c r="Y138">
        <v>1.5</v>
      </c>
      <c r="Z138">
        <v>0.8</v>
      </c>
      <c r="AA138">
        <v>0.5</v>
      </c>
      <c r="AB138">
        <v>0.9</v>
      </c>
      <c r="AC138">
        <v>1.6</v>
      </c>
      <c r="AD138">
        <v>7.3</v>
      </c>
      <c r="AE138">
        <v>1350</v>
      </c>
      <c r="AF138">
        <v>13.3</v>
      </c>
      <c r="AG138">
        <v>0.53100000000000003</v>
      </c>
      <c r="AH138">
        <v>0.47599999999999998</v>
      </c>
      <c r="AI138">
        <v>0.46400000000000002</v>
      </c>
      <c r="AJ138">
        <v>8.8000000000000007</v>
      </c>
      <c r="AK138">
        <v>11.9</v>
      </c>
      <c r="AL138">
        <v>10.3</v>
      </c>
      <c r="AM138">
        <v>10.3</v>
      </c>
      <c r="AN138">
        <v>2</v>
      </c>
      <c r="AO138">
        <v>2.2999999999999998</v>
      </c>
      <c r="AP138">
        <v>11.2</v>
      </c>
      <c r="AQ138">
        <v>17.7</v>
      </c>
      <c r="AR138">
        <v>1.1000000000000001</v>
      </c>
      <c r="AS138">
        <v>1.7</v>
      </c>
      <c r="AT138">
        <v>2.8</v>
      </c>
      <c r="AU138">
        <v>0.10100000000000001</v>
      </c>
      <c r="AV138">
        <v>-0.8</v>
      </c>
      <c r="AW138">
        <v>0.5</v>
      </c>
      <c r="AX138">
        <v>-0.2</v>
      </c>
      <c r="AY138">
        <v>0.6</v>
      </c>
      <c r="AZ138" s="8">
        <v>1.2999999999999998</v>
      </c>
      <c r="BA138" s="8">
        <v>0.66051037128304124</v>
      </c>
      <c r="BB138" s="3">
        <v>0</v>
      </c>
    </row>
    <row r="139" spans="1:54" x14ac:dyDescent="0.25">
      <c r="A139" t="s">
        <v>253</v>
      </c>
      <c r="B139" s="2">
        <v>6479000</v>
      </c>
      <c r="C139" t="s">
        <v>65</v>
      </c>
      <c r="D139">
        <v>27</v>
      </c>
      <c r="E139" t="s">
        <v>80</v>
      </c>
      <c r="F139">
        <v>71</v>
      </c>
      <c r="G139">
        <v>49</v>
      </c>
      <c r="H139">
        <v>29.3</v>
      </c>
      <c r="I139">
        <v>3.6</v>
      </c>
      <c r="J139">
        <v>7.7</v>
      </c>
      <c r="K139">
        <v>0.46400000000000002</v>
      </c>
      <c r="L139">
        <v>1.2</v>
      </c>
      <c r="M139">
        <v>3.3</v>
      </c>
      <c r="N139">
        <v>0.35599999999999998</v>
      </c>
      <c r="O139">
        <v>2.4</v>
      </c>
      <c r="P139">
        <v>4.4000000000000004</v>
      </c>
      <c r="Q139">
        <v>0.54500000000000004</v>
      </c>
      <c r="R139">
        <v>0.54</v>
      </c>
      <c r="S139">
        <v>1.3</v>
      </c>
      <c r="T139">
        <v>1.6</v>
      </c>
      <c r="U139">
        <v>0.80500000000000005</v>
      </c>
      <c r="V139">
        <v>1.2</v>
      </c>
      <c r="W139">
        <v>3.6</v>
      </c>
      <c r="X139">
        <v>4.8</v>
      </c>
      <c r="Y139">
        <v>1.6</v>
      </c>
      <c r="Z139">
        <v>1</v>
      </c>
      <c r="AA139">
        <v>0.4</v>
      </c>
      <c r="AB139">
        <v>1.1000000000000001</v>
      </c>
      <c r="AC139">
        <v>2</v>
      </c>
      <c r="AD139">
        <v>9.6</v>
      </c>
      <c r="AE139">
        <v>2077</v>
      </c>
      <c r="AF139">
        <v>11.4</v>
      </c>
      <c r="AG139">
        <v>0.57099999999999995</v>
      </c>
      <c r="AH139">
        <v>0.43099999999999999</v>
      </c>
      <c r="AI139">
        <v>0.20599999999999999</v>
      </c>
      <c r="AJ139">
        <v>4.8</v>
      </c>
      <c r="AK139">
        <v>15</v>
      </c>
      <c r="AL139">
        <v>9.6999999999999993</v>
      </c>
      <c r="AM139">
        <v>8.1999999999999993</v>
      </c>
      <c r="AN139">
        <v>1.7</v>
      </c>
      <c r="AO139">
        <v>1.5</v>
      </c>
      <c r="AP139">
        <v>11.5</v>
      </c>
      <c r="AQ139">
        <v>14.4</v>
      </c>
      <c r="AR139">
        <v>1.2</v>
      </c>
      <c r="AS139">
        <v>2.5</v>
      </c>
      <c r="AT139">
        <v>3.7</v>
      </c>
      <c r="AU139">
        <v>8.5999999999999993E-2</v>
      </c>
      <c r="AV139">
        <v>-1.8</v>
      </c>
      <c r="AW139">
        <v>0.5</v>
      </c>
      <c r="AX139">
        <v>-1.2</v>
      </c>
      <c r="AY139">
        <v>0.4</v>
      </c>
      <c r="AZ139" s="8">
        <v>1.25</v>
      </c>
      <c r="BA139" s="8">
        <v>0.19293100787158513</v>
      </c>
      <c r="BB139" s="3">
        <v>0</v>
      </c>
    </row>
    <row r="140" spans="1:54" x14ac:dyDescent="0.25">
      <c r="A140" t="s">
        <v>354</v>
      </c>
      <c r="B140" s="2">
        <v>2792640</v>
      </c>
      <c r="C140" t="s">
        <v>65</v>
      </c>
      <c r="D140">
        <v>21</v>
      </c>
      <c r="E140" t="s">
        <v>85</v>
      </c>
      <c r="F140">
        <v>70</v>
      </c>
      <c r="G140">
        <v>6</v>
      </c>
      <c r="H140">
        <v>14.9</v>
      </c>
      <c r="I140">
        <v>2.2999999999999998</v>
      </c>
      <c r="J140">
        <v>4.5999999999999996</v>
      </c>
      <c r="K140">
        <v>0.49099999999999999</v>
      </c>
      <c r="L140">
        <v>0.4</v>
      </c>
      <c r="M140">
        <v>1.5</v>
      </c>
      <c r="N140">
        <v>0.28799999999999998</v>
      </c>
      <c r="O140">
        <v>1.8</v>
      </c>
      <c r="P140">
        <v>3.1</v>
      </c>
      <c r="Q140">
        <v>0.58699999999999997</v>
      </c>
      <c r="R140">
        <v>0.53700000000000003</v>
      </c>
      <c r="S140">
        <v>0.7</v>
      </c>
      <c r="T140">
        <v>1.1000000000000001</v>
      </c>
      <c r="U140">
        <v>0.628</v>
      </c>
      <c r="V140">
        <v>0.7</v>
      </c>
      <c r="W140">
        <v>3.3</v>
      </c>
      <c r="X140">
        <v>4</v>
      </c>
      <c r="Y140">
        <v>1.2</v>
      </c>
      <c r="Z140">
        <v>0.5</v>
      </c>
      <c r="AA140">
        <v>0.5</v>
      </c>
      <c r="AB140">
        <v>0.6</v>
      </c>
      <c r="AC140">
        <v>1.6</v>
      </c>
      <c r="AD140">
        <v>5.6</v>
      </c>
      <c r="AE140">
        <v>1042</v>
      </c>
      <c r="AF140">
        <v>14.1</v>
      </c>
      <c r="AG140">
        <v>0.55400000000000005</v>
      </c>
      <c r="AH140">
        <v>0.32300000000000001</v>
      </c>
      <c r="AI140">
        <v>0.24199999999999999</v>
      </c>
      <c r="AJ140">
        <v>5.3</v>
      </c>
      <c r="AK140">
        <v>24.6</v>
      </c>
      <c r="AL140">
        <v>14.8</v>
      </c>
      <c r="AM140">
        <v>10.4</v>
      </c>
      <c r="AN140">
        <v>1.7</v>
      </c>
      <c r="AO140">
        <v>2.8</v>
      </c>
      <c r="AP140">
        <v>10.3</v>
      </c>
      <c r="AQ140">
        <v>16</v>
      </c>
      <c r="AR140">
        <v>0.8</v>
      </c>
      <c r="AS140">
        <v>1.3</v>
      </c>
      <c r="AT140">
        <v>2.1</v>
      </c>
      <c r="AU140">
        <v>9.9000000000000005E-2</v>
      </c>
      <c r="AV140">
        <v>-1.2</v>
      </c>
      <c r="AW140">
        <v>1.5</v>
      </c>
      <c r="AX140">
        <v>0.3</v>
      </c>
      <c r="AY140">
        <v>0.6</v>
      </c>
      <c r="AZ140" s="8">
        <v>1.2</v>
      </c>
      <c r="BA140" s="8">
        <v>0.42970092815400479</v>
      </c>
      <c r="BB140" s="3">
        <v>0</v>
      </c>
    </row>
    <row r="141" spans="1:54" x14ac:dyDescent="0.25">
      <c r="A141" t="s">
        <v>438</v>
      </c>
      <c r="B141" s="2">
        <v>1782621</v>
      </c>
      <c r="C141" t="s">
        <v>52</v>
      </c>
      <c r="D141">
        <v>23</v>
      </c>
      <c r="E141" t="s">
        <v>175</v>
      </c>
      <c r="F141">
        <v>68</v>
      </c>
      <c r="G141">
        <v>65</v>
      </c>
      <c r="H141">
        <v>29.2</v>
      </c>
      <c r="I141">
        <v>5</v>
      </c>
      <c r="J141">
        <v>10.9</v>
      </c>
      <c r="K141">
        <v>0.45900000000000002</v>
      </c>
      <c r="L141">
        <v>0.7</v>
      </c>
      <c r="M141">
        <v>2.2999999999999998</v>
      </c>
      <c r="N141">
        <v>0.28499999999999998</v>
      </c>
      <c r="O141">
        <v>4.4000000000000004</v>
      </c>
      <c r="P141">
        <v>8.6</v>
      </c>
      <c r="Q141">
        <v>0.50600000000000001</v>
      </c>
      <c r="R141">
        <v>0.48899999999999999</v>
      </c>
      <c r="S141">
        <v>2.2000000000000002</v>
      </c>
      <c r="T141">
        <v>2.5</v>
      </c>
      <c r="U141">
        <v>0.86</v>
      </c>
      <c r="V141">
        <v>0.8</v>
      </c>
      <c r="W141">
        <v>2.8</v>
      </c>
      <c r="X141">
        <v>3.6</v>
      </c>
      <c r="Y141">
        <v>6.6</v>
      </c>
      <c r="Z141">
        <v>1.3</v>
      </c>
      <c r="AA141">
        <v>0.1</v>
      </c>
      <c r="AB141">
        <v>1.6</v>
      </c>
      <c r="AC141">
        <v>1.4</v>
      </c>
      <c r="AD141">
        <v>12.9</v>
      </c>
      <c r="AE141">
        <v>1984</v>
      </c>
      <c r="AF141">
        <v>16</v>
      </c>
      <c r="AG141">
        <v>0.53400000000000003</v>
      </c>
      <c r="AH141">
        <v>0.21299999999999999</v>
      </c>
      <c r="AI141">
        <v>0.23100000000000001</v>
      </c>
      <c r="AJ141">
        <v>3</v>
      </c>
      <c r="AK141">
        <v>10.8</v>
      </c>
      <c r="AL141">
        <v>6.7</v>
      </c>
      <c r="AM141">
        <v>31.5</v>
      </c>
      <c r="AN141">
        <v>2.1</v>
      </c>
      <c r="AO141">
        <v>0.4</v>
      </c>
      <c r="AP141">
        <v>11.8</v>
      </c>
      <c r="AQ141">
        <v>19.3</v>
      </c>
      <c r="AR141">
        <v>2.6</v>
      </c>
      <c r="AS141">
        <v>0.8</v>
      </c>
      <c r="AT141">
        <v>3.4</v>
      </c>
      <c r="AU141">
        <v>8.2000000000000003E-2</v>
      </c>
      <c r="AV141">
        <v>-0.2</v>
      </c>
      <c r="AW141">
        <v>-0.8</v>
      </c>
      <c r="AX141">
        <v>-1</v>
      </c>
      <c r="AY141">
        <v>0.5</v>
      </c>
      <c r="AZ141" s="8">
        <v>1.2</v>
      </c>
      <c r="BA141" s="8">
        <v>0.67316608521946053</v>
      </c>
      <c r="BB141" s="3">
        <v>0</v>
      </c>
    </row>
    <row r="142" spans="1:54" x14ac:dyDescent="0.25">
      <c r="A142" t="s">
        <v>241</v>
      </c>
      <c r="B142" s="2">
        <v>7413955</v>
      </c>
      <c r="C142" t="s">
        <v>62</v>
      </c>
      <c r="D142">
        <v>22</v>
      </c>
      <c r="E142" t="s">
        <v>87</v>
      </c>
      <c r="F142">
        <v>74</v>
      </c>
      <c r="G142">
        <v>2</v>
      </c>
      <c r="H142">
        <v>23.4</v>
      </c>
      <c r="I142">
        <v>3.6</v>
      </c>
      <c r="J142">
        <v>8</v>
      </c>
      <c r="K142">
        <v>0.443</v>
      </c>
      <c r="L142">
        <v>1.7</v>
      </c>
      <c r="M142">
        <v>4.5999999999999996</v>
      </c>
      <c r="N142">
        <v>0.372</v>
      </c>
      <c r="O142">
        <v>1.8</v>
      </c>
      <c r="P142">
        <v>3.4</v>
      </c>
      <c r="Q142">
        <v>0.54</v>
      </c>
      <c r="R142">
        <v>0.55100000000000005</v>
      </c>
      <c r="S142">
        <v>0.8</v>
      </c>
      <c r="T142">
        <v>0.9</v>
      </c>
      <c r="U142">
        <v>0.871</v>
      </c>
      <c r="V142">
        <v>0.2</v>
      </c>
      <c r="W142">
        <v>2.6</v>
      </c>
      <c r="X142">
        <v>2.9</v>
      </c>
      <c r="Y142">
        <v>2.8</v>
      </c>
      <c r="Z142">
        <v>0.7</v>
      </c>
      <c r="AA142">
        <v>0.1</v>
      </c>
      <c r="AB142">
        <v>1</v>
      </c>
      <c r="AC142">
        <v>1.6</v>
      </c>
      <c r="AD142">
        <v>9.6999999999999993</v>
      </c>
      <c r="AE142">
        <v>1730</v>
      </c>
      <c r="AF142">
        <v>12.5</v>
      </c>
      <c r="AG142">
        <v>0.57199999999999995</v>
      </c>
      <c r="AH142">
        <v>0.57899999999999996</v>
      </c>
      <c r="AI142">
        <v>0.11799999999999999</v>
      </c>
      <c r="AJ142">
        <v>1.1000000000000001</v>
      </c>
      <c r="AK142">
        <v>12.6</v>
      </c>
      <c r="AL142">
        <v>6.9</v>
      </c>
      <c r="AM142">
        <v>16.3</v>
      </c>
      <c r="AN142">
        <v>1.5</v>
      </c>
      <c r="AO142">
        <v>0.3</v>
      </c>
      <c r="AP142">
        <v>10.6</v>
      </c>
      <c r="AQ142">
        <v>17.899999999999999</v>
      </c>
      <c r="AR142">
        <v>1.2</v>
      </c>
      <c r="AS142">
        <v>1.9</v>
      </c>
      <c r="AT142">
        <v>3.1</v>
      </c>
      <c r="AU142">
        <v>8.6999999999999994E-2</v>
      </c>
      <c r="AV142">
        <v>-1</v>
      </c>
      <c r="AW142">
        <v>0.2</v>
      </c>
      <c r="AX142">
        <v>-0.8</v>
      </c>
      <c r="AY142">
        <v>0.5</v>
      </c>
      <c r="AZ142" s="8">
        <v>1.1499999999999999</v>
      </c>
      <c r="BA142" s="8">
        <v>0.15511289183708291</v>
      </c>
      <c r="BB142" s="3">
        <v>0</v>
      </c>
    </row>
    <row r="143" spans="1:54" x14ac:dyDescent="0.25">
      <c r="A143" t="s">
        <v>320</v>
      </c>
      <c r="B143" s="2">
        <v>3552840</v>
      </c>
      <c r="C143" t="s">
        <v>65</v>
      </c>
      <c r="D143">
        <v>23</v>
      </c>
      <c r="E143" t="s">
        <v>63</v>
      </c>
      <c r="F143">
        <v>74</v>
      </c>
      <c r="G143">
        <v>45</v>
      </c>
      <c r="H143">
        <v>28.3</v>
      </c>
      <c r="I143">
        <v>3.9</v>
      </c>
      <c r="J143">
        <v>7.9</v>
      </c>
      <c r="K143">
        <v>0.497</v>
      </c>
      <c r="L143">
        <v>2.2000000000000002</v>
      </c>
      <c r="M143">
        <v>5.2</v>
      </c>
      <c r="N143">
        <v>0.42399999999999999</v>
      </c>
      <c r="O143">
        <v>1.7</v>
      </c>
      <c r="P143">
        <v>2.7</v>
      </c>
      <c r="Q143">
        <v>0.63700000000000001</v>
      </c>
      <c r="R143">
        <v>0.63700000000000001</v>
      </c>
      <c r="S143">
        <v>1</v>
      </c>
      <c r="T143">
        <v>1.2</v>
      </c>
      <c r="U143">
        <v>0.85199999999999998</v>
      </c>
      <c r="V143">
        <v>0.4</v>
      </c>
      <c r="W143">
        <v>2.4</v>
      </c>
      <c r="X143">
        <v>2.8</v>
      </c>
      <c r="Y143">
        <v>1.2</v>
      </c>
      <c r="Z143">
        <v>0.4</v>
      </c>
      <c r="AA143">
        <v>0.1</v>
      </c>
      <c r="AB143">
        <v>0.7</v>
      </c>
      <c r="AC143">
        <v>1.3</v>
      </c>
      <c r="AD143">
        <v>11.1</v>
      </c>
      <c r="AE143">
        <v>2093</v>
      </c>
      <c r="AF143">
        <v>11.5</v>
      </c>
      <c r="AG143">
        <v>0.65700000000000003</v>
      </c>
      <c r="AH143">
        <v>0.65600000000000003</v>
      </c>
      <c r="AI143">
        <v>0.15</v>
      </c>
      <c r="AJ143">
        <v>1.8</v>
      </c>
      <c r="AK143">
        <v>8.9</v>
      </c>
      <c r="AL143">
        <v>5.5</v>
      </c>
      <c r="AM143">
        <v>5.7</v>
      </c>
      <c r="AN143">
        <v>0.7</v>
      </c>
      <c r="AO143">
        <v>0.4</v>
      </c>
      <c r="AP143">
        <v>8.1</v>
      </c>
      <c r="AQ143">
        <v>14.1</v>
      </c>
      <c r="AR143">
        <v>2.9</v>
      </c>
      <c r="AS143">
        <v>0.9</v>
      </c>
      <c r="AT143">
        <v>3.8</v>
      </c>
      <c r="AU143">
        <v>8.7999999999999995E-2</v>
      </c>
      <c r="AV143">
        <v>-0.1</v>
      </c>
      <c r="AW143">
        <v>-1.4</v>
      </c>
      <c r="AX143">
        <v>-1.5</v>
      </c>
      <c r="AY143">
        <v>0.2</v>
      </c>
      <c r="AZ143" s="8">
        <v>1.1499999999999999</v>
      </c>
      <c r="BA143" s="8">
        <v>0.32368471420047062</v>
      </c>
      <c r="BB143" s="3">
        <v>0</v>
      </c>
    </row>
    <row r="144" spans="1:54" x14ac:dyDescent="0.25">
      <c r="A144" t="s">
        <v>238</v>
      </c>
      <c r="B144" s="2">
        <v>7775400</v>
      </c>
      <c r="C144" t="s">
        <v>28</v>
      </c>
      <c r="D144">
        <v>21</v>
      </c>
      <c r="E144" t="s">
        <v>87</v>
      </c>
      <c r="F144">
        <v>82</v>
      </c>
      <c r="G144">
        <v>65</v>
      </c>
      <c r="H144">
        <v>28.3</v>
      </c>
      <c r="I144">
        <v>3.8</v>
      </c>
      <c r="J144">
        <v>8.3000000000000007</v>
      </c>
      <c r="K144">
        <v>0.46400000000000002</v>
      </c>
      <c r="L144">
        <v>1.4</v>
      </c>
      <c r="M144">
        <v>3.4</v>
      </c>
      <c r="N144">
        <v>0.41499999999999998</v>
      </c>
      <c r="O144">
        <v>2.4</v>
      </c>
      <c r="P144">
        <v>4.9000000000000004</v>
      </c>
      <c r="Q144">
        <v>0.498</v>
      </c>
      <c r="R144">
        <v>0.54900000000000004</v>
      </c>
      <c r="S144">
        <v>1.1000000000000001</v>
      </c>
      <c r="T144">
        <v>1.3</v>
      </c>
      <c r="U144">
        <v>0.85699999999999998</v>
      </c>
      <c r="V144">
        <v>1</v>
      </c>
      <c r="W144">
        <v>3</v>
      </c>
      <c r="X144">
        <v>4</v>
      </c>
      <c r="Y144">
        <v>1.2</v>
      </c>
      <c r="Z144">
        <v>0.9</v>
      </c>
      <c r="AA144">
        <v>0.9</v>
      </c>
      <c r="AB144">
        <v>1.2</v>
      </c>
      <c r="AC144">
        <v>1.8</v>
      </c>
      <c r="AD144">
        <v>10.199999999999999</v>
      </c>
      <c r="AE144">
        <v>2323</v>
      </c>
      <c r="AF144">
        <v>11.2</v>
      </c>
      <c r="AG144">
        <v>0.57599999999999996</v>
      </c>
      <c r="AH144">
        <v>0.40899999999999997</v>
      </c>
      <c r="AI144">
        <v>0.155</v>
      </c>
      <c r="AJ144">
        <v>3.9</v>
      </c>
      <c r="AK144">
        <v>12</v>
      </c>
      <c r="AL144">
        <v>8</v>
      </c>
      <c r="AM144">
        <v>5.8</v>
      </c>
      <c r="AN144">
        <v>1.5</v>
      </c>
      <c r="AO144">
        <v>2.9</v>
      </c>
      <c r="AP144">
        <v>12.3</v>
      </c>
      <c r="AQ144">
        <v>15.7</v>
      </c>
      <c r="AR144">
        <v>0.5</v>
      </c>
      <c r="AS144">
        <v>3</v>
      </c>
      <c r="AT144">
        <v>3.5</v>
      </c>
      <c r="AU144">
        <v>7.1999999999999995E-2</v>
      </c>
      <c r="AV144">
        <v>-1.7</v>
      </c>
      <c r="AW144">
        <v>0.4</v>
      </c>
      <c r="AX144">
        <v>-1.3</v>
      </c>
      <c r="AY144">
        <v>0.4</v>
      </c>
      <c r="AZ144" s="8">
        <v>1.1000000000000001</v>
      </c>
      <c r="BA144" s="8">
        <v>0.14147182138539496</v>
      </c>
      <c r="BB144" s="3">
        <v>0</v>
      </c>
    </row>
    <row r="145" spans="1:54" x14ac:dyDescent="0.25">
      <c r="A145" t="s">
        <v>56</v>
      </c>
      <c r="B145" s="2">
        <v>47080179</v>
      </c>
      <c r="C145" t="s">
        <v>52</v>
      </c>
      <c r="D145">
        <v>34</v>
      </c>
      <c r="E145" t="s">
        <v>55</v>
      </c>
      <c r="F145">
        <v>73</v>
      </c>
      <c r="G145">
        <v>24</v>
      </c>
      <c r="H145">
        <v>29.1</v>
      </c>
      <c r="I145">
        <v>5.9</v>
      </c>
      <c r="J145">
        <v>13.6</v>
      </c>
      <c r="K145">
        <v>0.436</v>
      </c>
      <c r="L145">
        <v>1.2</v>
      </c>
      <c r="M145">
        <v>3.9</v>
      </c>
      <c r="N145">
        <v>0.311</v>
      </c>
      <c r="O145">
        <v>4.7</v>
      </c>
      <c r="P145">
        <v>9.6999999999999993</v>
      </c>
      <c r="Q145">
        <v>0.48699999999999999</v>
      </c>
      <c r="R145">
        <v>0.48099999999999998</v>
      </c>
      <c r="S145">
        <v>2.8</v>
      </c>
      <c r="T145">
        <v>4.3</v>
      </c>
      <c r="U145">
        <v>0.65600000000000003</v>
      </c>
      <c r="V145">
        <v>1.2</v>
      </c>
      <c r="W145">
        <v>4.5999999999999996</v>
      </c>
      <c r="X145">
        <v>5.8</v>
      </c>
      <c r="Y145">
        <v>7.5</v>
      </c>
      <c r="Z145">
        <v>1</v>
      </c>
      <c r="AA145">
        <v>0.5</v>
      </c>
      <c r="AB145">
        <v>3.5</v>
      </c>
      <c r="AC145">
        <v>2.2000000000000002</v>
      </c>
      <c r="AD145">
        <v>15.9</v>
      </c>
      <c r="AE145">
        <v>2126</v>
      </c>
      <c r="AF145">
        <v>16.100000000000001</v>
      </c>
      <c r="AG145">
        <v>0.51300000000000001</v>
      </c>
      <c r="AH145">
        <v>0.28899999999999998</v>
      </c>
      <c r="AI145">
        <v>0.317</v>
      </c>
      <c r="AJ145">
        <v>4.7</v>
      </c>
      <c r="AK145">
        <v>16.5</v>
      </c>
      <c r="AL145">
        <v>10.8</v>
      </c>
      <c r="AM145">
        <v>38.6</v>
      </c>
      <c r="AN145">
        <v>1.7</v>
      </c>
      <c r="AO145">
        <v>1.3</v>
      </c>
      <c r="AP145">
        <v>18.399999999999999</v>
      </c>
      <c r="AQ145">
        <v>27.7</v>
      </c>
      <c r="AR145">
        <v>-0.6</v>
      </c>
      <c r="AS145">
        <v>2.6</v>
      </c>
      <c r="AT145">
        <v>1.9</v>
      </c>
      <c r="AU145">
        <v>4.3999999999999997E-2</v>
      </c>
      <c r="AV145">
        <v>0.3</v>
      </c>
      <c r="AW145">
        <v>-0.1</v>
      </c>
      <c r="AX145">
        <v>0.2</v>
      </c>
      <c r="AY145">
        <v>1.2</v>
      </c>
      <c r="AZ145" s="8">
        <v>1.05</v>
      </c>
      <c r="BA145" s="8">
        <v>2.2302379096731981E-2</v>
      </c>
      <c r="BB145" s="3">
        <v>0</v>
      </c>
    </row>
    <row r="146" spans="1:54" x14ac:dyDescent="0.25">
      <c r="A146" t="s">
        <v>424</v>
      </c>
      <c r="B146" s="2">
        <v>1878720</v>
      </c>
      <c r="C146" t="s">
        <v>28</v>
      </c>
      <c r="D146">
        <v>27</v>
      </c>
      <c r="E146" t="s">
        <v>175</v>
      </c>
      <c r="F146">
        <v>67</v>
      </c>
      <c r="G146">
        <v>42</v>
      </c>
      <c r="H146">
        <v>21.7</v>
      </c>
      <c r="I146">
        <v>3.5</v>
      </c>
      <c r="J146">
        <v>6.9</v>
      </c>
      <c r="K146">
        <v>0.50800000000000001</v>
      </c>
      <c r="L146">
        <v>0.8</v>
      </c>
      <c r="M146">
        <v>2.1</v>
      </c>
      <c r="N146">
        <v>0.39400000000000002</v>
      </c>
      <c r="O146">
        <v>2.7</v>
      </c>
      <c r="P146">
        <v>4.8</v>
      </c>
      <c r="Q146">
        <v>0.55700000000000005</v>
      </c>
      <c r="R146">
        <v>0.56799999999999995</v>
      </c>
      <c r="S146">
        <v>1.8</v>
      </c>
      <c r="T146">
        <v>2.2000000000000002</v>
      </c>
      <c r="U146">
        <v>0.79300000000000004</v>
      </c>
      <c r="V146">
        <v>1</v>
      </c>
      <c r="W146">
        <v>2.7</v>
      </c>
      <c r="X146">
        <v>3.7</v>
      </c>
      <c r="Y146">
        <v>1.5</v>
      </c>
      <c r="Z146">
        <v>0.7</v>
      </c>
      <c r="AA146">
        <v>0.3</v>
      </c>
      <c r="AB146">
        <v>0.8</v>
      </c>
      <c r="AC146">
        <v>0.9</v>
      </c>
      <c r="AD146">
        <v>9.6999999999999993</v>
      </c>
      <c r="AE146">
        <v>1452</v>
      </c>
      <c r="AF146">
        <v>14.9</v>
      </c>
      <c r="AG146">
        <v>0.60899999999999999</v>
      </c>
      <c r="AH146">
        <v>0.30499999999999999</v>
      </c>
      <c r="AI146">
        <v>0.32300000000000001</v>
      </c>
      <c r="AJ146">
        <v>4.7</v>
      </c>
      <c r="AK146">
        <v>14.3</v>
      </c>
      <c r="AL146">
        <v>9.3000000000000007</v>
      </c>
      <c r="AM146">
        <v>9.8000000000000007</v>
      </c>
      <c r="AN146">
        <v>1.5</v>
      </c>
      <c r="AO146">
        <v>1.1000000000000001</v>
      </c>
      <c r="AP146">
        <v>9.5</v>
      </c>
      <c r="AQ146">
        <v>16.7</v>
      </c>
      <c r="AR146">
        <v>2.1</v>
      </c>
      <c r="AS146">
        <v>0.6</v>
      </c>
      <c r="AT146">
        <v>2.7</v>
      </c>
      <c r="AU146">
        <v>8.8999999999999996E-2</v>
      </c>
      <c r="AV146">
        <v>0.3</v>
      </c>
      <c r="AW146">
        <v>-0.9</v>
      </c>
      <c r="AX146">
        <v>-0.6</v>
      </c>
      <c r="AY146">
        <v>0.5</v>
      </c>
      <c r="AZ146" s="8">
        <v>1.05</v>
      </c>
      <c r="BA146" s="8">
        <v>0.55889115993868166</v>
      </c>
      <c r="BB146" s="3">
        <v>0</v>
      </c>
    </row>
    <row r="147" spans="1:54" x14ac:dyDescent="0.25">
      <c r="A147" t="s">
        <v>242</v>
      </c>
      <c r="B147" s="2">
        <v>7350000</v>
      </c>
      <c r="C147" t="s">
        <v>75</v>
      </c>
      <c r="D147">
        <v>25</v>
      </c>
      <c r="E147" t="s">
        <v>175</v>
      </c>
      <c r="F147">
        <v>63</v>
      </c>
      <c r="G147">
        <v>26</v>
      </c>
      <c r="H147">
        <v>22.9</v>
      </c>
      <c r="I147">
        <v>4.5</v>
      </c>
      <c r="J147">
        <v>8.6999999999999993</v>
      </c>
      <c r="K147">
        <v>0.51800000000000002</v>
      </c>
      <c r="L147">
        <v>0.9</v>
      </c>
      <c r="M147">
        <v>2.2999999999999998</v>
      </c>
      <c r="N147">
        <v>0.374</v>
      </c>
      <c r="O147">
        <v>3.6</v>
      </c>
      <c r="P147">
        <v>6.4</v>
      </c>
      <c r="Q147">
        <v>0.57099999999999995</v>
      </c>
      <c r="R147">
        <v>0.56799999999999995</v>
      </c>
      <c r="S147">
        <v>1.7</v>
      </c>
      <c r="T147">
        <v>2.2999999999999998</v>
      </c>
      <c r="U147">
        <v>0.76100000000000001</v>
      </c>
      <c r="V147">
        <v>1.8</v>
      </c>
      <c r="W147">
        <v>4.5</v>
      </c>
      <c r="X147">
        <v>6.4</v>
      </c>
      <c r="Y147">
        <v>2.9</v>
      </c>
      <c r="Z147">
        <v>0.6</v>
      </c>
      <c r="AA147">
        <v>0.8</v>
      </c>
      <c r="AB147">
        <v>2</v>
      </c>
      <c r="AC147">
        <v>3.2</v>
      </c>
      <c r="AD147">
        <v>11.6</v>
      </c>
      <c r="AE147">
        <v>1441</v>
      </c>
      <c r="AF147">
        <v>16.399999999999999</v>
      </c>
      <c r="AG147">
        <v>0.59899999999999998</v>
      </c>
      <c r="AH147">
        <v>0.26800000000000002</v>
      </c>
      <c r="AI147">
        <v>0.25900000000000001</v>
      </c>
      <c r="AJ147">
        <v>8.5</v>
      </c>
      <c r="AK147">
        <v>22.5</v>
      </c>
      <c r="AL147">
        <v>15.2</v>
      </c>
      <c r="AM147">
        <v>18</v>
      </c>
      <c r="AN147">
        <v>1.2</v>
      </c>
      <c r="AO147">
        <v>2.8</v>
      </c>
      <c r="AP147">
        <v>17.399999999999999</v>
      </c>
      <c r="AQ147">
        <v>21.2</v>
      </c>
      <c r="AR147">
        <v>1.2</v>
      </c>
      <c r="AS147">
        <v>1</v>
      </c>
      <c r="AT147">
        <v>2.2000000000000002</v>
      </c>
      <c r="AU147">
        <v>7.3999999999999996E-2</v>
      </c>
      <c r="AV147">
        <v>-0.5</v>
      </c>
      <c r="AW147">
        <v>0.3</v>
      </c>
      <c r="AX147">
        <v>-0.2</v>
      </c>
      <c r="AY147">
        <v>0.6</v>
      </c>
      <c r="AZ147" s="8">
        <v>1</v>
      </c>
      <c r="BA147" s="8">
        <v>0.1360544217687075</v>
      </c>
      <c r="BB147" s="3">
        <v>0</v>
      </c>
    </row>
    <row r="148" spans="1:54" x14ac:dyDescent="0.25">
      <c r="A148" t="s">
        <v>364</v>
      </c>
      <c r="B148" s="2">
        <v>2573760</v>
      </c>
      <c r="C148" t="s">
        <v>75</v>
      </c>
      <c r="D148">
        <v>21</v>
      </c>
      <c r="E148" t="s">
        <v>93</v>
      </c>
      <c r="F148">
        <v>63</v>
      </c>
      <c r="G148">
        <v>12</v>
      </c>
      <c r="H148">
        <v>16.5</v>
      </c>
      <c r="I148">
        <v>2.8</v>
      </c>
      <c r="J148">
        <v>5</v>
      </c>
      <c r="K148">
        <v>0.56299999999999994</v>
      </c>
      <c r="L148">
        <v>0</v>
      </c>
      <c r="M148">
        <v>0.2</v>
      </c>
      <c r="N148">
        <v>0.14299999999999999</v>
      </c>
      <c r="O148">
        <v>2.8</v>
      </c>
      <c r="P148">
        <v>4.8</v>
      </c>
      <c r="Q148">
        <v>0.58199999999999996</v>
      </c>
      <c r="R148">
        <v>0.56599999999999995</v>
      </c>
      <c r="S148">
        <v>1.5</v>
      </c>
      <c r="T148">
        <v>2.2999999999999998</v>
      </c>
      <c r="U148">
        <v>0.65100000000000002</v>
      </c>
      <c r="V148">
        <v>1.8</v>
      </c>
      <c r="W148">
        <v>2.7</v>
      </c>
      <c r="X148">
        <v>4.5</v>
      </c>
      <c r="Y148">
        <v>0.8</v>
      </c>
      <c r="Z148">
        <v>0.5</v>
      </c>
      <c r="AA148">
        <v>1.5</v>
      </c>
      <c r="AB148">
        <v>0.8</v>
      </c>
      <c r="AC148">
        <v>2.4</v>
      </c>
      <c r="AD148">
        <v>7.2</v>
      </c>
      <c r="AE148">
        <v>1042</v>
      </c>
      <c r="AF148">
        <v>17.5</v>
      </c>
      <c r="AG148">
        <v>0.59499999999999997</v>
      </c>
      <c r="AH148">
        <v>4.3999999999999997E-2</v>
      </c>
      <c r="AI148">
        <v>0.45900000000000002</v>
      </c>
      <c r="AJ148">
        <v>12.1</v>
      </c>
      <c r="AK148">
        <v>18</v>
      </c>
      <c r="AL148">
        <v>15</v>
      </c>
      <c r="AM148">
        <v>7</v>
      </c>
      <c r="AN148">
        <v>1.4</v>
      </c>
      <c r="AO148">
        <v>7.7</v>
      </c>
      <c r="AP148">
        <v>11.8</v>
      </c>
      <c r="AQ148">
        <v>17.399999999999999</v>
      </c>
      <c r="AR148">
        <v>1.5</v>
      </c>
      <c r="AS148">
        <v>1.2</v>
      </c>
      <c r="AT148">
        <v>2.7</v>
      </c>
      <c r="AU148">
        <v>0.124</v>
      </c>
      <c r="AV148">
        <v>-1.7</v>
      </c>
      <c r="AW148">
        <v>0.9</v>
      </c>
      <c r="AX148">
        <v>-0.8</v>
      </c>
      <c r="AY148">
        <v>0.3</v>
      </c>
      <c r="AZ148" s="8">
        <v>0.95000000000000007</v>
      </c>
      <c r="BA148" s="8">
        <v>0.36910978490612961</v>
      </c>
      <c r="BB148" s="3">
        <v>0</v>
      </c>
    </row>
    <row r="149" spans="1:54" x14ac:dyDescent="0.25">
      <c r="A149" t="s">
        <v>173</v>
      </c>
      <c r="B149" s="2">
        <v>13801614</v>
      </c>
      <c r="C149" t="s">
        <v>52</v>
      </c>
      <c r="D149">
        <v>34</v>
      </c>
      <c r="E149" t="s">
        <v>87</v>
      </c>
      <c r="F149">
        <v>67</v>
      </c>
      <c r="G149">
        <v>67</v>
      </c>
      <c r="H149">
        <v>27.1</v>
      </c>
      <c r="I149">
        <v>2.1</v>
      </c>
      <c r="J149">
        <v>5.4</v>
      </c>
      <c r="K149">
        <v>0.4</v>
      </c>
      <c r="L149">
        <v>1.2</v>
      </c>
      <c r="M149">
        <v>3.6</v>
      </c>
      <c r="N149">
        <v>0.33500000000000002</v>
      </c>
      <c r="O149">
        <v>1</v>
      </c>
      <c r="P149">
        <v>1.8</v>
      </c>
      <c r="Q149">
        <v>0.52900000000000003</v>
      </c>
      <c r="R149">
        <v>0.51100000000000001</v>
      </c>
      <c r="S149">
        <v>0.7</v>
      </c>
      <c r="T149">
        <v>1</v>
      </c>
      <c r="U149">
        <v>0.72299999999999998</v>
      </c>
      <c r="V149">
        <v>0.7</v>
      </c>
      <c r="W149">
        <v>3</v>
      </c>
      <c r="X149">
        <v>3.7</v>
      </c>
      <c r="Y149">
        <v>2.9</v>
      </c>
      <c r="Z149">
        <v>0.9</v>
      </c>
      <c r="AA149">
        <v>0.6</v>
      </c>
      <c r="AB149">
        <v>0.9</v>
      </c>
      <c r="AC149">
        <v>2.8</v>
      </c>
      <c r="AD149">
        <v>6.2</v>
      </c>
      <c r="AE149">
        <v>1816</v>
      </c>
      <c r="AF149">
        <v>8.9</v>
      </c>
      <c r="AG149">
        <v>0.53400000000000003</v>
      </c>
      <c r="AH149">
        <v>0.66400000000000003</v>
      </c>
      <c r="AI149">
        <v>0.18099999999999999</v>
      </c>
      <c r="AJ149">
        <v>2.7</v>
      </c>
      <c r="AK149">
        <v>12</v>
      </c>
      <c r="AL149">
        <v>7.5</v>
      </c>
      <c r="AM149">
        <v>13.3</v>
      </c>
      <c r="AN149">
        <v>1.7</v>
      </c>
      <c r="AO149">
        <v>2</v>
      </c>
      <c r="AP149">
        <v>13.4</v>
      </c>
      <c r="AQ149">
        <v>10.6</v>
      </c>
      <c r="AR149">
        <v>0.8</v>
      </c>
      <c r="AS149">
        <v>2.1</v>
      </c>
      <c r="AT149">
        <v>3</v>
      </c>
      <c r="AU149">
        <v>7.9000000000000001E-2</v>
      </c>
      <c r="AV149">
        <v>-2.9</v>
      </c>
      <c r="AW149">
        <v>1.7</v>
      </c>
      <c r="AX149">
        <v>-1.2</v>
      </c>
      <c r="AY149">
        <v>0.3</v>
      </c>
      <c r="AZ149" s="8">
        <v>0.9</v>
      </c>
      <c r="BA149" s="8">
        <v>6.5209764597097125E-2</v>
      </c>
      <c r="BB149" s="3">
        <v>0</v>
      </c>
    </row>
    <row r="150" spans="1:54" x14ac:dyDescent="0.25">
      <c r="A150" t="s">
        <v>97</v>
      </c>
      <c r="B150" s="2">
        <v>33616770</v>
      </c>
      <c r="C150" t="s">
        <v>65</v>
      </c>
      <c r="D150">
        <v>27</v>
      </c>
      <c r="E150" t="s">
        <v>53</v>
      </c>
      <c r="F150">
        <v>37</v>
      </c>
      <c r="G150">
        <v>37</v>
      </c>
      <c r="H150">
        <v>32.200000000000003</v>
      </c>
      <c r="I150">
        <v>6.8</v>
      </c>
      <c r="J150">
        <v>14.3</v>
      </c>
      <c r="K150">
        <v>0.47299999999999998</v>
      </c>
      <c r="L150">
        <v>2.4</v>
      </c>
      <c r="M150">
        <v>6.1</v>
      </c>
      <c r="N150">
        <v>0.39600000000000002</v>
      </c>
      <c r="O150">
        <v>4.4000000000000004</v>
      </c>
      <c r="P150">
        <v>8.1999999999999993</v>
      </c>
      <c r="Q150">
        <v>0.53</v>
      </c>
      <c r="R150">
        <v>0.55700000000000005</v>
      </c>
      <c r="S150">
        <v>1.2</v>
      </c>
      <c r="T150">
        <v>1.9</v>
      </c>
      <c r="U150">
        <v>0.61099999999999999</v>
      </c>
      <c r="V150">
        <v>1.6</v>
      </c>
      <c r="W150">
        <v>3.4</v>
      </c>
      <c r="X150">
        <v>5</v>
      </c>
      <c r="Y150">
        <v>2.2999999999999998</v>
      </c>
      <c r="Z150">
        <v>1.2</v>
      </c>
      <c r="AA150">
        <v>0.8</v>
      </c>
      <c r="AB150">
        <v>1.3</v>
      </c>
      <c r="AC150">
        <v>2.9</v>
      </c>
      <c r="AD150">
        <v>17.100000000000001</v>
      </c>
      <c r="AE150">
        <v>1190</v>
      </c>
      <c r="AF150">
        <v>14.7</v>
      </c>
      <c r="AG150">
        <v>0.56399999999999995</v>
      </c>
      <c r="AH150">
        <v>0.42499999999999999</v>
      </c>
      <c r="AI150">
        <v>0.13600000000000001</v>
      </c>
      <c r="AJ150">
        <v>5.7</v>
      </c>
      <c r="AK150">
        <v>11.3</v>
      </c>
      <c r="AL150">
        <v>8.6</v>
      </c>
      <c r="AM150">
        <v>10.5</v>
      </c>
      <c r="AN150">
        <v>1.8</v>
      </c>
      <c r="AO150">
        <v>2.1</v>
      </c>
      <c r="AP150">
        <v>7.9</v>
      </c>
      <c r="AQ150">
        <v>21.5</v>
      </c>
      <c r="AR150">
        <v>1</v>
      </c>
      <c r="AS150">
        <v>1.3</v>
      </c>
      <c r="AT150">
        <v>2.2999999999999998</v>
      </c>
      <c r="AU150">
        <v>9.0999999999999998E-2</v>
      </c>
      <c r="AV150">
        <v>-0.1</v>
      </c>
      <c r="AW150">
        <v>-0.4</v>
      </c>
      <c r="AX150">
        <v>-0.5</v>
      </c>
      <c r="AY150">
        <v>0.5</v>
      </c>
      <c r="AZ150" s="8">
        <v>0.89999999999999991</v>
      </c>
      <c r="BA150" s="8">
        <v>2.6772352013593213E-2</v>
      </c>
      <c r="BB150" s="3">
        <v>0</v>
      </c>
    </row>
    <row r="151" spans="1:54" x14ac:dyDescent="0.25">
      <c r="A151" t="s">
        <v>216</v>
      </c>
      <c r="B151" s="2">
        <v>9200000</v>
      </c>
      <c r="C151" t="s">
        <v>65</v>
      </c>
      <c r="D151">
        <v>29</v>
      </c>
      <c r="E151" t="s">
        <v>89</v>
      </c>
      <c r="F151">
        <v>76</v>
      </c>
      <c r="G151">
        <v>53</v>
      </c>
      <c r="H151">
        <v>31.7</v>
      </c>
      <c r="I151">
        <v>3</v>
      </c>
      <c r="J151">
        <v>7.8</v>
      </c>
      <c r="K151">
        <v>0.38600000000000001</v>
      </c>
      <c r="L151">
        <v>2.1</v>
      </c>
      <c r="M151">
        <v>5.5</v>
      </c>
      <c r="N151">
        <v>0.38900000000000001</v>
      </c>
      <c r="O151">
        <v>0.9</v>
      </c>
      <c r="P151">
        <v>2.2999999999999998</v>
      </c>
      <c r="Q151">
        <v>0.379</v>
      </c>
      <c r="R151">
        <v>0.52400000000000002</v>
      </c>
      <c r="S151">
        <v>0.7</v>
      </c>
      <c r="T151">
        <v>0.9</v>
      </c>
      <c r="U151">
        <v>0.72499999999999998</v>
      </c>
      <c r="V151">
        <v>0.7</v>
      </c>
      <c r="W151">
        <v>4.3</v>
      </c>
      <c r="X151">
        <v>5.0999999999999996</v>
      </c>
      <c r="Y151">
        <v>3.7</v>
      </c>
      <c r="Z151">
        <v>0.9</v>
      </c>
      <c r="AA151">
        <v>0.6</v>
      </c>
      <c r="AB151">
        <v>1.5</v>
      </c>
      <c r="AC151">
        <v>3.1</v>
      </c>
      <c r="AD151">
        <v>8.8000000000000007</v>
      </c>
      <c r="AE151">
        <v>2409</v>
      </c>
      <c r="AF151">
        <v>9.1999999999999993</v>
      </c>
      <c r="AG151">
        <v>0.53800000000000003</v>
      </c>
      <c r="AH151">
        <v>0.70699999999999996</v>
      </c>
      <c r="AI151">
        <v>0.11600000000000001</v>
      </c>
      <c r="AJ151">
        <v>2.6</v>
      </c>
      <c r="AK151">
        <v>15</v>
      </c>
      <c r="AL151">
        <v>9</v>
      </c>
      <c r="AM151">
        <v>15.3</v>
      </c>
      <c r="AN151">
        <v>1.3</v>
      </c>
      <c r="AO151">
        <v>1.7</v>
      </c>
      <c r="AP151">
        <v>15.5</v>
      </c>
      <c r="AQ151">
        <v>13.6</v>
      </c>
      <c r="AR151">
        <v>0.4</v>
      </c>
      <c r="AS151">
        <v>2.5</v>
      </c>
      <c r="AT151">
        <v>2.9</v>
      </c>
      <c r="AU151">
        <v>5.7000000000000002E-2</v>
      </c>
      <c r="AV151">
        <v>-1.7</v>
      </c>
      <c r="AW151">
        <v>0.6</v>
      </c>
      <c r="AX151">
        <v>-1.1000000000000001</v>
      </c>
      <c r="AY151">
        <v>0.5</v>
      </c>
      <c r="AZ151" s="8">
        <v>0.89999999999999991</v>
      </c>
      <c r="BA151" s="8">
        <v>9.7826086956521729E-2</v>
      </c>
      <c r="BB151" s="3">
        <v>0</v>
      </c>
    </row>
    <row r="152" spans="1:54" x14ac:dyDescent="0.25">
      <c r="A152" t="s">
        <v>433</v>
      </c>
      <c r="B152" s="2">
        <v>1815677</v>
      </c>
      <c r="C152" t="s">
        <v>65</v>
      </c>
      <c r="D152">
        <v>26</v>
      </c>
      <c r="E152" t="s">
        <v>80</v>
      </c>
      <c r="F152">
        <v>80</v>
      </c>
      <c r="G152">
        <v>33</v>
      </c>
      <c r="H152">
        <v>28.4</v>
      </c>
      <c r="I152">
        <v>4.0999999999999996</v>
      </c>
      <c r="J152">
        <v>9.9</v>
      </c>
      <c r="K152">
        <v>0.41</v>
      </c>
      <c r="L152">
        <v>2.5</v>
      </c>
      <c r="M152">
        <v>7</v>
      </c>
      <c r="N152">
        <v>0.35</v>
      </c>
      <c r="O152">
        <v>1.6</v>
      </c>
      <c r="P152">
        <v>2.8</v>
      </c>
      <c r="Q152">
        <v>0.55900000000000005</v>
      </c>
      <c r="R152">
        <v>0.53500000000000003</v>
      </c>
      <c r="S152">
        <v>1</v>
      </c>
      <c r="T152">
        <v>1.1000000000000001</v>
      </c>
      <c r="U152">
        <v>0.876</v>
      </c>
      <c r="V152">
        <v>0.6</v>
      </c>
      <c r="W152">
        <v>2.6</v>
      </c>
      <c r="X152">
        <v>3.2</v>
      </c>
      <c r="Y152">
        <v>2.1</v>
      </c>
      <c r="Z152">
        <v>0.5</v>
      </c>
      <c r="AA152">
        <v>0.2</v>
      </c>
      <c r="AB152">
        <v>0.9</v>
      </c>
      <c r="AC152">
        <v>2.1</v>
      </c>
      <c r="AD152">
        <v>11.5</v>
      </c>
      <c r="AE152">
        <v>2272</v>
      </c>
      <c r="AF152">
        <v>10.8</v>
      </c>
      <c r="AG152">
        <v>0.55700000000000005</v>
      </c>
      <c r="AH152">
        <v>0.71299999999999997</v>
      </c>
      <c r="AI152">
        <v>0.113</v>
      </c>
      <c r="AJ152">
        <v>2.4</v>
      </c>
      <c r="AK152">
        <v>11.2</v>
      </c>
      <c r="AL152">
        <v>6.7</v>
      </c>
      <c r="AM152">
        <v>11.2</v>
      </c>
      <c r="AN152">
        <v>0.9</v>
      </c>
      <c r="AO152">
        <v>0.5</v>
      </c>
      <c r="AP152">
        <v>7.8</v>
      </c>
      <c r="AQ152">
        <v>17.600000000000001</v>
      </c>
      <c r="AR152">
        <v>1.5</v>
      </c>
      <c r="AS152">
        <v>1.9</v>
      </c>
      <c r="AT152">
        <v>3.4</v>
      </c>
      <c r="AU152">
        <v>7.0999999999999994E-2</v>
      </c>
      <c r="AV152">
        <v>-0.8</v>
      </c>
      <c r="AW152">
        <v>-0.9</v>
      </c>
      <c r="AX152">
        <v>-1.7</v>
      </c>
      <c r="AY152">
        <v>0.2</v>
      </c>
      <c r="AZ152" s="8">
        <v>0.85</v>
      </c>
      <c r="BA152" s="8">
        <v>0.46814493987642075</v>
      </c>
      <c r="BB152" s="3">
        <v>0</v>
      </c>
    </row>
    <row r="153" spans="1:54" x14ac:dyDescent="0.25">
      <c r="A153" t="s">
        <v>274</v>
      </c>
      <c r="B153" s="2">
        <v>5348280</v>
      </c>
      <c r="C153" t="s">
        <v>28</v>
      </c>
      <c r="D153">
        <v>24</v>
      </c>
      <c r="E153" t="s">
        <v>123</v>
      </c>
      <c r="F153">
        <v>67</v>
      </c>
      <c r="G153">
        <v>5</v>
      </c>
      <c r="H153">
        <v>15.7</v>
      </c>
      <c r="I153">
        <v>2.8</v>
      </c>
      <c r="J153">
        <v>6.3</v>
      </c>
      <c r="K153">
        <v>0.44600000000000001</v>
      </c>
      <c r="L153">
        <v>1.3</v>
      </c>
      <c r="M153">
        <v>3.7</v>
      </c>
      <c r="N153">
        <v>0.34399999999999997</v>
      </c>
      <c r="O153">
        <v>1.5</v>
      </c>
      <c r="P153">
        <v>2.6</v>
      </c>
      <c r="Q153">
        <v>0.59299999999999997</v>
      </c>
      <c r="R153">
        <v>0.54800000000000004</v>
      </c>
      <c r="S153">
        <v>0.6</v>
      </c>
      <c r="T153">
        <v>0.7</v>
      </c>
      <c r="U153">
        <v>0.80900000000000005</v>
      </c>
      <c r="V153">
        <v>0.4</v>
      </c>
      <c r="W153">
        <v>2.4</v>
      </c>
      <c r="X153">
        <v>2.8</v>
      </c>
      <c r="Y153">
        <v>1</v>
      </c>
      <c r="Z153">
        <v>0.3</v>
      </c>
      <c r="AA153">
        <v>0.2</v>
      </c>
      <c r="AB153">
        <v>0.6</v>
      </c>
      <c r="AC153">
        <v>1</v>
      </c>
      <c r="AD153">
        <v>7.4</v>
      </c>
      <c r="AE153">
        <v>1050</v>
      </c>
      <c r="AF153">
        <v>13.6</v>
      </c>
      <c r="AG153">
        <v>0.56499999999999995</v>
      </c>
      <c r="AH153">
        <v>0.58899999999999997</v>
      </c>
      <c r="AI153">
        <v>0.112</v>
      </c>
      <c r="AJ153">
        <v>3</v>
      </c>
      <c r="AK153">
        <v>16.600000000000001</v>
      </c>
      <c r="AL153">
        <v>9.8000000000000007</v>
      </c>
      <c r="AM153">
        <v>9.1999999999999993</v>
      </c>
      <c r="AN153">
        <v>1.1000000000000001</v>
      </c>
      <c r="AO153">
        <v>1.1000000000000001</v>
      </c>
      <c r="AP153">
        <v>8</v>
      </c>
      <c r="AQ153">
        <v>19.5</v>
      </c>
      <c r="AR153">
        <v>1.1000000000000001</v>
      </c>
      <c r="AS153">
        <v>1</v>
      </c>
      <c r="AT153">
        <v>2.1</v>
      </c>
      <c r="AU153">
        <v>9.5000000000000001E-2</v>
      </c>
      <c r="AV153">
        <v>0.3</v>
      </c>
      <c r="AW153">
        <v>-0.8</v>
      </c>
      <c r="AX153">
        <v>-0.5</v>
      </c>
      <c r="AY153">
        <v>0.4</v>
      </c>
      <c r="AZ153" s="8">
        <v>0.8</v>
      </c>
      <c r="BA153" s="8">
        <v>0.14958079980853659</v>
      </c>
      <c r="BB153" s="3">
        <v>0</v>
      </c>
    </row>
    <row r="154" spans="1:54" x14ac:dyDescent="0.25">
      <c r="A154" t="s">
        <v>293</v>
      </c>
      <c r="B154" s="2">
        <v>4437000</v>
      </c>
      <c r="C154" t="s">
        <v>62</v>
      </c>
      <c r="D154">
        <v>22</v>
      </c>
      <c r="E154" t="s">
        <v>175</v>
      </c>
      <c r="F154">
        <v>38</v>
      </c>
      <c r="G154">
        <v>32</v>
      </c>
      <c r="H154">
        <v>31</v>
      </c>
      <c r="I154">
        <v>6.9</v>
      </c>
      <c r="J154">
        <v>15.7</v>
      </c>
      <c r="K154">
        <v>0.439</v>
      </c>
      <c r="L154">
        <v>2.7</v>
      </c>
      <c r="M154">
        <v>7</v>
      </c>
      <c r="N154">
        <v>0.38700000000000001</v>
      </c>
      <c r="O154">
        <v>4.2</v>
      </c>
      <c r="P154">
        <v>8.6999999999999993</v>
      </c>
      <c r="Q154">
        <v>0.48</v>
      </c>
      <c r="R154">
        <v>0.52500000000000002</v>
      </c>
      <c r="S154">
        <v>2.1</v>
      </c>
      <c r="T154">
        <v>2.6</v>
      </c>
      <c r="U154">
        <v>0.78</v>
      </c>
      <c r="V154">
        <v>0.2</v>
      </c>
      <c r="W154">
        <v>3.7</v>
      </c>
      <c r="X154">
        <v>3.9</v>
      </c>
      <c r="Y154">
        <v>3.6</v>
      </c>
      <c r="Z154">
        <v>1.1000000000000001</v>
      </c>
      <c r="AA154">
        <v>0.4</v>
      </c>
      <c r="AB154">
        <v>1.5</v>
      </c>
      <c r="AC154">
        <v>1.5</v>
      </c>
      <c r="AD154">
        <v>18.5</v>
      </c>
      <c r="AE154">
        <v>1178</v>
      </c>
      <c r="AF154">
        <v>15.5</v>
      </c>
      <c r="AG154">
        <v>0.55000000000000004</v>
      </c>
      <c r="AH154">
        <v>0.44700000000000001</v>
      </c>
      <c r="AI154">
        <v>0.16800000000000001</v>
      </c>
      <c r="AJ154">
        <v>0.7</v>
      </c>
      <c r="AK154">
        <v>13.5</v>
      </c>
      <c r="AL154">
        <v>6.9</v>
      </c>
      <c r="AM154">
        <v>17.3</v>
      </c>
      <c r="AN154">
        <v>1.7</v>
      </c>
      <c r="AO154">
        <v>1.2</v>
      </c>
      <c r="AP154">
        <v>8.1999999999999993</v>
      </c>
      <c r="AQ154">
        <v>24.4</v>
      </c>
      <c r="AR154">
        <v>0.7</v>
      </c>
      <c r="AS154">
        <v>0.5</v>
      </c>
      <c r="AT154">
        <v>1.2</v>
      </c>
      <c r="AU154">
        <v>5.0999999999999997E-2</v>
      </c>
      <c r="AV154">
        <v>1.3</v>
      </c>
      <c r="AW154">
        <v>-0.9</v>
      </c>
      <c r="AX154">
        <v>0.4</v>
      </c>
      <c r="AY154">
        <v>0.7</v>
      </c>
      <c r="AZ154" s="8">
        <v>0.8</v>
      </c>
      <c r="BA154" s="8">
        <v>0.18030200585981518</v>
      </c>
      <c r="BB154" s="3">
        <v>0</v>
      </c>
    </row>
    <row r="155" spans="1:54" x14ac:dyDescent="0.25">
      <c r="A155" t="s">
        <v>294</v>
      </c>
      <c r="B155" s="2">
        <v>4379526</v>
      </c>
      <c r="C155" t="s">
        <v>62</v>
      </c>
      <c r="D155">
        <v>25</v>
      </c>
      <c r="E155" t="s">
        <v>70</v>
      </c>
      <c r="F155">
        <v>71</v>
      </c>
      <c r="G155">
        <v>28</v>
      </c>
      <c r="H155">
        <v>16.899999999999999</v>
      </c>
      <c r="I155">
        <v>1.5</v>
      </c>
      <c r="J155">
        <v>3.6</v>
      </c>
      <c r="K155">
        <v>0.435</v>
      </c>
      <c r="L155">
        <v>0.8</v>
      </c>
      <c r="M155">
        <v>2.1</v>
      </c>
      <c r="N155">
        <v>0.36499999999999999</v>
      </c>
      <c r="O155">
        <v>0.8</v>
      </c>
      <c r="P155">
        <v>1.5</v>
      </c>
      <c r="Q155">
        <v>0.53300000000000003</v>
      </c>
      <c r="R155">
        <v>0.54200000000000004</v>
      </c>
      <c r="S155">
        <v>0.3</v>
      </c>
      <c r="T155">
        <v>0.4</v>
      </c>
      <c r="U155">
        <v>0.67900000000000005</v>
      </c>
      <c r="V155">
        <v>0.6</v>
      </c>
      <c r="W155">
        <v>1.4</v>
      </c>
      <c r="X155">
        <v>2</v>
      </c>
      <c r="Y155">
        <v>0.7</v>
      </c>
      <c r="Z155">
        <v>1.2</v>
      </c>
      <c r="AA155">
        <v>0.5</v>
      </c>
      <c r="AB155">
        <v>0.3</v>
      </c>
      <c r="AC155">
        <v>1.6</v>
      </c>
      <c r="AD155">
        <v>4.0999999999999996</v>
      </c>
      <c r="AE155">
        <v>1200</v>
      </c>
      <c r="AF155">
        <v>10.5</v>
      </c>
      <c r="AG155">
        <v>0.55200000000000005</v>
      </c>
      <c r="AH155">
        <v>0.58499999999999996</v>
      </c>
      <c r="AI155">
        <v>0.111</v>
      </c>
      <c r="AJ155">
        <v>3.9</v>
      </c>
      <c r="AK155">
        <v>9.6999999999999993</v>
      </c>
      <c r="AL155">
        <v>6.8</v>
      </c>
      <c r="AM155">
        <v>5.9</v>
      </c>
      <c r="AN155">
        <v>3.4</v>
      </c>
      <c r="AO155">
        <v>2.4</v>
      </c>
      <c r="AP155">
        <v>8.3000000000000007</v>
      </c>
      <c r="AQ155">
        <v>10.6</v>
      </c>
      <c r="AR155">
        <v>0.6</v>
      </c>
      <c r="AS155">
        <v>1.5</v>
      </c>
      <c r="AT155">
        <v>2.1</v>
      </c>
      <c r="AU155">
        <v>8.5999999999999993E-2</v>
      </c>
      <c r="AV155">
        <v>-2.7</v>
      </c>
      <c r="AW155">
        <v>2.2000000000000002</v>
      </c>
      <c r="AX155">
        <v>-0.5</v>
      </c>
      <c r="AY155">
        <v>0.4</v>
      </c>
      <c r="AZ155" s="8">
        <v>0.8</v>
      </c>
      <c r="BA155" s="8">
        <v>0.18266817002570598</v>
      </c>
      <c r="BB155" s="3">
        <v>0</v>
      </c>
    </row>
    <row r="156" spans="1:54" x14ac:dyDescent="0.25">
      <c r="A156" t="s">
        <v>361</v>
      </c>
      <c r="B156" s="2">
        <v>2625000</v>
      </c>
      <c r="C156" t="s">
        <v>28</v>
      </c>
      <c r="D156">
        <v>27</v>
      </c>
      <c r="E156" t="s">
        <v>116</v>
      </c>
      <c r="F156">
        <v>74</v>
      </c>
      <c r="G156">
        <v>0</v>
      </c>
      <c r="H156">
        <v>16.899999999999999</v>
      </c>
      <c r="I156">
        <v>2.5</v>
      </c>
      <c r="J156">
        <v>5.5</v>
      </c>
      <c r="K156">
        <v>0.45800000000000002</v>
      </c>
      <c r="L156">
        <v>1.2</v>
      </c>
      <c r="M156">
        <v>3.2</v>
      </c>
      <c r="N156">
        <v>0.36299999999999999</v>
      </c>
      <c r="O156">
        <v>1.4</v>
      </c>
      <c r="P156">
        <v>2.2999999999999998</v>
      </c>
      <c r="Q156">
        <v>0.59499999999999997</v>
      </c>
      <c r="R156">
        <v>0.56499999999999995</v>
      </c>
      <c r="S156">
        <v>1.4</v>
      </c>
      <c r="T156">
        <v>1.7</v>
      </c>
      <c r="U156">
        <v>0.81499999999999995</v>
      </c>
      <c r="V156">
        <v>0.9</v>
      </c>
      <c r="W156">
        <v>3.1</v>
      </c>
      <c r="X156">
        <v>4.0999999999999996</v>
      </c>
      <c r="Y156">
        <v>0.9</v>
      </c>
      <c r="Z156">
        <v>0.4</v>
      </c>
      <c r="AA156">
        <v>0.4</v>
      </c>
      <c r="AB156">
        <v>0.9</v>
      </c>
      <c r="AC156">
        <v>1.3</v>
      </c>
      <c r="AD156">
        <v>7.6</v>
      </c>
      <c r="AE156">
        <v>1247</v>
      </c>
      <c r="AF156">
        <v>14.2</v>
      </c>
      <c r="AG156">
        <v>0.60699999999999998</v>
      </c>
      <c r="AH156">
        <v>0.58799999999999997</v>
      </c>
      <c r="AI156">
        <v>0.30399999999999999</v>
      </c>
      <c r="AJ156">
        <v>6.3</v>
      </c>
      <c r="AK156">
        <v>21.1</v>
      </c>
      <c r="AL156">
        <v>13.7</v>
      </c>
      <c r="AM156">
        <v>7</v>
      </c>
      <c r="AN156">
        <v>1</v>
      </c>
      <c r="AO156">
        <v>2.2000000000000002</v>
      </c>
      <c r="AP156">
        <v>12.2</v>
      </c>
      <c r="AQ156">
        <v>18.100000000000001</v>
      </c>
      <c r="AR156">
        <v>1.4</v>
      </c>
      <c r="AS156">
        <v>1.2</v>
      </c>
      <c r="AT156">
        <v>2.6</v>
      </c>
      <c r="AU156">
        <v>9.8000000000000004E-2</v>
      </c>
      <c r="AV156">
        <v>0</v>
      </c>
      <c r="AW156">
        <v>-0.9</v>
      </c>
      <c r="AX156">
        <v>-1</v>
      </c>
      <c r="AY156">
        <v>0.3</v>
      </c>
      <c r="AZ156" s="8">
        <v>0.8</v>
      </c>
      <c r="BA156" s="8">
        <v>0.30476190476190479</v>
      </c>
      <c r="BB156" s="3">
        <v>0</v>
      </c>
    </row>
    <row r="157" spans="1:54" x14ac:dyDescent="0.25">
      <c r="A157" t="s">
        <v>179</v>
      </c>
      <c r="B157" s="2">
        <v>13000000</v>
      </c>
      <c r="C157" t="s">
        <v>62</v>
      </c>
      <c r="D157">
        <v>28</v>
      </c>
      <c r="E157" t="s">
        <v>152</v>
      </c>
      <c r="F157">
        <v>48</v>
      </c>
      <c r="G157">
        <v>42</v>
      </c>
      <c r="H157">
        <v>24.7</v>
      </c>
      <c r="I157">
        <v>2.9</v>
      </c>
      <c r="J157">
        <v>6.4</v>
      </c>
      <c r="K157">
        <v>0.45</v>
      </c>
      <c r="L157">
        <v>2</v>
      </c>
      <c r="M157">
        <v>4.5</v>
      </c>
      <c r="N157">
        <v>0.43099999999999999</v>
      </c>
      <c r="O157">
        <v>0.9</v>
      </c>
      <c r="P157">
        <v>1.9</v>
      </c>
      <c r="Q157">
        <v>0.49399999999999999</v>
      </c>
      <c r="R157">
        <v>0.60299999999999998</v>
      </c>
      <c r="S157">
        <v>0.6</v>
      </c>
      <c r="T157">
        <v>0.6</v>
      </c>
      <c r="U157">
        <v>0.9</v>
      </c>
      <c r="V157">
        <v>0.4</v>
      </c>
      <c r="W157">
        <v>1.6</v>
      </c>
      <c r="X157">
        <v>2</v>
      </c>
      <c r="Y157">
        <v>1.2</v>
      </c>
      <c r="Z157">
        <v>0.9</v>
      </c>
      <c r="AA157">
        <v>0.3</v>
      </c>
      <c r="AB157">
        <v>0.6</v>
      </c>
      <c r="AC157">
        <v>1.9</v>
      </c>
      <c r="AD157">
        <v>8.3000000000000007</v>
      </c>
      <c r="AE157">
        <v>1184</v>
      </c>
      <c r="AF157">
        <v>10.5</v>
      </c>
      <c r="AG157">
        <v>0.62</v>
      </c>
      <c r="AH157">
        <v>0.71</v>
      </c>
      <c r="AI157">
        <v>9.8000000000000004E-2</v>
      </c>
      <c r="AJ157">
        <v>2</v>
      </c>
      <c r="AK157">
        <v>7.4</v>
      </c>
      <c r="AL157">
        <v>4.7</v>
      </c>
      <c r="AM157">
        <v>6.9</v>
      </c>
      <c r="AN157">
        <v>1.8</v>
      </c>
      <c r="AO157">
        <v>1</v>
      </c>
      <c r="AP157">
        <v>8</v>
      </c>
      <c r="AQ157">
        <v>12.6</v>
      </c>
      <c r="AR157">
        <v>1.3</v>
      </c>
      <c r="AS157">
        <v>1.1000000000000001</v>
      </c>
      <c r="AT157">
        <v>2.2999999999999998</v>
      </c>
      <c r="AU157">
        <v>9.5000000000000001E-2</v>
      </c>
      <c r="AV157">
        <v>-1.4</v>
      </c>
      <c r="AW157">
        <v>0.7</v>
      </c>
      <c r="AX157">
        <v>-0.7</v>
      </c>
      <c r="AY157">
        <v>0.4</v>
      </c>
      <c r="AZ157" s="8">
        <v>0.79999999999999993</v>
      </c>
      <c r="BA157" s="8">
        <v>6.1538461538461528E-2</v>
      </c>
      <c r="BB157" s="3">
        <v>0</v>
      </c>
    </row>
    <row r="158" spans="1:54" x14ac:dyDescent="0.25">
      <c r="A158" t="s">
        <v>254</v>
      </c>
      <c r="B158" s="2">
        <v>6479000</v>
      </c>
      <c r="C158" t="s">
        <v>65</v>
      </c>
      <c r="D158">
        <v>35</v>
      </c>
      <c r="E158" t="s">
        <v>68</v>
      </c>
      <c r="F158">
        <v>46</v>
      </c>
      <c r="G158">
        <v>0</v>
      </c>
      <c r="H158">
        <v>22.7</v>
      </c>
      <c r="I158">
        <v>2.2999999999999998</v>
      </c>
      <c r="J158">
        <v>5.4</v>
      </c>
      <c r="K158">
        <v>0.435</v>
      </c>
      <c r="L158">
        <v>1.8</v>
      </c>
      <c r="M158">
        <v>4.4000000000000004</v>
      </c>
      <c r="N158">
        <v>0.40899999999999997</v>
      </c>
      <c r="O158">
        <v>0.5</v>
      </c>
      <c r="P158">
        <v>1</v>
      </c>
      <c r="Q158">
        <v>0.55600000000000005</v>
      </c>
      <c r="R158">
        <v>0.60299999999999998</v>
      </c>
      <c r="S158">
        <v>0.4</v>
      </c>
      <c r="T158">
        <v>0.5</v>
      </c>
      <c r="U158">
        <v>0.85699999999999998</v>
      </c>
      <c r="V158">
        <v>0.3</v>
      </c>
      <c r="W158">
        <v>2.5</v>
      </c>
      <c r="X158">
        <v>2.8</v>
      </c>
      <c r="Y158">
        <v>3.3</v>
      </c>
      <c r="Z158">
        <v>0.7</v>
      </c>
      <c r="AA158">
        <v>0.1</v>
      </c>
      <c r="AB158">
        <v>1.2</v>
      </c>
      <c r="AC158">
        <v>1.6</v>
      </c>
      <c r="AD158">
        <v>6.9</v>
      </c>
      <c r="AE158">
        <v>1044</v>
      </c>
      <c r="AF158">
        <v>10.7</v>
      </c>
      <c r="AG158">
        <v>0.61599999999999999</v>
      </c>
      <c r="AH158">
        <v>0.81899999999999995</v>
      </c>
      <c r="AI158">
        <v>8.5000000000000006E-2</v>
      </c>
      <c r="AJ158">
        <v>1.4</v>
      </c>
      <c r="AK158">
        <v>11.1</v>
      </c>
      <c r="AL158">
        <v>6.4</v>
      </c>
      <c r="AM158">
        <v>18.399999999999999</v>
      </c>
      <c r="AN158">
        <v>1.5</v>
      </c>
      <c r="AO158">
        <v>0.5</v>
      </c>
      <c r="AP158">
        <v>17.600000000000001</v>
      </c>
      <c r="AQ158">
        <v>12.6</v>
      </c>
      <c r="AR158">
        <v>1.1000000000000001</v>
      </c>
      <c r="AS158">
        <v>1.2</v>
      </c>
      <c r="AT158">
        <v>2.2999999999999998</v>
      </c>
      <c r="AU158">
        <v>0.107</v>
      </c>
      <c r="AV158">
        <v>-1.6</v>
      </c>
      <c r="AW158">
        <v>0.8</v>
      </c>
      <c r="AX158">
        <v>-0.7</v>
      </c>
      <c r="AY158">
        <v>0.3</v>
      </c>
      <c r="AZ158" s="8">
        <v>0.79999999999999993</v>
      </c>
      <c r="BA158" s="8">
        <v>0.12347584503781446</v>
      </c>
      <c r="BB158" s="3">
        <v>0</v>
      </c>
    </row>
    <row r="159" spans="1:54" x14ac:dyDescent="0.25">
      <c r="A159" t="s">
        <v>145</v>
      </c>
      <c r="B159" s="2">
        <v>18642857</v>
      </c>
      <c r="C159" t="s">
        <v>65</v>
      </c>
      <c r="D159">
        <v>31</v>
      </c>
      <c r="E159" t="s">
        <v>89</v>
      </c>
      <c r="F159">
        <v>74</v>
      </c>
      <c r="G159">
        <v>33</v>
      </c>
      <c r="H159">
        <v>20.6</v>
      </c>
      <c r="I159">
        <v>2.7</v>
      </c>
      <c r="J159">
        <v>5.9</v>
      </c>
      <c r="K159">
        <v>0.45700000000000002</v>
      </c>
      <c r="L159">
        <v>1.9</v>
      </c>
      <c r="M159">
        <v>4.5</v>
      </c>
      <c r="N159">
        <v>0.42599999999999999</v>
      </c>
      <c r="O159">
        <v>0.8</v>
      </c>
      <c r="P159">
        <v>1.4</v>
      </c>
      <c r="Q159">
        <v>0.55100000000000005</v>
      </c>
      <c r="R159">
        <v>0.61799999999999999</v>
      </c>
      <c r="S159">
        <v>0.2</v>
      </c>
      <c r="T159">
        <v>0.4</v>
      </c>
      <c r="U159">
        <v>0.64300000000000002</v>
      </c>
      <c r="V159">
        <v>0.3</v>
      </c>
      <c r="W159">
        <v>1.9</v>
      </c>
      <c r="X159">
        <v>2.2000000000000002</v>
      </c>
      <c r="Y159">
        <v>1.4</v>
      </c>
      <c r="Z159">
        <v>0.5</v>
      </c>
      <c r="AA159">
        <v>0.2</v>
      </c>
      <c r="AB159">
        <v>0.6</v>
      </c>
      <c r="AC159">
        <v>1.9</v>
      </c>
      <c r="AD159">
        <v>7.6</v>
      </c>
      <c r="AE159">
        <v>1527</v>
      </c>
      <c r="AF159">
        <v>10.6</v>
      </c>
      <c r="AG159">
        <v>0.621</v>
      </c>
      <c r="AH159">
        <v>0.75700000000000001</v>
      </c>
      <c r="AI159">
        <v>6.4000000000000001E-2</v>
      </c>
      <c r="AJ159">
        <v>1.7</v>
      </c>
      <c r="AK159">
        <v>10.1</v>
      </c>
      <c r="AL159">
        <v>6</v>
      </c>
      <c r="AM159">
        <v>9.1</v>
      </c>
      <c r="AN159">
        <v>1.1000000000000001</v>
      </c>
      <c r="AO159">
        <v>0.7</v>
      </c>
      <c r="AP159">
        <v>8.3000000000000007</v>
      </c>
      <c r="AQ159">
        <v>14.3</v>
      </c>
      <c r="AR159">
        <v>1.5</v>
      </c>
      <c r="AS159">
        <v>1.1000000000000001</v>
      </c>
      <c r="AT159">
        <v>2.6</v>
      </c>
      <c r="AU159">
        <v>8.3000000000000004E-2</v>
      </c>
      <c r="AV159">
        <v>-0.6</v>
      </c>
      <c r="AW159">
        <v>-0.6</v>
      </c>
      <c r="AX159">
        <v>-1.1000000000000001</v>
      </c>
      <c r="AY159">
        <v>0.3</v>
      </c>
      <c r="AZ159" s="8">
        <v>0.75</v>
      </c>
      <c r="BA159" s="8">
        <v>4.0229885365746246E-2</v>
      </c>
      <c r="BB159" s="3">
        <v>0</v>
      </c>
    </row>
    <row r="160" spans="1:54" x14ac:dyDescent="0.25">
      <c r="A160" t="s">
        <v>268</v>
      </c>
      <c r="B160" s="2">
        <v>5728393</v>
      </c>
      <c r="C160" t="s">
        <v>65</v>
      </c>
      <c r="D160">
        <v>30</v>
      </c>
      <c r="E160" t="s">
        <v>68</v>
      </c>
      <c r="F160">
        <v>61</v>
      </c>
      <c r="G160">
        <v>33</v>
      </c>
      <c r="H160">
        <v>23.7</v>
      </c>
      <c r="I160">
        <v>2.7</v>
      </c>
      <c r="J160">
        <v>6.9</v>
      </c>
      <c r="K160">
        <v>0.39200000000000002</v>
      </c>
      <c r="L160">
        <v>1.8</v>
      </c>
      <c r="M160">
        <v>5.3</v>
      </c>
      <c r="N160">
        <v>0.33900000000000002</v>
      </c>
      <c r="O160">
        <v>0.9</v>
      </c>
      <c r="P160">
        <v>1.6</v>
      </c>
      <c r="Q160">
        <v>0.56599999999999995</v>
      </c>
      <c r="R160">
        <v>0.52100000000000002</v>
      </c>
      <c r="S160">
        <v>0.4</v>
      </c>
      <c r="T160">
        <v>0.7</v>
      </c>
      <c r="U160">
        <v>0.65900000000000003</v>
      </c>
      <c r="V160">
        <v>0.8</v>
      </c>
      <c r="W160">
        <v>3.8</v>
      </c>
      <c r="X160">
        <v>4.5999999999999996</v>
      </c>
      <c r="Y160">
        <v>1.3</v>
      </c>
      <c r="Z160">
        <v>0.6</v>
      </c>
      <c r="AA160">
        <v>0.2</v>
      </c>
      <c r="AB160">
        <v>0.5</v>
      </c>
      <c r="AC160">
        <v>1.1000000000000001</v>
      </c>
      <c r="AD160">
        <v>7.6</v>
      </c>
      <c r="AE160">
        <v>1443</v>
      </c>
      <c r="AF160">
        <v>10</v>
      </c>
      <c r="AG160">
        <v>0.53100000000000003</v>
      </c>
      <c r="AH160">
        <v>0.76500000000000001</v>
      </c>
      <c r="AI160">
        <v>9.7000000000000003E-2</v>
      </c>
      <c r="AJ160">
        <v>3.8</v>
      </c>
      <c r="AK160">
        <v>16.2</v>
      </c>
      <c r="AL160">
        <v>10.199999999999999</v>
      </c>
      <c r="AM160">
        <v>6.9</v>
      </c>
      <c r="AN160">
        <v>1.2</v>
      </c>
      <c r="AO160">
        <v>0.6</v>
      </c>
      <c r="AP160">
        <v>7</v>
      </c>
      <c r="AQ160">
        <v>13.8</v>
      </c>
      <c r="AR160">
        <v>0.7</v>
      </c>
      <c r="AS160">
        <v>1.8</v>
      </c>
      <c r="AT160">
        <v>2.5</v>
      </c>
      <c r="AU160">
        <v>8.5000000000000006E-2</v>
      </c>
      <c r="AV160">
        <v>-1.3</v>
      </c>
      <c r="AW160">
        <v>0.3</v>
      </c>
      <c r="AX160">
        <v>-1</v>
      </c>
      <c r="AY160">
        <v>0.3</v>
      </c>
      <c r="AZ160" s="8">
        <v>0.75</v>
      </c>
      <c r="BA160" s="8">
        <v>0.1309267712602819</v>
      </c>
      <c r="BB160" s="3">
        <v>0</v>
      </c>
    </row>
    <row r="161" spans="1:54" x14ac:dyDescent="0.25">
      <c r="A161" t="s">
        <v>321</v>
      </c>
      <c r="B161" s="2">
        <v>3536160</v>
      </c>
      <c r="C161" t="s">
        <v>65</v>
      </c>
      <c r="D161">
        <v>19</v>
      </c>
      <c r="E161" t="s">
        <v>85</v>
      </c>
      <c r="F161">
        <v>72</v>
      </c>
      <c r="G161">
        <v>12</v>
      </c>
      <c r="H161">
        <v>19.5</v>
      </c>
      <c r="I161">
        <v>3.4</v>
      </c>
      <c r="J161">
        <v>7.4</v>
      </c>
      <c r="K161">
        <v>0.46500000000000002</v>
      </c>
      <c r="L161">
        <v>1.4</v>
      </c>
      <c r="M161">
        <v>3.6</v>
      </c>
      <c r="N161">
        <v>0.39</v>
      </c>
      <c r="O161">
        <v>2</v>
      </c>
      <c r="P161">
        <v>3.8</v>
      </c>
      <c r="Q161">
        <v>0.53600000000000003</v>
      </c>
      <c r="R161">
        <v>0.56000000000000005</v>
      </c>
      <c r="S161">
        <v>0.6</v>
      </c>
      <c r="T161">
        <v>0.7</v>
      </c>
      <c r="U161">
        <v>0.89400000000000002</v>
      </c>
      <c r="V161">
        <v>0.5</v>
      </c>
      <c r="W161">
        <v>1.6</v>
      </c>
      <c r="X161">
        <v>2.1</v>
      </c>
      <c r="Y161">
        <v>1</v>
      </c>
      <c r="Z161">
        <v>0.6</v>
      </c>
      <c r="AA161">
        <v>0.2</v>
      </c>
      <c r="AB161">
        <v>0.6</v>
      </c>
      <c r="AC161">
        <v>1.2</v>
      </c>
      <c r="AD161">
        <v>8.9</v>
      </c>
      <c r="AE161">
        <v>1401</v>
      </c>
      <c r="AF161">
        <v>12.6</v>
      </c>
      <c r="AG161">
        <v>0.57699999999999996</v>
      </c>
      <c r="AH161">
        <v>0.48599999999999999</v>
      </c>
      <c r="AI161">
        <v>8.7999999999999995E-2</v>
      </c>
      <c r="AJ161">
        <v>2.9</v>
      </c>
      <c r="AK161">
        <v>9.1999999999999993</v>
      </c>
      <c r="AL161">
        <v>6</v>
      </c>
      <c r="AM161">
        <v>7</v>
      </c>
      <c r="AN161">
        <v>1.4</v>
      </c>
      <c r="AO161">
        <v>0.7</v>
      </c>
      <c r="AP161">
        <v>7.1</v>
      </c>
      <c r="AQ161">
        <v>17.899999999999999</v>
      </c>
      <c r="AR161">
        <v>1.3</v>
      </c>
      <c r="AS161">
        <v>0.9</v>
      </c>
      <c r="AT161">
        <v>2.2000000000000002</v>
      </c>
      <c r="AU161">
        <v>7.4999999999999997E-2</v>
      </c>
      <c r="AV161">
        <v>-0.3</v>
      </c>
      <c r="AW161">
        <v>-0.5</v>
      </c>
      <c r="AX161">
        <v>-0.8</v>
      </c>
      <c r="AY161">
        <v>0.4</v>
      </c>
      <c r="AZ161" s="8">
        <v>0.70000000000000007</v>
      </c>
      <c r="BA161" s="8">
        <v>0.19795484367223207</v>
      </c>
      <c r="BB161" s="3">
        <v>0</v>
      </c>
    </row>
    <row r="162" spans="1:54" x14ac:dyDescent="0.25">
      <c r="A162" t="s">
        <v>132</v>
      </c>
      <c r="B162" s="2">
        <v>22321429</v>
      </c>
      <c r="C162" t="s">
        <v>62</v>
      </c>
      <c r="D162">
        <v>23</v>
      </c>
      <c r="E162" t="s">
        <v>70</v>
      </c>
      <c r="F162">
        <v>62</v>
      </c>
      <c r="G162">
        <v>62</v>
      </c>
      <c r="H162">
        <v>35</v>
      </c>
      <c r="I162">
        <v>7.5</v>
      </c>
      <c r="J162">
        <v>16.899999999999999</v>
      </c>
      <c r="K162">
        <v>0.44700000000000001</v>
      </c>
      <c r="L162">
        <v>3.4</v>
      </c>
      <c r="M162">
        <v>9.1</v>
      </c>
      <c r="N162">
        <v>0.377</v>
      </c>
      <c r="O162">
        <v>4.0999999999999996</v>
      </c>
      <c r="P162">
        <v>7.8</v>
      </c>
      <c r="Q162">
        <v>0.52800000000000002</v>
      </c>
      <c r="R162">
        <v>0.54800000000000004</v>
      </c>
      <c r="S162">
        <v>2.6</v>
      </c>
      <c r="T162">
        <v>2.9</v>
      </c>
      <c r="U162">
        <v>0.89400000000000002</v>
      </c>
      <c r="V162">
        <v>0.3</v>
      </c>
      <c r="W162">
        <v>2.2999999999999998</v>
      </c>
      <c r="X162">
        <v>2.6</v>
      </c>
      <c r="Y162">
        <v>4.0999999999999996</v>
      </c>
      <c r="Z162">
        <v>0.7</v>
      </c>
      <c r="AA162">
        <v>0.2</v>
      </c>
      <c r="AB162">
        <v>2.1</v>
      </c>
      <c r="AC162">
        <v>2.2999999999999998</v>
      </c>
      <c r="AD162">
        <v>21.1</v>
      </c>
      <c r="AE162">
        <v>2171</v>
      </c>
      <c r="AF162">
        <v>14.8</v>
      </c>
      <c r="AG162">
        <v>0.58099999999999996</v>
      </c>
      <c r="AH162">
        <v>0.53800000000000003</v>
      </c>
      <c r="AI162">
        <v>0.17100000000000001</v>
      </c>
      <c r="AJ162">
        <v>0.9</v>
      </c>
      <c r="AK162">
        <v>7.6</v>
      </c>
      <c r="AL162">
        <v>4.3</v>
      </c>
      <c r="AM162">
        <v>18.600000000000001</v>
      </c>
      <c r="AN162">
        <v>0.9</v>
      </c>
      <c r="AO162">
        <v>0.6</v>
      </c>
      <c r="AP162">
        <v>10.199999999999999</v>
      </c>
      <c r="AQ162">
        <v>25.1</v>
      </c>
      <c r="AR162">
        <v>2.1</v>
      </c>
      <c r="AS162">
        <v>0.3</v>
      </c>
      <c r="AT162">
        <v>2.5</v>
      </c>
      <c r="AU162">
        <v>5.3999999999999999E-2</v>
      </c>
      <c r="AV162">
        <v>1.3</v>
      </c>
      <c r="AW162">
        <v>-2.5</v>
      </c>
      <c r="AX162">
        <v>-1.1000000000000001</v>
      </c>
      <c r="AY162">
        <v>0.5</v>
      </c>
      <c r="AZ162" s="8">
        <v>0.7</v>
      </c>
      <c r="BA162" s="8">
        <v>3.1359999397888014E-2</v>
      </c>
      <c r="BB162" s="3">
        <v>0</v>
      </c>
    </row>
    <row r="163" spans="1:54" x14ac:dyDescent="0.25">
      <c r="A163" t="s">
        <v>384</v>
      </c>
      <c r="B163" s="2">
        <v>2200000</v>
      </c>
      <c r="C163" t="s">
        <v>28</v>
      </c>
      <c r="D163">
        <v>23</v>
      </c>
      <c r="E163" t="s">
        <v>152</v>
      </c>
      <c r="F163">
        <v>70</v>
      </c>
      <c r="G163">
        <v>33</v>
      </c>
      <c r="H163">
        <v>21.5</v>
      </c>
      <c r="I163">
        <v>3.7</v>
      </c>
      <c r="J163">
        <v>6.8</v>
      </c>
      <c r="K163">
        <v>0.54600000000000004</v>
      </c>
      <c r="L163">
        <v>0.4</v>
      </c>
      <c r="M163">
        <v>1.6</v>
      </c>
      <c r="N163">
        <v>0.26500000000000001</v>
      </c>
      <c r="O163">
        <v>3.3</v>
      </c>
      <c r="P163">
        <v>5.2</v>
      </c>
      <c r="Q163">
        <v>0.63300000000000001</v>
      </c>
      <c r="R163">
        <v>0.57699999999999996</v>
      </c>
      <c r="S163">
        <v>1.2</v>
      </c>
      <c r="T163">
        <v>1.5</v>
      </c>
      <c r="U163">
        <v>0.75900000000000001</v>
      </c>
      <c r="V163">
        <v>1</v>
      </c>
      <c r="W163">
        <v>4.8</v>
      </c>
      <c r="X163">
        <v>5.8</v>
      </c>
      <c r="Y163">
        <v>1</v>
      </c>
      <c r="Z163">
        <v>0.4</v>
      </c>
      <c r="AA163">
        <v>1.2</v>
      </c>
      <c r="AB163">
        <v>1.6</v>
      </c>
      <c r="AC163">
        <v>1.3</v>
      </c>
      <c r="AD163">
        <v>9.1</v>
      </c>
      <c r="AE163">
        <v>1505</v>
      </c>
      <c r="AF163">
        <v>14.4</v>
      </c>
      <c r="AG163">
        <v>0.60299999999999998</v>
      </c>
      <c r="AH163">
        <v>0.23599999999999999</v>
      </c>
      <c r="AI163">
        <v>0.22600000000000001</v>
      </c>
      <c r="AJ163">
        <v>5.2</v>
      </c>
      <c r="AK163">
        <v>25.3</v>
      </c>
      <c r="AL163">
        <v>15.2</v>
      </c>
      <c r="AM163">
        <v>6.9</v>
      </c>
      <c r="AN163">
        <v>1</v>
      </c>
      <c r="AO163">
        <v>5.5</v>
      </c>
      <c r="AP163">
        <v>17.600000000000001</v>
      </c>
      <c r="AQ163">
        <v>18.2</v>
      </c>
      <c r="AR163">
        <v>0</v>
      </c>
      <c r="AS163">
        <v>2.2000000000000002</v>
      </c>
      <c r="AT163">
        <v>2.2999999999999998</v>
      </c>
      <c r="AU163">
        <v>7.1999999999999995E-2</v>
      </c>
      <c r="AV163">
        <v>-1.8</v>
      </c>
      <c r="AW163">
        <v>0.9</v>
      </c>
      <c r="AX163">
        <v>-0.9</v>
      </c>
      <c r="AY163">
        <v>0.4</v>
      </c>
      <c r="AZ163" s="8">
        <v>0.7</v>
      </c>
      <c r="BA163" s="8">
        <v>0.31818181818181818</v>
      </c>
      <c r="BB163" s="3">
        <v>0</v>
      </c>
    </row>
    <row r="164" spans="1:54" x14ac:dyDescent="0.25">
      <c r="A164" t="s">
        <v>313</v>
      </c>
      <c r="B164" s="2">
        <v>3901399</v>
      </c>
      <c r="C164" t="s">
        <v>52</v>
      </c>
      <c r="D164">
        <v>23</v>
      </c>
      <c r="E164" t="s">
        <v>53</v>
      </c>
      <c r="F164">
        <v>82</v>
      </c>
      <c r="G164">
        <v>43</v>
      </c>
      <c r="H164">
        <v>30</v>
      </c>
      <c r="I164">
        <v>6.7</v>
      </c>
      <c r="J164">
        <v>15.6</v>
      </c>
      <c r="K164">
        <v>0.43</v>
      </c>
      <c r="L164">
        <v>2.6</v>
      </c>
      <c r="M164">
        <v>7.8</v>
      </c>
      <c r="N164">
        <v>0.33600000000000002</v>
      </c>
      <c r="O164">
        <v>4.0999999999999996</v>
      </c>
      <c r="P164">
        <v>7.8</v>
      </c>
      <c r="Q164">
        <v>0.52400000000000002</v>
      </c>
      <c r="R164">
        <v>0.51400000000000001</v>
      </c>
      <c r="S164">
        <v>4.4000000000000004</v>
      </c>
      <c r="T164">
        <v>5.0999999999999996</v>
      </c>
      <c r="U164">
        <v>0.87</v>
      </c>
      <c r="V164">
        <v>0.4</v>
      </c>
      <c r="W164">
        <v>2.4</v>
      </c>
      <c r="X164">
        <v>2.7</v>
      </c>
      <c r="Y164">
        <v>4.5</v>
      </c>
      <c r="Z164">
        <v>0.8</v>
      </c>
      <c r="AA164">
        <v>0.3</v>
      </c>
      <c r="AB164">
        <v>3.1</v>
      </c>
      <c r="AC164">
        <v>2.6</v>
      </c>
      <c r="AD164">
        <v>20.399999999999999</v>
      </c>
      <c r="AE164">
        <v>2458</v>
      </c>
      <c r="AF164">
        <v>14.6</v>
      </c>
      <c r="AG164">
        <v>0.57299999999999995</v>
      </c>
      <c r="AH164">
        <v>0.498</v>
      </c>
      <c r="AI164">
        <v>0.32500000000000001</v>
      </c>
      <c r="AJ164">
        <v>1.5</v>
      </c>
      <c r="AK164">
        <v>8.5</v>
      </c>
      <c r="AL164">
        <v>5</v>
      </c>
      <c r="AM164">
        <v>22.5</v>
      </c>
      <c r="AN164">
        <v>1.2</v>
      </c>
      <c r="AO164">
        <v>0.8</v>
      </c>
      <c r="AP164">
        <v>14.7</v>
      </c>
      <c r="AQ164">
        <v>29.2</v>
      </c>
      <c r="AR164">
        <v>1.4</v>
      </c>
      <c r="AS164">
        <v>1.9</v>
      </c>
      <c r="AT164">
        <v>3.2</v>
      </c>
      <c r="AU164">
        <v>6.3E-2</v>
      </c>
      <c r="AV164">
        <v>-0.1</v>
      </c>
      <c r="AW164">
        <v>-1.8</v>
      </c>
      <c r="AX164">
        <v>-1.9</v>
      </c>
      <c r="AY164">
        <v>0.1</v>
      </c>
      <c r="AZ164" s="8">
        <v>0.65000000000000013</v>
      </c>
      <c r="BA164" s="8">
        <v>0.16660690178061771</v>
      </c>
      <c r="BB164" s="3">
        <v>0</v>
      </c>
    </row>
    <row r="165" spans="1:54" x14ac:dyDescent="0.25">
      <c r="A165" t="s">
        <v>485</v>
      </c>
      <c r="B165" s="2">
        <v>694878</v>
      </c>
      <c r="C165" t="s">
        <v>65</v>
      </c>
      <c r="D165">
        <v>25</v>
      </c>
      <c r="E165" t="s">
        <v>53</v>
      </c>
      <c r="F165">
        <v>62</v>
      </c>
      <c r="G165">
        <v>4</v>
      </c>
      <c r="H165">
        <v>19.3</v>
      </c>
      <c r="I165">
        <v>2.4</v>
      </c>
      <c r="J165">
        <v>5.0999999999999996</v>
      </c>
      <c r="K165">
        <v>0.47099999999999997</v>
      </c>
      <c r="L165">
        <v>1.2</v>
      </c>
      <c r="M165">
        <v>3.2</v>
      </c>
      <c r="N165">
        <v>0.36699999999999999</v>
      </c>
      <c r="O165">
        <v>1.2</v>
      </c>
      <c r="P165">
        <v>1.9</v>
      </c>
      <c r="Q165">
        <v>0.65200000000000002</v>
      </c>
      <c r="R165">
        <v>0.58799999999999997</v>
      </c>
      <c r="S165">
        <v>0.7</v>
      </c>
      <c r="T165">
        <v>1</v>
      </c>
      <c r="U165">
        <v>0.76700000000000002</v>
      </c>
      <c r="V165">
        <v>0.9</v>
      </c>
      <c r="W165">
        <v>2.6</v>
      </c>
      <c r="X165">
        <v>3.5</v>
      </c>
      <c r="Y165">
        <v>1.5</v>
      </c>
      <c r="Z165">
        <v>0.5</v>
      </c>
      <c r="AA165">
        <v>0.3</v>
      </c>
      <c r="AB165">
        <v>0.9</v>
      </c>
      <c r="AC165">
        <v>2.2000000000000002</v>
      </c>
      <c r="AD165">
        <v>6.7</v>
      </c>
      <c r="AE165">
        <v>1195</v>
      </c>
      <c r="AF165">
        <v>10.9</v>
      </c>
      <c r="AG165">
        <v>0.61</v>
      </c>
      <c r="AH165">
        <v>0.63400000000000001</v>
      </c>
      <c r="AI165">
        <v>0.191</v>
      </c>
      <c r="AJ165">
        <v>5.3</v>
      </c>
      <c r="AK165">
        <v>14.4</v>
      </c>
      <c r="AL165">
        <v>9.9</v>
      </c>
      <c r="AM165">
        <v>10.5</v>
      </c>
      <c r="AN165">
        <v>1.1000000000000001</v>
      </c>
      <c r="AO165">
        <v>1.5</v>
      </c>
      <c r="AP165">
        <v>13.7</v>
      </c>
      <c r="AQ165">
        <v>13.8</v>
      </c>
      <c r="AR165">
        <v>1.2</v>
      </c>
      <c r="AS165">
        <v>1.2</v>
      </c>
      <c r="AT165">
        <v>2.4</v>
      </c>
      <c r="AU165">
        <v>9.6000000000000002E-2</v>
      </c>
      <c r="AV165">
        <v>-1.6</v>
      </c>
      <c r="AW165">
        <v>0.4</v>
      </c>
      <c r="AX165">
        <v>-1.1000000000000001</v>
      </c>
      <c r="AY165">
        <v>0.3</v>
      </c>
      <c r="AZ165" s="8">
        <v>0.64999999999999991</v>
      </c>
      <c r="BA165" s="8">
        <v>0.93541600108220424</v>
      </c>
      <c r="BB165" s="3">
        <v>0</v>
      </c>
    </row>
    <row r="166" spans="1:54" x14ac:dyDescent="0.25">
      <c r="A166" t="s">
        <v>160</v>
      </c>
      <c r="B166" s="2">
        <v>16700000</v>
      </c>
      <c r="C166" t="s">
        <v>52</v>
      </c>
      <c r="D166">
        <v>24</v>
      </c>
      <c r="E166" t="s">
        <v>130</v>
      </c>
      <c r="F166">
        <v>48</v>
      </c>
      <c r="G166">
        <v>15</v>
      </c>
      <c r="H166">
        <v>23.9</v>
      </c>
      <c r="I166">
        <v>4.9000000000000004</v>
      </c>
      <c r="J166">
        <v>9.8000000000000007</v>
      </c>
      <c r="K166">
        <v>0.50600000000000001</v>
      </c>
      <c r="L166">
        <v>1</v>
      </c>
      <c r="M166">
        <v>2.5</v>
      </c>
      <c r="N166">
        <v>0.39300000000000002</v>
      </c>
      <c r="O166">
        <v>3.9</v>
      </c>
      <c r="P166">
        <v>7.2</v>
      </c>
      <c r="Q166">
        <v>0.54600000000000004</v>
      </c>
      <c r="R166">
        <v>0.55800000000000005</v>
      </c>
      <c r="S166">
        <v>3.4</v>
      </c>
      <c r="T166">
        <v>4.0999999999999996</v>
      </c>
      <c r="U166">
        <v>0.81899999999999995</v>
      </c>
      <c r="V166">
        <v>0.8</v>
      </c>
      <c r="W166">
        <v>1.4</v>
      </c>
      <c r="X166">
        <v>2.2000000000000002</v>
      </c>
      <c r="Y166">
        <v>2.9</v>
      </c>
      <c r="Z166">
        <v>0.6</v>
      </c>
      <c r="AA166">
        <v>0.1</v>
      </c>
      <c r="AB166">
        <v>1.8</v>
      </c>
      <c r="AC166">
        <v>2.2999999999999998</v>
      </c>
      <c r="AD166">
        <v>14.3</v>
      </c>
      <c r="AE166">
        <v>1145</v>
      </c>
      <c r="AF166">
        <v>15.9</v>
      </c>
      <c r="AG166">
        <v>0.61599999999999999</v>
      </c>
      <c r="AH166">
        <v>0.26100000000000001</v>
      </c>
      <c r="AI166">
        <v>0.42499999999999999</v>
      </c>
      <c r="AJ166">
        <v>3.5</v>
      </c>
      <c r="AK166">
        <v>6.3</v>
      </c>
      <c r="AL166">
        <v>5</v>
      </c>
      <c r="AM166">
        <v>17.899999999999999</v>
      </c>
      <c r="AN166">
        <v>1.1000000000000001</v>
      </c>
      <c r="AO166">
        <v>0.4</v>
      </c>
      <c r="AP166">
        <v>13.3</v>
      </c>
      <c r="AQ166">
        <v>23.4</v>
      </c>
      <c r="AR166">
        <v>2</v>
      </c>
      <c r="AS166">
        <v>0.5</v>
      </c>
      <c r="AT166">
        <v>2.5</v>
      </c>
      <c r="AU166">
        <v>0.105</v>
      </c>
      <c r="AV166">
        <v>0.1</v>
      </c>
      <c r="AW166">
        <v>-1.5</v>
      </c>
      <c r="AX166">
        <v>-1.3</v>
      </c>
      <c r="AY166">
        <v>0.2</v>
      </c>
      <c r="AZ166" s="8">
        <v>0.6</v>
      </c>
      <c r="BA166" s="8">
        <v>3.5928143712574849E-2</v>
      </c>
      <c r="BB166" s="3">
        <v>0</v>
      </c>
    </row>
    <row r="167" spans="1:54" x14ac:dyDescent="0.25">
      <c r="A167" t="s">
        <v>133</v>
      </c>
      <c r="B167" s="2">
        <v>21486316</v>
      </c>
      <c r="C167" t="s">
        <v>62</v>
      </c>
      <c r="D167">
        <v>28</v>
      </c>
      <c r="E167" t="s">
        <v>118</v>
      </c>
      <c r="F167">
        <v>63</v>
      </c>
      <c r="G167">
        <v>63</v>
      </c>
      <c r="H167">
        <v>35.299999999999997</v>
      </c>
      <c r="I167">
        <v>7.8</v>
      </c>
      <c r="J167">
        <v>18.899999999999999</v>
      </c>
      <c r="K167">
        <v>0.41499999999999998</v>
      </c>
      <c r="L167">
        <v>2.6</v>
      </c>
      <c r="M167">
        <v>8</v>
      </c>
      <c r="N167">
        <v>0.32700000000000001</v>
      </c>
      <c r="O167">
        <v>5.2</v>
      </c>
      <c r="P167">
        <v>10.8</v>
      </c>
      <c r="Q167">
        <v>0.48</v>
      </c>
      <c r="R167">
        <v>0.48399999999999999</v>
      </c>
      <c r="S167">
        <v>2.8</v>
      </c>
      <c r="T167">
        <v>3.5</v>
      </c>
      <c r="U167">
        <v>0.80900000000000005</v>
      </c>
      <c r="V167">
        <v>0.8</v>
      </c>
      <c r="W167">
        <v>3.3</v>
      </c>
      <c r="X167">
        <v>4.0999999999999996</v>
      </c>
      <c r="Y167">
        <v>5.0999999999999996</v>
      </c>
      <c r="Z167">
        <v>1.2</v>
      </c>
      <c r="AA167">
        <v>0.3</v>
      </c>
      <c r="AB167">
        <v>2.1</v>
      </c>
      <c r="AC167">
        <v>1.9</v>
      </c>
      <c r="AD167">
        <v>21.1</v>
      </c>
      <c r="AE167">
        <v>2221</v>
      </c>
      <c r="AF167">
        <v>14.7</v>
      </c>
      <c r="AG167">
        <v>0.51700000000000002</v>
      </c>
      <c r="AH167">
        <v>0.42499999999999999</v>
      </c>
      <c r="AI167">
        <v>0.185</v>
      </c>
      <c r="AJ167">
        <v>2.4</v>
      </c>
      <c r="AK167">
        <v>10.199999999999999</v>
      </c>
      <c r="AL167">
        <v>6.2</v>
      </c>
      <c r="AM167">
        <v>22.7</v>
      </c>
      <c r="AN167">
        <v>1.6</v>
      </c>
      <c r="AO167">
        <v>0.6</v>
      </c>
      <c r="AP167">
        <v>9.4</v>
      </c>
      <c r="AQ167">
        <v>26.9</v>
      </c>
      <c r="AR167">
        <v>0.1</v>
      </c>
      <c r="AS167">
        <v>1.6</v>
      </c>
      <c r="AT167">
        <v>1.7</v>
      </c>
      <c r="AU167">
        <v>3.6999999999999998E-2</v>
      </c>
      <c r="AV167">
        <v>0.6</v>
      </c>
      <c r="AW167">
        <v>-1.1000000000000001</v>
      </c>
      <c r="AX167">
        <v>-0.6</v>
      </c>
      <c r="AY167">
        <v>0.8</v>
      </c>
      <c r="AZ167" s="8">
        <v>0.55000000000000004</v>
      </c>
      <c r="BA167" s="8">
        <v>2.5597687383914488E-2</v>
      </c>
      <c r="BB167" s="3">
        <v>0</v>
      </c>
    </row>
    <row r="168" spans="1:54" x14ac:dyDescent="0.25">
      <c r="A168" t="s">
        <v>323</v>
      </c>
      <c r="B168" s="2">
        <v>3465000</v>
      </c>
      <c r="C168" t="s">
        <v>28</v>
      </c>
      <c r="D168">
        <v>29</v>
      </c>
      <c r="E168" t="s">
        <v>82</v>
      </c>
      <c r="F168">
        <v>78</v>
      </c>
      <c r="G168">
        <v>1</v>
      </c>
      <c r="H168">
        <v>19.399999999999999</v>
      </c>
      <c r="I168">
        <v>2.8</v>
      </c>
      <c r="J168">
        <v>6.4</v>
      </c>
      <c r="K168">
        <v>0.442</v>
      </c>
      <c r="L168">
        <v>2</v>
      </c>
      <c r="M168">
        <v>4.9000000000000004</v>
      </c>
      <c r="N168">
        <v>0.40100000000000002</v>
      </c>
      <c r="O168">
        <v>0.9</v>
      </c>
      <c r="P168">
        <v>1.5</v>
      </c>
      <c r="Q168">
        <v>0.57599999999999996</v>
      </c>
      <c r="R168">
        <v>0.59599999999999997</v>
      </c>
      <c r="S168">
        <v>0.5</v>
      </c>
      <c r="T168">
        <v>0.6</v>
      </c>
      <c r="U168">
        <v>0.86699999999999999</v>
      </c>
      <c r="V168">
        <v>0.2</v>
      </c>
      <c r="W168">
        <v>2.1</v>
      </c>
      <c r="X168">
        <v>2.4</v>
      </c>
      <c r="Y168">
        <v>1</v>
      </c>
      <c r="Z168">
        <v>0.4</v>
      </c>
      <c r="AA168">
        <v>0.2</v>
      </c>
      <c r="AB168">
        <v>0.7</v>
      </c>
      <c r="AC168">
        <v>1.9</v>
      </c>
      <c r="AD168">
        <v>8.1999999999999993</v>
      </c>
      <c r="AE168">
        <v>1512</v>
      </c>
      <c r="AF168">
        <v>10.9</v>
      </c>
      <c r="AG168">
        <v>0.61</v>
      </c>
      <c r="AH168">
        <v>0.76500000000000001</v>
      </c>
      <c r="AI168">
        <v>0.09</v>
      </c>
      <c r="AJ168">
        <v>1.5</v>
      </c>
      <c r="AK168">
        <v>12.8</v>
      </c>
      <c r="AL168">
        <v>7.2</v>
      </c>
      <c r="AM168">
        <v>7.3</v>
      </c>
      <c r="AN168">
        <v>1</v>
      </c>
      <c r="AO168">
        <v>0.9</v>
      </c>
      <c r="AP168">
        <v>9.4</v>
      </c>
      <c r="AQ168">
        <v>17</v>
      </c>
      <c r="AR168">
        <v>1.1000000000000001</v>
      </c>
      <c r="AS168">
        <v>1.4</v>
      </c>
      <c r="AT168">
        <v>2.5</v>
      </c>
      <c r="AU168">
        <v>7.8E-2</v>
      </c>
      <c r="AV168">
        <v>-0.4</v>
      </c>
      <c r="AW168">
        <v>-1</v>
      </c>
      <c r="AX168">
        <v>-1.4</v>
      </c>
      <c r="AY168">
        <v>0.2</v>
      </c>
      <c r="AZ168" s="8">
        <v>0.55000000000000004</v>
      </c>
      <c r="BA168" s="8">
        <v>0.15873015873015872</v>
      </c>
      <c r="BB168" s="3">
        <v>0</v>
      </c>
    </row>
    <row r="169" spans="1:54" x14ac:dyDescent="0.25">
      <c r="A169" t="s">
        <v>327</v>
      </c>
      <c r="B169" s="2">
        <v>3359160</v>
      </c>
      <c r="C169" t="s">
        <v>28</v>
      </c>
      <c r="D169">
        <v>21</v>
      </c>
      <c r="E169" t="s">
        <v>213</v>
      </c>
      <c r="F169">
        <v>82</v>
      </c>
      <c r="G169">
        <v>5</v>
      </c>
      <c r="H169">
        <v>21.5</v>
      </c>
      <c r="I169">
        <v>3.6</v>
      </c>
      <c r="J169">
        <v>8</v>
      </c>
      <c r="K169">
        <v>0.44800000000000001</v>
      </c>
      <c r="L169">
        <v>0.7</v>
      </c>
      <c r="M169">
        <v>2.1</v>
      </c>
      <c r="N169">
        <v>0.34300000000000003</v>
      </c>
      <c r="O169">
        <v>2.9</v>
      </c>
      <c r="P169">
        <v>6</v>
      </c>
      <c r="Q169">
        <v>0.48599999999999999</v>
      </c>
      <c r="R169">
        <v>0.49299999999999999</v>
      </c>
      <c r="S169">
        <v>1.3</v>
      </c>
      <c r="T169">
        <v>1.8</v>
      </c>
      <c r="U169">
        <v>0.752</v>
      </c>
      <c r="V169">
        <v>2.4</v>
      </c>
      <c r="W169">
        <v>3.7</v>
      </c>
      <c r="X169">
        <v>6</v>
      </c>
      <c r="Y169">
        <v>1.1000000000000001</v>
      </c>
      <c r="Z169">
        <v>1.2</v>
      </c>
      <c r="AA169">
        <v>0.6</v>
      </c>
      <c r="AB169">
        <v>1.2</v>
      </c>
      <c r="AC169">
        <v>2.2999999999999998</v>
      </c>
      <c r="AD169">
        <v>9.3000000000000007</v>
      </c>
      <c r="AE169">
        <v>1767</v>
      </c>
      <c r="AF169">
        <v>15.2</v>
      </c>
      <c r="AG169">
        <v>0.52500000000000002</v>
      </c>
      <c r="AH169">
        <v>0.26100000000000001</v>
      </c>
      <c r="AI169">
        <v>0.22</v>
      </c>
      <c r="AJ169">
        <v>12</v>
      </c>
      <c r="AK169">
        <v>18.899999999999999</v>
      </c>
      <c r="AL169">
        <v>15.4</v>
      </c>
      <c r="AM169">
        <v>7.4</v>
      </c>
      <c r="AN169">
        <v>2.6</v>
      </c>
      <c r="AO169">
        <v>2.6</v>
      </c>
      <c r="AP169">
        <v>12.2</v>
      </c>
      <c r="AQ169">
        <v>19.3</v>
      </c>
      <c r="AR169">
        <v>0.9</v>
      </c>
      <c r="AS169">
        <v>1.7</v>
      </c>
      <c r="AT169">
        <v>2.6</v>
      </c>
      <c r="AU169">
        <v>7.0000000000000007E-2</v>
      </c>
      <c r="AV169">
        <v>-1.3</v>
      </c>
      <c r="AW169">
        <v>-0.4</v>
      </c>
      <c r="AX169">
        <v>-1.7</v>
      </c>
      <c r="AY169">
        <v>0.1</v>
      </c>
      <c r="AZ169" s="8">
        <v>0.45000000000000007</v>
      </c>
      <c r="BA169" s="8">
        <v>0.13396206194405746</v>
      </c>
      <c r="BB169" s="3">
        <v>0</v>
      </c>
    </row>
    <row r="170" spans="1:54" x14ac:dyDescent="0.25">
      <c r="A170" t="s">
        <v>392</v>
      </c>
      <c r="B170" s="2">
        <v>2133278</v>
      </c>
      <c r="C170" t="s">
        <v>62</v>
      </c>
      <c r="D170">
        <v>30</v>
      </c>
      <c r="E170" t="s">
        <v>60</v>
      </c>
      <c r="F170">
        <v>74</v>
      </c>
      <c r="G170">
        <v>5</v>
      </c>
      <c r="H170">
        <v>20.399999999999999</v>
      </c>
      <c r="I170">
        <v>2.7</v>
      </c>
      <c r="J170">
        <v>6.1</v>
      </c>
      <c r="K170">
        <v>0.442</v>
      </c>
      <c r="L170">
        <v>1.5</v>
      </c>
      <c r="M170">
        <v>3.3</v>
      </c>
      <c r="N170">
        <v>0.44500000000000001</v>
      </c>
      <c r="O170">
        <v>1.2</v>
      </c>
      <c r="P170">
        <v>2.8</v>
      </c>
      <c r="Q170">
        <v>0.439</v>
      </c>
      <c r="R170">
        <v>0.56399999999999995</v>
      </c>
      <c r="S170">
        <v>1.3</v>
      </c>
      <c r="T170">
        <v>1.4</v>
      </c>
      <c r="U170">
        <v>0.90400000000000003</v>
      </c>
      <c r="V170">
        <v>0.5</v>
      </c>
      <c r="W170">
        <v>2.5</v>
      </c>
      <c r="X170">
        <v>3</v>
      </c>
      <c r="Y170">
        <v>1.3</v>
      </c>
      <c r="Z170">
        <v>0.4</v>
      </c>
      <c r="AA170">
        <v>0.1</v>
      </c>
      <c r="AB170">
        <v>1.1000000000000001</v>
      </c>
      <c r="AC170">
        <v>1.6</v>
      </c>
      <c r="AD170">
        <v>8.1999999999999993</v>
      </c>
      <c r="AE170">
        <v>1506</v>
      </c>
      <c r="AF170">
        <v>10.7</v>
      </c>
      <c r="AG170">
        <v>0.60699999999999998</v>
      </c>
      <c r="AH170">
        <v>0.54600000000000004</v>
      </c>
      <c r="AI170">
        <v>0.23</v>
      </c>
      <c r="AJ170">
        <v>2.8</v>
      </c>
      <c r="AK170">
        <v>14</v>
      </c>
      <c r="AL170">
        <v>8.3000000000000007</v>
      </c>
      <c r="AM170">
        <v>8.9</v>
      </c>
      <c r="AN170">
        <v>1</v>
      </c>
      <c r="AO170">
        <v>0.4</v>
      </c>
      <c r="AP170">
        <v>13.5</v>
      </c>
      <c r="AQ170">
        <v>16.3</v>
      </c>
      <c r="AR170">
        <v>1.1000000000000001</v>
      </c>
      <c r="AS170">
        <v>1.4</v>
      </c>
      <c r="AT170">
        <v>2.6</v>
      </c>
      <c r="AU170">
        <v>8.1000000000000003E-2</v>
      </c>
      <c r="AV170">
        <v>-1.3</v>
      </c>
      <c r="AW170">
        <v>-0.4</v>
      </c>
      <c r="AX170">
        <v>-1.7</v>
      </c>
      <c r="AY170">
        <v>0.1</v>
      </c>
      <c r="AZ170" s="8">
        <v>0.45000000000000007</v>
      </c>
      <c r="BA170" s="8">
        <v>0.21094297133331899</v>
      </c>
      <c r="BB170" s="3">
        <v>0</v>
      </c>
    </row>
    <row r="171" spans="1:54" x14ac:dyDescent="0.25">
      <c r="A171" t="s">
        <v>194</v>
      </c>
      <c r="B171" s="2">
        <v>11055120</v>
      </c>
      <c r="C171" t="s">
        <v>28</v>
      </c>
      <c r="D171">
        <v>20</v>
      </c>
      <c r="E171" t="s">
        <v>152</v>
      </c>
      <c r="F171">
        <v>72</v>
      </c>
      <c r="G171">
        <v>72</v>
      </c>
      <c r="H171">
        <v>33.799999999999997</v>
      </c>
      <c r="I171">
        <v>6.7</v>
      </c>
      <c r="J171">
        <v>15.6</v>
      </c>
      <c r="K171">
        <v>0.42699999999999999</v>
      </c>
      <c r="L171">
        <v>1.2</v>
      </c>
      <c r="M171">
        <v>4</v>
      </c>
      <c r="N171">
        <v>0.29799999999999999</v>
      </c>
      <c r="O171">
        <v>5.5</v>
      </c>
      <c r="P171">
        <v>11.6</v>
      </c>
      <c r="Q171">
        <v>0.47099999999999997</v>
      </c>
      <c r="R171">
        <v>0.46500000000000002</v>
      </c>
      <c r="S171">
        <v>5.5</v>
      </c>
      <c r="T171">
        <v>7.4</v>
      </c>
      <c r="U171">
        <v>0.73799999999999999</v>
      </c>
      <c r="V171">
        <v>1.2</v>
      </c>
      <c r="W171">
        <v>5.7</v>
      </c>
      <c r="X171">
        <v>6.9</v>
      </c>
      <c r="Y171">
        <v>3.7</v>
      </c>
      <c r="Z171">
        <v>0.8</v>
      </c>
      <c r="AA171">
        <v>0.5</v>
      </c>
      <c r="AB171">
        <v>2.8</v>
      </c>
      <c r="AC171">
        <v>2.2000000000000002</v>
      </c>
      <c r="AD171">
        <v>20</v>
      </c>
      <c r="AE171">
        <v>2430</v>
      </c>
      <c r="AF171">
        <v>14.9</v>
      </c>
      <c r="AG171">
        <v>0.52900000000000003</v>
      </c>
      <c r="AH171">
        <v>0.254</v>
      </c>
      <c r="AI171">
        <v>0.47599999999999998</v>
      </c>
      <c r="AJ171">
        <v>3.9</v>
      </c>
      <c r="AK171">
        <v>19.3</v>
      </c>
      <c r="AL171">
        <v>11.6</v>
      </c>
      <c r="AM171">
        <v>17.2</v>
      </c>
      <c r="AN171">
        <v>1.2</v>
      </c>
      <c r="AO171">
        <v>1.5</v>
      </c>
      <c r="AP171">
        <v>12.8</v>
      </c>
      <c r="AQ171">
        <v>27.5</v>
      </c>
      <c r="AR171">
        <v>-0.3</v>
      </c>
      <c r="AS171">
        <v>2.6</v>
      </c>
      <c r="AT171">
        <v>2.4</v>
      </c>
      <c r="AU171">
        <v>4.7E-2</v>
      </c>
      <c r="AV171">
        <v>-0.7</v>
      </c>
      <c r="AW171">
        <v>-0.7</v>
      </c>
      <c r="AX171">
        <v>-1.5</v>
      </c>
      <c r="AY171">
        <v>0.3</v>
      </c>
      <c r="AZ171" s="8">
        <v>0.44999999999999996</v>
      </c>
      <c r="BA171" s="8">
        <v>4.0705121246987816E-2</v>
      </c>
      <c r="BB171" s="3">
        <v>0</v>
      </c>
    </row>
    <row r="172" spans="1:54" x14ac:dyDescent="0.25">
      <c r="A172" t="s">
        <v>404</v>
      </c>
      <c r="B172" s="2">
        <v>1997718</v>
      </c>
      <c r="C172" t="s">
        <v>62</v>
      </c>
      <c r="D172">
        <v>26</v>
      </c>
      <c r="E172" t="s">
        <v>82</v>
      </c>
      <c r="F172">
        <v>76</v>
      </c>
      <c r="G172">
        <v>11</v>
      </c>
      <c r="H172">
        <v>20.6</v>
      </c>
      <c r="I172">
        <v>3.2</v>
      </c>
      <c r="J172">
        <v>6.6</v>
      </c>
      <c r="K172">
        <v>0.47899999999999998</v>
      </c>
      <c r="L172">
        <v>0.7</v>
      </c>
      <c r="M172">
        <v>1.9</v>
      </c>
      <c r="N172">
        <v>0.378</v>
      </c>
      <c r="O172">
        <v>2.4</v>
      </c>
      <c r="P172">
        <v>4.7</v>
      </c>
      <c r="Q172">
        <v>0.52100000000000002</v>
      </c>
      <c r="R172">
        <v>0.53500000000000003</v>
      </c>
      <c r="S172">
        <v>1.3</v>
      </c>
      <c r="T172">
        <v>1.5</v>
      </c>
      <c r="U172">
        <v>0.85299999999999998</v>
      </c>
      <c r="V172">
        <v>0.5</v>
      </c>
      <c r="W172">
        <v>2</v>
      </c>
      <c r="X172">
        <v>2.5</v>
      </c>
      <c r="Y172">
        <v>3.2</v>
      </c>
      <c r="Z172">
        <v>0.3</v>
      </c>
      <c r="AA172">
        <v>0.2</v>
      </c>
      <c r="AB172">
        <v>1.2</v>
      </c>
      <c r="AC172">
        <v>1.6</v>
      </c>
      <c r="AD172">
        <v>8.4</v>
      </c>
      <c r="AE172">
        <v>1567</v>
      </c>
      <c r="AF172">
        <v>12.7</v>
      </c>
      <c r="AG172">
        <v>0.57499999999999996</v>
      </c>
      <c r="AH172">
        <v>0.29399999999999998</v>
      </c>
      <c r="AI172">
        <v>0.23100000000000001</v>
      </c>
      <c r="AJ172">
        <v>3</v>
      </c>
      <c r="AK172">
        <v>11.3</v>
      </c>
      <c r="AL172">
        <v>7.2</v>
      </c>
      <c r="AM172">
        <v>22.3</v>
      </c>
      <c r="AN172">
        <v>0.8</v>
      </c>
      <c r="AO172">
        <v>0.8</v>
      </c>
      <c r="AP172">
        <v>14.5</v>
      </c>
      <c r="AQ172">
        <v>18.5</v>
      </c>
      <c r="AR172">
        <v>1.6</v>
      </c>
      <c r="AS172">
        <v>1.2</v>
      </c>
      <c r="AT172">
        <v>2.9</v>
      </c>
      <c r="AU172">
        <v>8.6999999999999994E-2</v>
      </c>
      <c r="AV172">
        <v>-1</v>
      </c>
      <c r="AW172">
        <v>-0.9</v>
      </c>
      <c r="AX172">
        <v>-2</v>
      </c>
      <c r="AY172">
        <v>0</v>
      </c>
      <c r="AZ172" s="8">
        <v>0.44999999999999996</v>
      </c>
      <c r="BA172" s="8">
        <v>0.22525701825783215</v>
      </c>
      <c r="BB172" s="3">
        <v>0</v>
      </c>
    </row>
    <row r="173" spans="1:54" x14ac:dyDescent="0.25">
      <c r="A173" t="s">
        <v>267</v>
      </c>
      <c r="B173" s="2">
        <v>5739840</v>
      </c>
      <c r="C173" t="s">
        <v>28</v>
      </c>
      <c r="D173">
        <v>20</v>
      </c>
      <c r="E173" t="s">
        <v>53</v>
      </c>
      <c r="F173">
        <v>67</v>
      </c>
      <c r="G173">
        <v>16</v>
      </c>
      <c r="H173">
        <v>20.8</v>
      </c>
      <c r="I173">
        <v>3.9</v>
      </c>
      <c r="J173">
        <v>7.4</v>
      </c>
      <c r="K173">
        <v>0.52500000000000002</v>
      </c>
      <c r="L173">
        <v>0.8</v>
      </c>
      <c r="M173">
        <v>2.2000000000000002</v>
      </c>
      <c r="N173">
        <v>0.37</v>
      </c>
      <c r="O173">
        <v>3.1</v>
      </c>
      <c r="P173">
        <v>5.2</v>
      </c>
      <c r="Q173">
        <v>0.59</v>
      </c>
      <c r="R173">
        <v>0.57899999999999996</v>
      </c>
      <c r="S173">
        <v>1.3</v>
      </c>
      <c r="T173">
        <v>2.1</v>
      </c>
      <c r="U173">
        <v>0.65200000000000002</v>
      </c>
      <c r="V173">
        <v>1</v>
      </c>
      <c r="W173">
        <v>2.4</v>
      </c>
      <c r="X173">
        <v>3.4</v>
      </c>
      <c r="Y173">
        <v>1.9</v>
      </c>
      <c r="Z173">
        <v>0.6</v>
      </c>
      <c r="AA173">
        <v>0.5</v>
      </c>
      <c r="AB173">
        <v>1.4</v>
      </c>
      <c r="AC173">
        <v>2.2999999999999998</v>
      </c>
      <c r="AD173">
        <v>9.9</v>
      </c>
      <c r="AE173">
        <v>1394</v>
      </c>
      <c r="AF173">
        <v>13.3</v>
      </c>
      <c r="AG173">
        <v>0.59699999999999998</v>
      </c>
      <c r="AH173">
        <v>0.29399999999999998</v>
      </c>
      <c r="AI173">
        <v>0.27800000000000002</v>
      </c>
      <c r="AJ173">
        <v>5.6</v>
      </c>
      <c r="AK173">
        <v>12.5</v>
      </c>
      <c r="AL173">
        <v>9.1</v>
      </c>
      <c r="AM173">
        <v>12.7</v>
      </c>
      <c r="AN173">
        <v>1.4</v>
      </c>
      <c r="AO173">
        <v>2</v>
      </c>
      <c r="AP173">
        <v>14.6</v>
      </c>
      <c r="AQ173">
        <v>19.600000000000001</v>
      </c>
      <c r="AR173">
        <v>1</v>
      </c>
      <c r="AS173">
        <v>1.4</v>
      </c>
      <c r="AT173">
        <v>2.4</v>
      </c>
      <c r="AU173">
        <v>8.4000000000000005E-2</v>
      </c>
      <c r="AV173">
        <v>-1.7</v>
      </c>
      <c r="AW173">
        <v>-0.1</v>
      </c>
      <c r="AX173">
        <v>-1.7</v>
      </c>
      <c r="AY173">
        <v>0.1</v>
      </c>
      <c r="AZ173" s="8">
        <v>0.35</v>
      </c>
      <c r="BA173" s="8">
        <v>6.0977309472041032E-2</v>
      </c>
      <c r="BB173" s="3">
        <v>0</v>
      </c>
    </row>
    <row r="174" spans="1:54" x14ac:dyDescent="0.25">
      <c r="A174" t="s">
        <v>117</v>
      </c>
      <c r="B174" s="2">
        <v>30075000</v>
      </c>
      <c r="C174" t="s">
        <v>65</v>
      </c>
      <c r="D174">
        <v>32</v>
      </c>
      <c r="E174" t="s">
        <v>118</v>
      </c>
      <c r="F174">
        <v>50</v>
      </c>
      <c r="G174">
        <v>50</v>
      </c>
      <c r="H174">
        <v>31.5</v>
      </c>
      <c r="I174">
        <v>5.5</v>
      </c>
      <c r="J174">
        <v>11.6</v>
      </c>
      <c r="K174">
        <v>0.47499999999999998</v>
      </c>
      <c r="L174">
        <v>1</v>
      </c>
      <c r="M174">
        <v>3.2</v>
      </c>
      <c r="N174">
        <v>0.32500000000000001</v>
      </c>
      <c r="O174">
        <v>4.5</v>
      </c>
      <c r="P174">
        <v>8.4</v>
      </c>
      <c r="Q174">
        <v>0.53200000000000003</v>
      </c>
      <c r="R174">
        <v>0.52</v>
      </c>
      <c r="S174">
        <v>2.6</v>
      </c>
      <c r="T174">
        <v>3.2</v>
      </c>
      <c r="U174">
        <v>0.81100000000000005</v>
      </c>
      <c r="V174">
        <v>0.7</v>
      </c>
      <c r="W174">
        <v>3.6</v>
      </c>
      <c r="X174">
        <v>4.3</v>
      </c>
      <c r="Y174">
        <v>4.0999999999999996</v>
      </c>
      <c r="Z174">
        <v>0.8</v>
      </c>
      <c r="AA174">
        <v>0.2</v>
      </c>
      <c r="AB174">
        <v>2</v>
      </c>
      <c r="AC174">
        <v>1.4</v>
      </c>
      <c r="AD174">
        <v>14.7</v>
      </c>
      <c r="AE174">
        <v>1577</v>
      </c>
      <c r="AF174">
        <v>13.5</v>
      </c>
      <c r="AG174">
        <v>0.56299999999999994</v>
      </c>
      <c r="AH174">
        <v>0.27500000000000002</v>
      </c>
      <c r="AI174">
        <v>0.27400000000000002</v>
      </c>
      <c r="AJ174">
        <v>2.2000000000000002</v>
      </c>
      <c r="AK174">
        <v>12.6</v>
      </c>
      <c r="AL174">
        <v>7.3</v>
      </c>
      <c r="AM174">
        <v>19.3</v>
      </c>
      <c r="AN174">
        <v>1.3</v>
      </c>
      <c r="AO174">
        <v>0.7</v>
      </c>
      <c r="AP174">
        <v>13.2</v>
      </c>
      <c r="AQ174">
        <v>20</v>
      </c>
      <c r="AR174">
        <v>0.8</v>
      </c>
      <c r="AS174">
        <v>1.1000000000000001</v>
      </c>
      <c r="AT174">
        <v>2</v>
      </c>
      <c r="AU174">
        <v>5.8999999999999997E-2</v>
      </c>
      <c r="AV174">
        <v>-1.1000000000000001</v>
      </c>
      <c r="AW174">
        <v>-0.3</v>
      </c>
      <c r="AX174">
        <v>-1.4</v>
      </c>
      <c r="AY174">
        <v>0.2</v>
      </c>
      <c r="AZ174" s="8">
        <v>0.30000000000000004</v>
      </c>
      <c r="BA174" s="8">
        <v>9.9750623441396524E-3</v>
      </c>
      <c r="BB174" s="3">
        <v>0</v>
      </c>
    </row>
    <row r="175" spans="1:54" x14ac:dyDescent="0.25">
      <c r="A175" t="s">
        <v>186</v>
      </c>
      <c r="B175" s="2">
        <v>12196094</v>
      </c>
      <c r="C175" t="s">
        <v>62</v>
      </c>
      <c r="D175">
        <v>29</v>
      </c>
      <c r="E175" t="s">
        <v>175</v>
      </c>
      <c r="F175">
        <v>65</v>
      </c>
      <c r="G175">
        <v>10</v>
      </c>
      <c r="H175">
        <v>23.5</v>
      </c>
      <c r="I175">
        <v>3.7</v>
      </c>
      <c r="J175">
        <v>8.5</v>
      </c>
      <c r="K175">
        <v>0.43099999999999999</v>
      </c>
      <c r="L175">
        <v>1.6</v>
      </c>
      <c r="M175">
        <v>4.5</v>
      </c>
      <c r="N175">
        <v>0.36499999999999999</v>
      </c>
      <c r="O175">
        <v>2</v>
      </c>
      <c r="P175">
        <v>4</v>
      </c>
      <c r="Q175">
        <v>0.50600000000000001</v>
      </c>
      <c r="R175">
        <v>0.52800000000000002</v>
      </c>
      <c r="S175">
        <v>1.1000000000000001</v>
      </c>
      <c r="T175">
        <v>1.2</v>
      </c>
      <c r="U175">
        <v>0.85199999999999998</v>
      </c>
      <c r="V175">
        <v>0.6</v>
      </c>
      <c r="W175">
        <v>2.1</v>
      </c>
      <c r="X175">
        <v>2.7</v>
      </c>
      <c r="Y175">
        <v>2.7</v>
      </c>
      <c r="Z175">
        <v>1.1000000000000001</v>
      </c>
      <c r="AA175">
        <v>0.3</v>
      </c>
      <c r="AB175">
        <v>1.3</v>
      </c>
      <c r="AC175">
        <v>1.8</v>
      </c>
      <c r="AD175">
        <v>10.1</v>
      </c>
      <c r="AE175">
        <v>1530</v>
      </c>
      <c r="AF175">
        <v>12.3</v>
      </c>
      <c r="AG175">
        <v>0.55500000000000005</v>
      </c>
      <c r="AH175">
        <v>0.52900000000000003</v>
      </c>
      <c r="AI175">
        <v>0.14599999999999999</v>
      </c>
      <c r="AJ175">
        <v>2.9</v>
      </c>
      <c r="AK175">
        <v>9.9</v>
      </c>
      <c r="AL175">
        <v>6.3</v>
      </c>
      <c r="AM175">
        <v>15.8</v>
      </c>
      <c r="AN175">
        <v>2.2000000000000002</v>
      </c>
      <c r="AO175">
        <v>1.2</v>
      </c>
      <c r="AP175">
        <v>12.7</v>
      </c>
      <c r="AQ175">
        <v>18.399999999999999</v>
      </c>
      <c r="AR175">
        <v>0.6</v>
      </c>
      <c r="AS175">
        <v>1.1000000000000001</v>
      </c>
      <c r="AT175">
        <v>1.8</v>
      </c>
      <c r="AU175">
        <v>5.5E-2</v>
      </c>
      <c r="AV175">
        <v>-1</v>
      </c>
      <c r="AW175">
        <v>-0.1</v>
      </c>
      <c r="AX175">
        <v>-1.2</v>
      </c>
      <c r="AY175">
        <v>0.3</v>
      </c>
      <c r="AZ175" s="8">
        <v>0.30000000000000004</v>
      </c>
      <c r="BA175" s="8">
        <v>2.4598039339480335E-2</v>
      </c>
      <c r="BB175" s="3">
        <v>0</v>
      </c>
    </row>
    <row r="176" spans="1:54" x14ac:dyDescent="0.25">
      <c r="A176" t="s">
        <v>416</v>
      </c>
      <c r="B176" s="2">
        <v>1930681</v>
      </c>
      <c r="C176" t="s">
        <v>65</v>
      </c>
      <c r="D176">
        <v>25</v>
      </c>
      <c r="E176" t="s">
        <v>118</v>
      </c>
      <c r="F176">
        <v>80</v>
      </c>
      <c r="G176">
        <v>24</v>
      </c>
      <c r="H176">
        <v>23.9</v>
      </c>
      <c r="I176">
        <v>3.5</v>
      </c>
      <c r="J176">
        <v>7.7</v>
      </c>
      <c r="K176">
        <v>0.45500000000000002</v>
      </c>
      <c r="L176">
        <v>1</v>
      </c>
      <c r="M176">
        <v>2.9</v>
      </c>
      <c r="N176">
        <v>0.33200000000000002</v>
      </c>
      <c r="O176">
        <v>2.6</v>
      </c>
      <c r="P176">
        <v>4.8</v>
      </c>
      <c r="Q176">
        <v>0.53</v>
      </c>
      <c r="R176">
        <v>0.51800000000000002</v>
      </c>
      <c r="S176">
        <v>1.5</v>
      </c>
      <c r="T176">
        <v>1.7</v>
      </c>
      <c r="U176">
        <v>0.84099999999999997</v>
      </c>
      <c r="V176">
        <v>0.8</v>
      </c>
      <c r="W176">
        <v>3.5</v>
      </c>
      <c r="X176">
        <v>4.3</v>
      </c>
      <c r="Y176">
        <v>1.6</v>
      </c>
      <c r="Z176">
        <v>1</v>
      </c>
      <c r="AA176">
        <v>0.4</v>
      </c>
      <c r="AB176">
        <v>1.2</v>
      </c>
      <c r="AC176">
        <v>2.6</v>
      </c>
      <c r="AD176">
        <v>9.4</v>
      </c>
      <c r="AE176">
        <v>1913</v>
      </c>
      <c r="AF176">
        <v>11.8</v>
      </c>
      <c r="AG176">
        <v>0.55700000000000005</v>
      </c>
      <c r="AH176">
        <v>0.376</v>
      </c>
      <c r="AI176">
        <v>0.224</v>
      </c>
      <c r="AJ176">
        <v>3.6</v>
      </c>
      <c r="AK176">
        <v>16.3</v>
      </c>
      <c r="AL176">
        <v>9.9</v>
      </c>
      <c r="AM176">
        <v>9.6</v>
      </c>
      <c r="AN176">
        <v>2.1</v>
      </c>
      <c r="AO176">
        <v>1.6</v>
      </c>
      <c r="AP176">
        <v>12.1</v>
      </c>
      <c r="AQ176">
        <v>17.2</v>
      </c>
      <c r="AR176">
        <v>0.5</v>
      </c>
      <c r="AS176">
        <v>2.2000000000000002</v>
      </c>
      <c r="AT176">
        <v>2.7</v>
      </c>
      <c r="AU176">
        <v>6.8000000000000005E-2</v>
      </c>
      <c r="AV176">
        <v>-2.7</v>
      </c>
      <c r="AW176">
        <v>0.6</v>
      </c>
      <c r="AX176">
        <v>-2.1</v>
      </c>
      <c r="AY176">
        <v>-0.1</v>
      </c>
      <c r="AZ176" s="8">
        <v>0.30000000000000004</v>
      </c>
      <c r="BA176" s="8">
        <v>0.15538558674374486</v>
      </c>
      <c r="BB176" s="3">
        <v>0</v>
      </c>
    </row>
    <row r="177" spans="1:54" x14ac:dyDescent="0.25">
      <c r="A177" t="s">
        <v>436</v>
      </c>
      <c r="B177" s="2">
        <v>1782621</v>
      </c>
      <c r="C177" t="s">
        <v>65</v>
      </c>
      <c r="D177">
        <v>25</v>
      </c>
      <c r="E177" t="s">
        <v>100</v>
      </c>
      <c r="F177">
        <v>77</v>
      </c>
      <c r="G177">
        <v>21</v>
      </c>
      <c r="H177">
        <v>23.3</v>
      </c>
      <c r="I177">
        <v>3.2</v>
      </c>
      <c r="J177">
        <v>7.4</v>
      </c>
      <c r="K177">
        <v>0.433</v>
      </c>
      <c r="L177">
        <v>0.9</v>
      </c>
      <c r="M177">
        <v>2.8</v>
      </c>
      <c r="N177">
        <v>0.30299999999999999</v>
      </c>
      <c r="O177">
        <v>2.4</v>
      </c>
      <c r="P177">
        <v>4.5999999999999996</v>
      </c>
      <c r="Q177">
        <v>0.51300000000000001</v>
      </c>
      <c r="R177">
        <v>0.49</v>
      </c>
      <c r="S177">
        <v>1.8</v>
      </c>
      <c r="T177">
        <v>2.2999999999999998</v>
      </c>
      <c r="U177">
        <v>0.78900000000000003</v>
      </c>
      <c r="V177">
        <v>0.6</v>
      </c>
      <c r="W177">
        <v>3</v>
      </c>
      <c r="X177">
        <v>3.6</v>
      </c>
      <c r="Y177">
        <v>2.5</v>
      </c>
      <c r="Z177">
        <v>0.7</v>
      </c>
      <c r="AA177">
        <v>0.2</v>
      </c>
      <c r="AB177">
        <v>1.3</v>
      </c>
      <c r="AC177">
        <v>1.5</v>
      </c>
      <c r="AD177">
        <v>9.1</v>
      </c>
      <c r="AE177">
        <v>1792</v>
      </c>
      <c r="AF177">
        <v>11.4</v>
      </c>
      <c r="AG177">
        <v>0.53900000000000003</v>
      </c>
      <c r="AH177">
        <v>0.38200000000000001</v>
      </c>
      <c r="AI177">
        <v>0.30599999999999999</v>
      </c>
      <c r="AJ177">
        <v>3</v>
      </c>
      <c r="AK177">
        <v>14.6</v>
      </c>
      <c r="AL177">
        <v>8.8000000000000007</v>
      </c>
      <c r="AM177">
        <v>14.4</v>
      </c>
      <c r="AN177">
        <v>1.5</v>
      </c>
      <c r="AO177">
        <v>0.7</v>
      </c>
      <c r="AP177">
        <v>13</v>
      </c>
      <c r="AQ177">
        <v>17.8</v>
      </c>
      <c r="AR177">
        <v>0.5</v>
      </c>
      <c r="AS177">
        <v>2</v>
      </c>
      <c r="AT177">
        <v>2.5</v>
      </c>
      <c r="AU177">
        <v>6.8000000000000005E-2</v>
      </c>
      <c r="AV177">
        <v>-1.9</v>
      </c>
      <c r="AW177">
        <v>0</v>
      </c>
      <c r="AX177">
        <v>-1.9</v>
      </c>
      <c r="AY177">
        <v>0.1</v>
      </c>
      <c r="AZ177" s="8">
        <v>0.30000000000000004</v>
      </c>
      <c r="BA177" s="8">
        <v>0.16829152130486516</v>
      </c>
      <c r="BB177" s="3">
        <v>0</v>
      </c>
    </row>
    <row r="178" spans="1:54" x14ac:dyDescent="0.25">
      <c r="A178" t="s">
        <v>456</v>
      </c>
      <c r="B178" s="2">
        <v>1563518</v>
      </c>
      <c r="C178" t="s">
        <v>52</v>
      </c>
      <c r="D178">
        <v>24</v>
      </c>
      <c r="E178" t="s">
        <v>100</v>
      </c>
      <c r="F178">
        <v>61</v>
      </c>
      <c r="G178">
        <v>10</v>
      </c>
      <c r="H178">
        <v>21.5</v>
      </c>
      <c r="I178">
        <v>3.3</v>
      </c>
      <c r="J178">
        <v>8</v>
      </c>
      <c r="K178">
        <v>0.41099999999999998</v>
      </c>
      <c r="L178">
        <v>1.4</v>
      </c>
      <c r="M178">
        <v>4</v>
      </c>
      <c r="N178">
        <v>0.33600000000000002</v>
      </c>
      <c r="O178">
        <v>1.9</v>
      </c>
      <c r="P178">
        <v>4</v>
      </c>
      <c r="Q178">
        <v>0.48799999999999999</v>
      </c>
      <c r="R178">
        <v>0.496</v>
      </c>
      <c r="S178">
        <v>1.1000000000000001</v>
      </c>
      <c r="T178">
        <v>1.3</v>
      </c>
      <c r="U178">
        <v>0.81299999999999994</v>
      </c>
      <c r="V178">
        <v>0.5</v>
      </c>
      <c r="W178">
        <v>1.9</v>
      </c>
      <c r="X178">
        <v>2.2999999999999998</v>
      </c>
      <c r="Y178">
        <v>3</v>
      </c>
      <c r="Z178">
        <v>1.1000000000000001</v>
      </c>
      <c r="AA178">
        <v>0.2</v>
      </c>
      <c r="AB178">
        <v>1.3</v>
      </c>
      <c r="AC178">
        <v>2</v>
      </c>
      <c r="AD178">
        <v>9</v>
      </c>
      <c r="AE178">
        <v>1310</v>
      </c>
      <c r="AF178">
        <v>11.8</v>
      </c>
      <c r="AG178">
        <v>0.52500000000000002</v>
      </c>
      <c r="AH178">
        <v>0.505</v>
      </c>
      <c r="AI178">
        <v>0.16400000000000001</v>
      </c>
      <c r="AJ178">
        <v>2.4</v>
      </c>
      <c r="AK178">
        <v>9.8000000000000007</v>
      </c>
      <c r="AL178">
        <v>6.1</v>
      </c>
      <c r="AM178">
        <v>19.899999999999999</v>
      </c>
      <c r="AN178">
        <v>2.5</v>
      </c>
      <c r="AO178">
        <v>0.7</v>
      </c>
      <c r="AP178">
        <v>13.4</v>
      </c>
      <c r="AQ178">
        <v>19.8</v>
      </c>
      <c r="AR178">
        <v>0.1</v>
      </c>
      <c r="AS178">
        <v>1.7</v>
      </c>
      <c r="AT178">
        <v>1.8</v>
      </c>
      <c r="AU178">
        <v>6.6000000000000003E-2</v>
      </c>
      <c r="AV178">
        <v>-2</v>
      </c>
      <c r="AW178">
        <v>0.7</v>
      </c>
      <c r="AX178">
        <v>-1.2</v>
      </c>
      <c r="AY178">
        <v>0.3</v>
      </c>
      <c r="AZ178" s="8">
        <v>0.30000000000000004</v>
      </c>
      <c r="BA178" s="8">
        <v>0.19187498960677143</v>
      </c>
      <c r="BB178" s="3">
        <v>0</v>
      </c>
    </row>
    <row r="179" spans="1:54" x14ac:dyDescent="0.25">
      <c r="A179" t="s">
        <v>383</v>
      </c>
      <c r="B179" s="2">
        <v>2201520</v>
      </c>
      <c r="C179" t="s">
        <v>52</v>
      </c>
      <c r="D179">
        <v>22</v>
      </c>
      <c r="E179" t="s">
        <v>55</v>
      </c>
      <c r="F179">
        <v>56</v>
      </c>
      <c r="G179">
        <v>1</v>
      </c>
      <c r="H179">
        <v>19.399999999999999</v>
      </c>
      <c r="I179">
        <v>4.0999999999999996</v>
      </c>
      <c r="J179">
        <v>10.199999999999999</v>
      </c>
      <c r="K179">
        <v>0.39900000000000002</v>
      </c>
      <c r="L179">
        <v>2.1</v>
      </c>
      <c r="M179">
        <v>5.6</v>
      </c>
      <c r="N179">
        <v>0.371</v>
      </c>
      <c r="O179">
        <v>2</v>
      </c>
      <c r="P179">
        <v>4.5999999999999996</v>
      </c>
      <c r="Q179">
        <v>0.434</v>
      </c>
      <c r="R179">
        <v>0.502</v>
      </c>
      <c r="S179">
        <v>1.5</v>
      </c>
      <c r="T179">
        <v>1.8</v>
      </c>
      <c r="U179">
        <v>0.84299999999999997</v>
      </c>
      <c r="V179">
        <v>0.4</v>
      </c>
      <c r="W179">
        <v>2.1</v>
      </c>
      <c r="X179">
        <v>2.4</v>
      </c>
      <c r="Y179">
        <v>3.1</v>
      </c>
      <c r="Z179">
        <v>0.7</v>
      </c>
      <c r="AA179">
        <v>0.3</v>
      </c>
      <c r="AB179">
        <v>1.5</v>
      </c>
      <c r="AC179">
        <v>1.7</v>
      </c>
      <c r="AD179">
        <v>11.8</v>
      </c>
      <c r="AE179">
        <v>1085</v>
      </c>
      <c r="AF179">
        <v>14.9</v>
      </c>
      <c r="AG179">
        <v>0.53500000000000003</v>
      </c>
      <c r="AH179">
        <v>0.55200000000000005</v>
      </c>
      <c r="AI179">
        <v>0.17899999999999999</v>
      </c>
      <c r="AJ179">
        <v>2.1</v>
      </c>
      <c r="AK179">
        <v>11.8</v>
      </c>
      <c r="AL179">
        <v>7.1</v>
      </c>
      <c r="AM179">
        <v>23.4</v>
      </c>
      <c r="AN179">
        <v>1.8</v>
      </c>
      <c r="AO179">
        <v>1.2</v>
      </c>
      <c r="AP179">
        <v>11.7</v>
      </c>
      <c r="AQ179">
        <v>28</v>
      </c>
      <c r="AR179">
        <v>0.3</v>
      </c>
      <c r="AS179">
        <v>1.1000000000000001</v>
      </c>
      <c r="AT179">
        <v>1.4</v>
      </c>
      <c r="AU179">
        <v>6.2E-2</v>
      </c>
      <c r="AV179">
        <v>0.4</v>
      </c>
      <c r="AW179">
        <v>-1.2</v>
      </c>
      <c r="AX179">
        <v>-0.8</v>
      </c>
      <c r="AY179">
        <v>0.3</v>
      </c>
      <c r="AZ179" s="8">
        <v>0.29999999999999993</v>
      </c>
      <c r="BA179" s="8">
        <v>0.1362694865365747</v>
      </c>
      <c r="BB179" s="3">
        <v>0</v>
      </c>
    </row>
    <row r="180" spans="1:54" x14ac:dyDescent="0.25">
      <c r="A180" t="s">
        <v>421</v>
      </c>
      <c r="B180" s="2">
        <v>1878720</v>
      </c>
      <c r="C180" t="s">
        <v>75</v>
      </c>
      <c r="D180">
        <v>25</v>
      </c>
      <c r="E180" t="s">
        <v>58</v>
      </c>
      <c r="F180">
        <v>68</v>
      </c>
      <c r="G180">
        <v>2</v>
      </c>
      <c r="H180">
        <v>15.1</v>
      </c>
      <c r="I180">
        <v>2.2999999999999998</v>
      </c>
      <c r="J180">
        <v>3.8</v>
      </c>
      <c r="K180">
        <v>0.59599999999999997</v>
      </c>
      <c r="L180">
        <v>0.1</v>
      </c>
      <c r="M180">
        <v>0.5</v>
      </c>
      <c r="N180">
        <v>0.27800000000000002</v>
      </c>
      <c r="O180">
        <v>2.1</v>
      </c>
      <c r="P180">
        <v>3.3</v>
      </c>
      <c r="Q180">
        <v>0.64700000000000002</v>
      </c>
      <c r="R180">
        <v>0.61499999999999999</v>
      </c>
      <c r="S180">
        <v>0.8</v>
      </c>
      <c r="T180">
        <v>1.2</v>
      </c>
      <c r="U180">
        <v>0.61899999999999999</v>
      </c>
      <c r="V180">
        <v>1.7</v>
      </c>
      <c r="W180">
        <v>2.5</v>
      </c>
      <c r="X180">
        <v>4.2</v>
      </c>
      <c r="Y180">
        <v>0.5</v>
      </c>
      <c r="Z180">
        <v>0.4</v>
      </c>
      <c r="AA180">
        <v>0.5</v>
      </c>
      <c r="AB180">
        <v>0.7</v>
      </c>
      <c r="AC180">
        <v>2.1</v>
      </c>
      <c r="AD180">
        <v>5.5</v>
      </c>
      <c r="AE180">
        <v>1024</v>
      </c>
      <c r="AF180">
        <v>14.4</v>
      </c>
      <c r="AG180">
        <v>0.626</v>
      </c>
      <c r="AH180">
        <v>0.13800000000000001</v>
      </c>
      <c r="AI180">
        <v>0.32300000000000001</v>
      </c>
      <c r="AJ180">
        <v>12.6</v>
      </c>
      <c r="AK180">
        <v>17.2</v>
      </c>
      <c r="AL180">
        <v>15</v>
      </c>
      <c r="AM180">
        <v>4.8</v>
      </c>
      <c r="AN180">
        <v>1.2</v>
      </c>
      <c r="AO180">
        <v>2.9</v>
      </c>
      <c r="AP180">
        <v>13.4</v>
      </c>
      <c r="AQ180">
        <v>14.1</v>
      </c>
      <c r="AR180">
        <v>1.5</v>
      </c>
      <c r="AS180">
        <v>1.3</v>
      </c>
      <c r="AT180">
        <v>2.8</v>
      </c>
      <c r="AU180">
        <v>0.13200000000000001</v>
      </c>
      <c r="AV180">
        <v>-2.2999999999999998</v>
      </c>
      <c r="AW180">
        <v>0.1</v>
      </c>
      <c r="AX180">
        <v>-2.2000000000000002</v>
      </c>
      <c r="AY180">
        <v>-0.1</v>
      </c>
      <c r="AZ180" s="8">
        <v>0.29999999999999982</v>
      </c>
      <c r="BA180" s="8">
        <v>0.15968318855390895</v>
      </c>
      <c r="BB180" s="3">
        <v>0</v>
      </c>
    </row>
    <row r="181" spans="1:54" x14ac:dyDescent="0.25">
      <c r="A181" t="s">
        <v>458</v>
      </c>
      <c r="B181" s="2">
        <v>1563518</v>
      </c>
      <c r="C181" t="s">
        <v>62</v>
      </c>
      <c r="D181">
        <v>24</v>
      </c>
      <c r="E181" t="s">
        <v>109</v>
      </c>
      <c r="F181">
        <v>70</v>
      </c>
      <c r="G181">
        <v>14</v>
      </c>
      <c r="H181">
        <v>18.5</v>
      </c>
      <c r="I181">
        <v>2.7</v>
      </c>
      <c r="J181">
        <v>5.2</v>
      </c>
      <c r="K181">
        <v>0.51200000000000001</v>
      </c>
      <c r="L181">
        <v>0.7</v>
      </c>
      <c r="M181">
        <v>1.7</v>
      </c>
      <c r="N181">
        <v>0.39300000000000002</v>
      </c>
      <c r="O181">
        <v>2</v>
      </c>
      <c r="P181">
        <v>3.4</v>
      </c>
      <c r="Q181">
        <v>0.57299999999999995</v>
      </c>
      <c r="R181">
        <v>0.57899999999999996</v>
      </c>
      <c r="S181">
        <v>0.8</v>
      </c>
      <c r="T181">
        <v>1</v>
      </c>
      <c r="U181">
        <v>0.83099999999999996</v>
      </c>
      <c r="V181">
        <v>1</v>
      </c>
      <c r="W181">
        <v>2</v>
      </c>
      <c r="X181">
        <v>3</v>
      </c>
      <c r="Y181">
        <v>1.1000000000000001</v>
      </c>
      <c r="Z181">
        <v>0.6</v>
      </c>
      <c r="AA181">
        <v>0.2</v>
      </c>
      <c r="AB181">
        <v>0.8</v>
      </c>
      <c r="AC181">
        <v>1.6</v>
      </c>
      <c r="AD181">
        <v>6.8</v>
      </c>
      <c r="AE181">
        <v>1297</v>
      </c>
      <c r="AF181">
        <v>12.2</v>
      </c>
      <c r="AG181">
        <v>0.60699999999999998</v>
      </c>
      <c r="AH181">
        <v>0.33600000000000002</v>
      </c>
      <c r="AI181">
        <v>0.19600000000000001</v>
      </c>
      <c r="AJ181">
        <v>5.5</v>
      </c>
      <c r="AK181">
        <v>12</v>
      </c>
      <c r="AL181">
        <v>8.6999999999999993</v>
      </c>
      <c r="AM181">
        <v>8.3000000000000007</v>
      </c>
      <c r="AN181">
        <v>1.4</v>
      </c>
      <c r="AO181">
        <v>1.1000000000000001</v>
      </c>
      <c r="AP181">
        <v>12.2</v>
      </c>
      <c r="AQ181">
        <v>14.5</v>
      </c>
      <c r="AR181">
        <v>1.4</v>
      </c>
      <c r="AS181">
        <v>1.2</v>
      </c>
      <c r="AT181">
        <v>2.6</v>
      </c>
      <c r="AU181">
        <v>9.7000000000000003E-2</v>
      </c>
      <c r="AV181">
        <v>-1.5</v>
      </c>
      <c r="AW181">
        <v>-0.5</v>
      </c>
      <c r="AX181">
        <v>-2.1</v>
      </c>
      <c r="AY181">
        <v>0</v>
      </c>
      <c r="AZ181" s="8">
        <v>0.25</v>
      </c>
      <c r="BA181" s="8">
        <v>0.15989582467230951</v>
      </c>
      <c r="BB181" s="3">
        <v>0</v>
      </c>
    </row>
    <row r="182" spans="1:54" x14ac:dyDescent="0.25">
      <c r="A182" t="s">
        <v>142</v>
      </c>
      <c r="B182" s="2">
        <v>19568360</v>
      </c>
      <c r="C182" t="s">
        <v>62</v>
      </c>
      <c r="D182">
        <v>34</v>
      </c>
      <c r="E182" t="s">
        <v>55</v>
      </c>
      <c r="F182">
        <v>69</v>
      </c>
      <c r="G182">
        <v>58</v>
      </c>
      <c r="H182">
        <v>28.5</v>
      </c>
      <c r="I182">
        <v>4.2</v>
      </c>
      <c r="J182">
        <v>9.5</v>
      </c>
      <c r="K182">
        <v>0.44600000000000001</v>
      </c>
      <c r="L182">
        <v>1.9</v>
      </c>
      <c r="M182">
        <v>5.2</v>
      </c>
      <c r="N182">
        <v>0.371</v>
      </c>
      <c r="O182">
        <v>2.2999999999999998</v>
      </c>
      <c r="P182">
        <v>4.3</v>
      </c>
      <c r="Q182">
        <v>0.53500000000000003</v>
      </c>
      <c r="R182">
        <v>0.54700000000000004</v>
      </c>
      <c r="S182">
        <v>2.1</v>
      </c>
      <c r="T182">
        <v>2.5</v>
      </c>
      <c r="U182">
        <v>0.82099999999999995</v>
      </c>
      <c r="V182">
        <v>0.2</v>
      </c>
      <c r="W182">
        <v>1.7</v>
      </c>
      <c r="X182">
        <v>1.9</v>
      </c>
      <c r="Y182">
        <v>2.7</v>
      </c>
      <c r="Z182">
        <v>0.6</v>
      </c>
      <c r="AA182">
        <v>0.4</v>
      </c>
      <c r="AB182">
        <v>1.5</v>
      </c>
      <c r="AC182">
        <v>1.1000000000000001</v>
      </c>
      <c r="AD182">
        <v>12.4</v>
      </c>
      <c r="AE182">
        <v>1965</v>
      </c>
      <c r="AF182">
        <v>11.8</v>
      </c>
      <c r="AG182">
        <v>0.58699999999999997</v>
      </c>
      <c r="AH182">
        <v>0.54500000000000004</v>
      </c>
      <c r="AI182">
        <v>0.26500000000000001</v>
      </c>
      <c r="AJ182">
        <v>0.9</v>
      </c>
      <c r="AK182">
        <v>6.7</v>
      </c>
      <c r="AL182">
        <v>3.8</v>
      </c>
      <c r="AM182">
        <v>13.4</v>
      </c>
      <c r="AN182">
        <v>1.1000000000000001</v>
      </c>
      <c r="AO182">
        <v>1.2</v>
      </c>
      <c r="AP182">
        <v>12.5</v>
      </c>
      <c r="AQ182">
        <v>17.8</v>
      </c>
      <c r="AR182">
        <v>1.8</v>
      </c>
      <c r="AS182">
        <v>0.5</v>
      </c>
      <c r="AT182">
        <v>2.2999999999999998</v>
      </c>
      <c r="AU182">
        <v>5.6000000000000001E-2</v>
      </c>
      <c r="AV182">
        <v>-0.5</v>
      </c>
      <c r="AW182">
        <v>-1.4</v>
      </c>
      <c r="AX182">
        <v>-1.9</v>
      </c>
      <c r="AY182">
        <v>0.1</v>
      </c>
      <c r="AZ182" s="8">
        <v>0.19999999999999996</v>
      </c>
      <c r="BA182" s="8">
        <v>1.0220580569858688E-2</v>
      </c>
      <c r="BB182" s="3">
        <v>0</v>
      </c>
    </row>
    <row r="183" spans="1:54" x14ac:dyDescent="0.25">
      <c r="A183" t="s">
        <v>248</v>
      </c>
      <c r="B183" s="2">
        <v>6922320</v>
      </c>
      <c r="C183" t="s">
        <v>62</v>
      </c>
      <c r="D183">
        <v>21</v>
      </c>
      <c r="E183" t="s">
        <v>152</v>
      </c>
      <c r="F183">
        <v>53</v>
      </c>
      <c r="G183">
        <v>19</v>
      </c>
      <c r="H183">
        <v>23.5</v>
      </c>
      <c r="I183">
        <v>3.5</v>
      </c>
      <c r="J183">
        <v>8.4</v>
      </c>
      <c r="K183">
        <v>0.41899999999999998</v>
      </c>
      <c r="L183">
        <v>1.2</v>
      </c>
      <c r="M183">
        <v>3.8</v>
      </c>
      <c r="N183">
        <v>0.32700000000000001</v>
      </c>
      <c r="O183">
        <v>2.2999999999999998</v>
      </c>
      <c r="P183">
        <v>4.5999999999999996</v>
      </c>
      <c r="Q183">
        <v>0.496</v>
      </c>
      <c r="R183">
        <v>0.49299999999999999</v>
      </c>
      <c r="S183">
        <v>1.6</v>
      </c>
      <c r="T183">
        <v>2.2000000000000002</v>
      </c>
      <c r="U183">
        <v>0.72299999999999998</v>
      </c>
      <c r="V183">
        <v>1</v>
      </c>
      <c r="W183">
        <v>2</v>
      </c>
      <c r="X183">
        <v>3</v>
      </c>
      <c r="Y183">
        <v>2.9</v>
      </c>
      <c r="Z183">
        <v>1.3</v>
      </c>
      <c r="AA183">
        <v>0.5</v>
      </c>
      <c r="AB183">
        <v>1.8</v>
      </c>
      <c r="AC183">
        <v>2.2999999999999998</v>
      </c>
      <c r="AD183">
        <v>9.9</v>
      </c>
      <c r="AE183">
        <v>1246</v>
      </c>
      <c r="AF183">
        <v>12.5</v>
      </c>
      <c r="AG183">
        <v>0.52800000000000002</v>
      </c>
      <c r="AH183">
        <v>0.45500000000000002</v>
      </c>
      <c r="AI183">
        <v>0.26800000000000002</v>
      </c>
      <c r="AJ183">
        <v>5</v>
      </c>
      <c r="AK183">
        <v>9.6</v>
      </c>
      <c r="AL183">
        <v>7.3</v>
      </c>
      <c r="AM183">
        <v>18</v>
      </c>
      <c r="AN183">
        <v>2.6</v>
      </c>
      <c r="AO183">
        <v>2.1</v>
      </c>
      <c r="AP183">
        <v>15.9</v>
      </c>
      <c r="AQ183">
        <v>20.3</v>
      </c>
      <c r="AR183">
        <v>-0.2</v>
      </c>
      <c r="AS183">
        <v>1.5</v>
      </c>
      <c r="AT183">
        <v>1.4</v>
      </c>
      <c r="AU183">
        <v>5.2999999999999999E-2</v>
      </c>
      <c r="AV183">
        <v>-1.8</v>
      </c>
      <c r="AW183">
        <v>0.8</v>
      </c>
      <c r="AX183">
        <v>-1</v>
      </c>
      <c r="AY183">
        <v>0.3</v>
      </c>
      <c r="AZ183" s="8">
        <v>0.19999999999999996</v>
      </c>
      <c r="BA183" s="8">
        <v>2.8892047752776519E-2</v>
      </c>
      <c r="BB183" s="3">
        <v>0</v>
      </c>
    </row>
    <row r="184" spans="1:54" x14ac:dyDescent="0.25">
      <c r="A184" t="s">
        <v>451</v>
      </c>
      <c r="B184" s="2">
        <v>1563518</v>
      </c>
      <c r="C184" t="s">
        <v>62</v>
      </c>
      <c r="D184">
        <v>23</v>
      </c>
      <c r="E184" t="s">
        <v>87</v>
      </c>
      <c r="F184">
        <v>80</v>
      </c>
      <c r="G184">
        <v>51</v>
      </c>
      <c r="H184">
        <v>26.2</v>
      </c>
      <c r="I184">
        <v>3.5</v>
      </c>
      <c r="J184">
        <v>7.1</v>
      </c>
      <c r="K184">
        <v>0.49299999999999999</v>
      </c>
      <c r="L184">
        <v>0.7</v>
      </c>
      <c r="M184">
        <v>2.4</v>
      </c>
      <c r="N184">
        <v>0.312</v>
      </c>
      <c r="O184">
        <v>2.8</v>
      </c>
      <c r="P184">
        <v>4.8</v>
      </c>
      <c r="Q184">
        <v>0.58299999999999996</v>
      </c>
      <c r="R184">
        <v>0.54500000000000004</v>
      </c>
      <c r="S184">
        <v>0.8</v>
      </c>
      <c r="T184">
        <v>1</v>
      </c>
      <c r="U184">
        <v>0.80500000000000005</v>
      </c>
      <c r="V184">
        <v>0.6</v>
      </c>
      <c r="W184">
        <v>2.2000000000000002</v>
      </c>
      <c r="X184">
        <v>2.8</v>
      </c>
      <c r="Y184">
        <v>2.6</v>
      </c>
      <c r="Z184">
        <v>0.8</v>
      </c>
      <c r="AA184">
        <v>0.3</v>
      </c>
      <c r="AB184">
        <v>1.2</v>
      </c>
      <c r="AC184">
        <v>2.2999999999999998</v>
      </c>
      <c r="AD184">
        <v>8.6</v>
      </c>
      <c r="AE184">
        <v>2098</v>
      </c>
      <c r="AF184">
        <v>10.199999999999999</v>
      </c>
      <c r="AG184">
        <v>0.56699999999999995</v>
      </c>
      <c r="AH184">
        <v>0.33200000000000002</v>
      </c>
      <c r="AI184">
        <v>0.14399999999999999</v>
      </c>
      <c r="AJ184">
        <v>2.5</v>
      </c>
      <c r="AK184">
        <v>9.3000000000000007</v>
      </c>
      <c r="AL184">
        <v>5.9</v>
      </c>
      <c r="AM184">
        <v>13.2</v>
      </c>
      <c r="AN184">
        <v>1.4</v>
      </c>
      <c r="AO184">
        <v>1.2</v>
      </c>
      <c r="AP184">
        <v>14</v>
      </c>
      <c r="AQ184">
        <v>14.9</v>
      </c>
      <c r="AR184">
        <v>0.7</v>
      </c>
      <c r="AS184">
        <v>2.2000000000000002</v>
      </c>
      <c r="AT184">
        <v>2.9</v>
      </c>
      <c r="AU184">
        <v>6.7000000000000004E-2</v>
      </c>
      <c r="AV184">
        <v>-3</v>
      </c>
      <c r="AW184">
        <v>0.6</v>
      </c>
      <c r="AX184">
        <v>-2.5</v>
      </c>
      <c r="AY184">
        <v>-0.2</v>
      </c>
      <c r="AZ184" s="8">
        <v>0.19999999999999996</v>
      </c>
      <c r="BA184" s="8">
        <v>0.12791665973784755</v>
      </c>
      <c r="BB184" s="3">
        <v>0</v>
      </c>
    </row>
    <row r="185" spans="1:54" x14ac:dyDescent="0.25">
      <c r="A185" t="s">
        <v>178</v>
      </c>
      <c r="B185" s="2">
        <v>13340000</v>
      </c>
      <c r="C185" t="s">
        <v>62</v>
      </c>
      <c r="D185">
        <v>30</v>
      </c>
      <c r="E185" t="s">
        <v>130</v>
      </c>
      <c r="F185">
        <v>61</v>
      </c>
      <c r="G185">
        <v>61</v>
      </c>
      <c r="H185">
        <v>32.6</v>
      </c>
      <c r="I185">
        <v>7.5</v>
      </c>
      <c r="J185">
        <v>16.899999999999999</v>
      </c>
      <c r="K185">
        <v>0.44400000000000001</v>
      </c>
      <c r="L185">
        <v>2.5</v>
      </c>
      <c r="M185">
        <v>7.5</v>
      </c>
      <c r="N185">
        <v>0.33800000000000002</v>
      </c>
      <c r="O185">
        <v>5</v>
      </c>
      <c r="P185">
        <v>9.4</v>
      </c>
      <c r="Q185">
        <v>0.53</v>
      </c>
      <c r="R185">
        <v>0.51900000000000002</v>
      </c>
      <c r="S185">
        <v>3.3</v>
      </c>
      <c r="T185">
        <v>4</v>
      </c>
      <c r="U185">
        <v>0.81599999999999995</v>
      </c>
      <c r="V185">
        <v>1.2</v>
      </c>
      <c r="W185">
        <v>2.9</v>
      </c>
      <c r="X185">
        <v>4</v>
      </c>
      <c r="Y185">
        <v>4.4000000000000004</v>
      </c>
      <c r="Z185">
        <v>0.5</v>
      </c>
      <c r="AA185">
        <v>0.2</v>
      </c>
      <c r="AB185">
        <v>3</v>
      </c>
      <c r="AC185">
        <v>2</v>
      </c>
      <c r="AD185">
        <v>20.8</v>
      </c>
      <c r="AE185">
        <v>1988</v>
      </c>
      <c r="AF185">
        <v>14.7</v>
      </c>
      <c r="AG185">
        <v>0.55800000000000005</v>
      </c>
      <c r="AH185">
        <v>0.44500000000000001</v>
      </c>
      <c r="AI185">
        <v>0.23799999999999999</v>
      </c>
      <c r="AJ185">
        <v>4</v>
      </c>
      <c r="AK185">
        <v>9.3000000000000007</v>
      </c>
      <c r="AL185">
        <v>6.7</v>
      </c>
      <c r="AM185">
        <v>20.9</v>
      </c>
      <c r="AN185">
        <v>0.8</v>
      </c>
      <c r="AO185">
        <v>0.6</v>
      </c>
      <c r="AP185">
        <v>14</v>
      </c>
      <c r="AQ185">
        <v>27.8</v>
      </c>
      <c r="AR185">
        <v>0.9</v>
      </c>
      <c r="AS185">
        <v>0.8</v>
      </c>
      <c r="AT185">
        <v>1.7</v>
      </c>
      <c r="AU185">
        <v>4.2000000000000003E-2</v>
      </c>
      <c r="AV185">
        <v>1</v>
      </c>
      <c r="AW185">
        <v>-2.4</v>
      </c>
      <c r="AX185">
        <v>-1.4</v>
      </c>
      <c r="AY185">
        <v>0.3</v>
      </c>
      <c r="AZ185" s="8">
        <v>0.15000000000000002</v>
      </c>
      <c r="BA185" s="8">
        <v>1.1244377811094455E-2</v>
      </c>
      <c r="BB185" s="3">
        <v>0</v>
      </c>
    </row>
    <row r="186" spans="1:54" x14ac:dyDescent="0.25">
      <c r="A186" t="s">
        <v>278</v>
      </c>
      <c r="B186" s="2">
        <v>5155500</v>
      </c>
      <c r="C186" t="s">
        <v>52</v>
      </c>
      <c r="D186">
        <v>31</v>
      </c>
      <c r="E186" t="s">
        <v>201</v>
      </c>
      <c r="F186">
        <v>62</v>
      </c>
      <c r="G186">
        <v>2</v>
      </c>
      <c r="H186">
        <v>19.8</v>
      </c>
      <c r="I186">
        <v>2.4</v>
      </c>
      <c r="J186">
        <v>5.7</v>
      </c>
      <c r="K186">
        <v>0.42699999999999999</v>
      </c>
      <c r="L186">
        <v>1.1000000000000001</v>
      </c>
      <c r="M186">
        <v>2.9</v>
      </c>
      <c r="N186">
        <v>0.38900000000000001</v>
      </c>
      <c r="O186">
        <v>1.3</v>
      </c>
      <c r="P186">
        <v>2.8</v>
      </c>
      <c r="Q186">
        <v>0.46800000000000003</v>
      </c>
      <c r="R186">
        <v>0.52700000000000002</v>
      </c>
      <c r="S186">
        <v>0.9</v>
      </c>
      <c r="T186">
        <v>1.2</v>
      </c>
      <c r="U186">
        <v>0.79200000000000004</v>
      </c>
      <c r="V186">
        <v>0.3</v>
      </c>
      <c r="W186">
        <v>1.4</v>
      </c>
      <c r="X186">
        <v>1.7</v>
      </c>
      <c r="Y186">
        <v>3.5</v>
      </c>
      <c r="Z186">
        <v>0.5</v>
      </c>
      <c r="AA186">
        <v>0.1</v>
      </c>
      <c r="AB186">
        <v>0.9</v>
      </c>
      <c r="AC186">
        <v>1.4</v>
      </c>
      <c r="AD186">
        <v>6.9</v>
      </c>
      <c r="AE186">
        <v>1227</v>
      </c>
      <c r="AF186">
        <v>12.1</v>
      </c>
      <c r="AG186">
        <v>0.55800000000000005</v>
      </c>
      <c r="AH186">
        <v>0.51300000000000001</v>
      </c>
      <c r="AI186">
        <v>0.20499999999999999</v>
      </c>
      <c r="AJ186">
        <v>1.8</v>
      </c>
      <c r="AK186">
        <v>7.9</v>
      </c>
      <c r="AL186">
        <v>4.8</v>
      </c>
      <c r="AM186">
        <v>25.4</v>
      </c>
      <c r="AN186">
        <v>1.3</v>
      </c>
      <c r="AO186">
        <v>0.6</v>
      </c>
      <c r="AP186">
        <v>12.8</v>
      </c>
      <c r="AQ186">
        <v>15.2</v>
      </c>
      <c r="AR186">
        <v>1.5</v>
      </c>
      <c r="AS186">
        <v>0.3</v>
      </c>
      <c r="AT186">
        <v>1.8</v>
      </c>
      <c r="AU186">
        <v>7.0000000000000007E-2</v>
      </c>
      <c r="AV186">
        <v>-0.7</v>
      </c>
      <c r="AW186">
        <v>-0.8</v>
      </c>
      <c r="AX186">
        <v>-1.5</v>
      </c>
      <c r="AY186">
        <v>0.2</v>
      </c>
      <c r="AZ186" s="8">
        <v>0.15000000000000002</v>
      </c>
      <c r="BA186" s="8">
        <v>2.9095141111434394E-2</v>
      </c>
      <c r="BB186" s="3">
        <v>0</v>
      </c>
    </row>
    <row r="187" spans="1:54" x14ac:dyDescent="0.25">
      <c r="A187" t="s">
        <v>460</v>
      </c>
      <c r="B187" s="2">
        <v>1563518</v>
      </c>
      <c r="C187" t="s">
        <v>28</v>
      </c>
      <c r="D187">
        <v>22</v>
      </c>
      <c r="E187" t="s">
        <v>70</v>
      </c>
      <c r="F187">
        <v>62</v>
      </c>
      <c r="G187">
        <v>12</v>
      </c>
      <c r="H187">
        <v>19.100000000000001</v>
      </c>
      <c r="I187">
        <v>2.9</v>
      </c>
      <c r="J187">
        <v>5.2</v>
      </c>
      <c r="K187">
        <v>0.56000000000000005</v>
      </c>
      <c r="L187">
        <v>0.4</v>
      </c>
      <c r="M187">
        <v>1</v>
      </c>
      <c r="N187">
        <v>0.39100000000000001</v>
      </c>
      <c r="O187">
        <v>2.5</v>
      </c>
      <c r="P187">
        <v>4.2</v>
      </c>
      <c r="Q187">
        <v>0.60199999999999998</v>
      </c>
      <c r="R187">
        <v>0.59899999999999998</v>
      </c>
      <c r="S187">
        <v>1.2</v>
      </c>
      <c r="T187">
        <v>1.6</v>
      </c>
      <c r="U187">
        <v>0.72</v>
      </c>
      <c r="V187">
        <v>0.7</v>
      </c>
      <c r="W187">
        <v>3.2</v>
      </c>
      <c r="X187">
        <v>3.8</v>
      </c>
      <c r="Y187">
        <v>2.1</v>
      </c>
      <c r="Z187">
        <v>0.5</v>
      </c>
      <c r="AA187">
        <v>0.2</v>
      </c>
      <c r="AB187">
        <v>1.1000000000000001</v>
      </c>
      <c r="AC187">
        <v>1.9</v>
      </c>
      <c r="AD187">
        <v>7.4</v>
      </c>
      <c r="AE187">
        <v>1182</v>
      </c>
      <c r="AF187">
        <v>13.6</v>
      </c>
      <c r="AG187">
        <v>0.625</v>
      </c>
      <c r="AH187">
        <v>0.19800000000000001</v>
      </c>
      <c r="AI187">
        <v>0.31</v>
      </c>
      <c r="AJ187">
        <v>4.0999999999999996</v>
      </c>
      <c r="AK187">
        <v>19.2</v>
      </c>
      <c r="AL187">
        <v>11.6</v>
      </c>
      <c r="AM187">
        <v>16</v>
      </c>
      <c r="AN187">
        <v>1.3</v>
      </c>
      <c r="AO187">
        <v>0.9</v>
      </c>
      <c r="AP187">
        <v>16.2</v>
      </c>
      <c r="AQ187">
        <v>16.100000000000001</v>
      </c>
      <c r="AR187">
        <v>1.3</v>
      </c>
      <c r="AS187">
        <v>0.7</v>
      </c>
      <c r="AT187">
        <v>2.1</v>
      </c>
      <c r="AU187">
        <v>8.4000000000000005E-2</v>
      </c>
      <c r="AV187">
        <v>-1.4</v>
      </c>
      <c r="AW187">
        <v>-0.4</v>
      </c>
      <c r="AX187">
        <v>-1.8</v>
      </c>
      <c r="AY187">
        <v>0.1</v>
      </c>
      <c r="AZ187" s="8">
        <v>0.15000000000000002</v>
      </c>
      <c r="BA187" s="8">
        <v>9.5937494803385717E-2</v>
      </c>
      <c r="BB187" s="3">
        <v>0</v>
      </c>
    </row>
    <row r="188" spans="1:54" x14ac:dyDescent="0.25">
      <c r="A188" t="s">
        <v>333</v>
      </c>
      <c r="B188" s="2">
        <v>3098400</v>
      </c>
      <c r="C188" t="s">
        <v>62</v>
      </c>
      <c r="D188">
        <v>22</v>
      </c>
      <c r="E188" t="s">
        <v>73</v>
      </c>
      <c r="F188">
        <v>60</v>
      </c>
      <c r="G188">
        <v>21</v>
      </c>
      <c r="H188">
        <v>25.7</v>
      </c>
      <c r="I188">
        <v>3.4</v>
      </c>
      <c r="J188">
        <v>6.4</v>
      </c>
      <c r="K188">
        <v>0.53700000000000003</v>
      </c>
      <c r="L188">
        <v>1.1000000000000001</v>
      </c>
      <c r="M188">
        <v>2.8</v>
      </c>
      <c r="N188">
        <v>0.40200000000000002</v>
      </c>
      <c r="O188">
        <v>2.2999999999999998</v>
      </c>
      <c r="P188">
        <v>3.6</v>
      </c>
      <c r="Q188">
        <v>0.64300000000000002</v>
      </c>
      <c r="R188">
        <v>0.626</v>
      </c>
      <c r="S188">
        <v>1.1000000000000001</v>
      </c>
      <c r="T188">
        <v>1.6</v>
      </c>
      <c r="U188">
        <v>0.72299999999999998</v>
      </c>
      <c r="V188">
        <v>0.9</v>
      </c>
      <c r="W188">
        <v>2.1</v>
      </c>
      <c r="X188">
        <v>3</v>
      </c>
      <c r="Y188">
        <v>1.7</v>
      </c>
      <c r="Z188">
        <v>0.7</v>
      </c>
      <c r="AA188">
        <v>0.1</v>
      </c>
      <c r="AB188">
        <v>1.2</v>
      </c>
      <c r="AC188">
        <v>2.6</v>
      </c>
      <c r="AD188">
        <v>9.1</v>
      </c>
      <c r="AE188">
        <v>1539</v>
      </c>
      <c r="AF188">
        <v>11.2</v>
      </c>
      <c r="AG188">
        <v>0.64500000000000002</v>
      </c>
      <c r="AH188">
        <v>0.442</v>
      </c>
      <c r="AI188">
        <v>0.246</v>
      </c>
      <c r="AJ188">
        <v>4.0999999999999996</v>
      </c>
      <c r="AK188">
        <v>9.6999999999999993</v>
      </c>
      <c r="AL188">
        <v>6.9</v>
      </c>
      <c r="AM188">
        <v>9.6999999999999993</v>
      </c>
      <c r="AN188">
        <v>1.4</v>
      </c>
      <c r="AO188">
        <v>0.3</v>
      </c>
      <c r="AP188">
        <v>14.5</v>
      </c>
      <c r="AQ188">
        <v>14.6</v>
      </c>
      <c r="AR188">
        <v>1.7</v>
      </c>
      <c r="AS188">
        <v>0.9</v>
      </c>
      <c r="AT188">
        <v>2.6</v>
      </c>
      <c r="AU188">
        <v>8.2000000000000003E-2</v>
      </c>
      <c r="AV188">
        <v>-1.9</v>
      </c>
      <c r="AW188">
        <v>-0.6</v>
      </c>
      <c r="AX188">
        <v>-2.4</v>
      </c>
      <c r="AY188">
        <v>-0.2</v>
      </c>
      <c r="AZ188" s="8">
        <v>0.10000000000000009</v>
      </c>
      <c r="BA188" s="8">
        <v>3.227472243738707E-2</v>
      </c>
      <c r="BB188" s="3">
        <v>0</v>
      </c>
    </row>
    <row r="189" spans="1:54" x14ac:dyDescent="0.25">
      <c r="A189" t="s">
        <v>206</v>
      </c>
      <c r="B189" s="2">
        <v>10012800</v>
      </c>
      <c r="C189" t="s">
        <v>65</v>
      </c>
      <c r="D189">
        <v>31</v>
      </c>
      <c r="E189" t="s">
        <v>73</v>
      </c>
      <c r="F189">
        <v>78</v>
      </c>
      <c r="G189">
        <v>55</v>
      </c>
      <c r="H189">
        <v>30.3</v>
      </c>
      <c r="I189">
        <v>2.5</v>
      </c>
      <c r="J189">
        <v>6</v>
      </c>
      <c r="K189">
        <v>0.40899999999999997</v>
      </c>
      <c r="L189">
        <v>1.9</v>
      </c>
      <c r="M189">
        <v>5.0999999999999996</v>
      </c>
      <c r="N189">
        <v>0.38</v>
      </c>
      <c r="O189">
        <v>0.5</v>
      </c>
      <c r="P189">
        <v>0.9</v>
      </c>
      <c r="Q189">
        <v>0.56200000000000006</v>
      </c>
      <c r="R189">
        <v>0.56899999999999995</v>
      </c>
      <c r="S189">
        <v>0.3</v>
      </c>
      <c r="T189">
        <v>0.5</v>
      </c>
      <c r="U189">
        <v>0.70299999999999996</v>
      </c>
      <c r="V189">
        <v>0.4</v>
      </c>
      <c r="W189">
        <v>3.2</v>
      </c>
      <c r="X189">
        <v>3.6</v>
      </c>
      <c r="Y189">
        <v>1.4</v>
      </c>
      <c r="Z189">
        <v>0.7</v>
      </c>
      <c r="AA189">
        <v>0.2</v>
      </c>
      <c r="AB189">
        <v>0.5</v>
      </c>
      <c r="AC189">
        <v>2.1</v>
      </c>
      <c r="AD189">
        <v>7.2</v>
      </c>
      <c r="AE189">
        <v>2364</v>
      </c>
      <c r="AF189">
        <v>7.7</v>
      </c>
      <c r="AG189">
        <v>0.57699999999999996</v>
      </c>
      <c r="AH189">
        <v>0.84499999999999997</v>
      </c>
      <c r="AI189">
        <v>7.9000000000000001E-2</v>
      </c>
      <c r="AJ189">
        <v>1.6</v>
      </c>
      <c r="AK189">
        <v>12.5</v>
      </c>
      <c r="AL189">
        <v>7</v>
      </c>
      <c r="AM189">
        <v>6.2</v>
      </c>
      <c r="AN189">
        <v>1.1000000000000001</v>
      </c>
      <c r="AO189">
        <v>0.5</v>
      </c>
      <c r="AP189">
        <v>6.9</v>
      </c>
      <c r="AQ189">
        <v>10</v>
      </c>
      <c r="AR189">
        <v>1.3</v>
      </c>
      <c r="AS189">
        <v>1.4</v>
      </c>
      <c r="AT189">
        <v>2.8</v>
      </c>
      <c r="AU189">
        <v>5.6000000000000001E-2</v>
      </c>
      <c r="AV189">
        <v>-2.2999999999999998</v>
      </c>
      <c r="AW189">
        <v>-0.3</v>
      </c>
      <c r="AX189">
        <v>-2.6</v>
      </c>
      <c r="AY189">
        <v>-0.4</v>
      </c>
      <c r="AZ189" s="8">
        <v>9.9999999999999867E-2</v>
      </c>
      <c r="BA189" s="8">
        <v>9.987216363055277E-3</v>
      </c>
      <c r="BB189" s="3">
        <v>0</v>
      </c>
    </row>
    <row r="190" spans="1:54" x14ac:dyDescent="0.25">
      <c r="A190" t="s">
        <v>288</v>
      </c>
      <c r="B190" s="2">
        <v>4670160</v>
      </c>
      <c r="C190" t="s">
        <v>75</v>
      </c>
      <c r="D190">
        <v>22</v>
      </c>
      <c r="E190" t="s">
        <v>93</v>
      </c>
      <c r="F190">
        <v>68</v>
      </c>
      <c r="G190">
        <v>31</v>
      </c>
      <c r="H190">
        <v>18.8</v>
      </c>
      <c r="I190">
        <v>3.6</v>
      </c>
      <c r="J190">
        <v>7.5</v>
      </c>
      <c r="K190">
        <v>0.47599999999999998</v>
      </c>
      <c r="L190">
        <v>0.8</v>
      </c>
      <c r="M190">
        <v>2.8</v>
      </c>
      <c r="N190">
        <v>0.28299999999999997</v>
      </c>
      <c r="O190">
        <v>2.8</v>
      </c>
      <c r="P190">
        <v>4.7</v>
      </c>
      <c r="Q190">
        <v>0.59299999999999997</v>
      </c>
      <c r="R190">
        <v>0.53</v>
      </c>
      <c r="S190">
        <v>1.5</v>
      </c>
      <c r="T190">
        <v>2</v>
      </c>
      <c r="U190">
        <v>0.75900000000000001</v>
      </c>
      <c r="V190">
        <v>1.9</v>
      </c>
      <c r="W190">
        <v>3.9</v>
      </c>
      <c r="X190">
        <v>5.8</v>
      </c>
      <c r="Y190">
        <v>1</v>
      </c>
      <c r="Z190">
        <v>0.3</v>
      </c>
      <c r="AA190">
        <v>0.9</v>
      </c>
      <c r="AB190">
        <v>1.1000000000000001</v>
      </c>
      <c r="AC190">
        <v>2.2999999999999998</v>
      </c>
      <c r="AD190">
        <v>9.4</v>
      </c>
      <c r="AE190">
        <v>1279</v>
      </c>
      <c r="AF190">
        <v>15.9</v>
      </c>
      <c r="AG190">
        <v>0.56499999999999995</v>
      </c>
      <c r="AH190">
        <v>0.376</v>
      </c>
      <c r="AI190">
        <v>0.27</v>
      </c>
      <c r="AJ190">
        <v>11.2</v>
      </c>
      <c r="AK190">
        <v>22.9</v>
      </c>
      <c r="AL190">
        <v>17.100000000000001</v>
      </c>
      <c r="AM190">
        <v>7.6</v>
      </c>
      <c r="AN190">
        <v>0.8</v>
      </c>
      <c r="AO190">
        <v>4</v>
      </c>
      <c r="AP190">
        <v>11.2</v>
      </c>
      <c r="AQ190">
        <v>21</v>
      </c>
      <c r="AR190">
        <v>1.1000000000000001</v>
      </c>
      <c r="AS190">
        <v>1.1000000000000001</v>
      </c>
      <c r="AT190">
        <v>2.2999999999999998</v>
      </c>
      <c r="AU190">
        <v>8.5000000000000006E-2</v>
      </c>
      <c r="AV190">
        <v>-0.9</v>
      </c>
      <c r="AW190">
        <v>-1.1000000000000001</v>
      </c>
      <c r="AX190">
        <v>-2.1</v>
      </c>
      <c r="AY190">
        <v>0</v>
      </c>
      <c r="AZ190" s="8">
        <v>9.9999999999999867E-2</v>
      </c>
      <c r="BA190" s="8">
        <v>2.1412542610959769E-2</v>
      </c>
      <c r="BB190" s="3">
        <v>0</v>
      </c>
    </row>
    <row r="191" spans="1:54" x14ac:dyDescent="0.25">
      <c r="A191" t="s">
        <v>163</v>
      </c>
      <c r="B191" s="2">
        <v>16372093</v>
      </c>
      <c r="C191" t="s">
        <v>28</v>
      </c>
      <c r="D191">
        <v>33</v>
      </c>
      <c r="E191" t="s">
        <v>55</v>
      </c>
      <c r="F191">
        <v>65</v>
      </c>
      <c r="G191">
        <v>65</v>
      </c>
      <c r="H191">
        <v>28.1</v>
      </c>
      <c r="I191">
        <v>4.2</v>
      </c>
      <c r="J191">
        <v>9.9</v>
      </c>
      <c r="K191">
        <v>0.42599999999999999</v>
      </c>
      <c r="L191">
        <v>1.7</v>
      </c>
      <c r="M191">
        <v>4.7</v>
      </c>
      <c r="N191">
        <v>0.36399999999999999</v>
      </c>
      <c r="O191">
        <v>2.5</v>
      </c>
      <c r="P191">
        <v>5.2</v>
      </c>
      <c r="Q191">
        <v>0.48399999999999999</v>
      </c>
      <c r="R191">
        <v>0.51300000000000001</v>
      </c>
      <c r="S191">
        <v>1</v>
      </c>
      <c r="T191">
        <v>1.3</v>
      </c>
      <c r="U191">
        <v>0.78200000000000003</v>
      </c>
      <c r="V191">
        <v>0.4</v>
      </c>
      <c r="W191">
        <v>3.5</v>
      </c>
      <c r="X191">
        <v>4</v>
      </c>
      <c r="Y191">
        <v>1.8</v>
      </c>
      <c r="Z191">
        <v>0.6</v>
      </c>
      <c r="AA191">
        <v>0.3</v>
      </c>
      <c r="AB191">
        <v>0.9</v>
      </c>
      <c r="AC191">
        <v>2.1</v>
      </c>
      <c r="AD191">
        <v>11.2</v>
      </c>
      <c r="AE191">
        <v>1825</v>
      </c>
      <c r="AF191">
        <v>10.5</v>
      </c>
      <c r="AG191">
        <v>0.53400000000000003</v>
      </c>
      <c r="AH191">
        <v>0.47899999999999998</v>
      </c>
      <c r="AI191">
        <v>0.13500000000000001</v>
      </c>
      <c r="AJ191">
        <v>1.8</v>
      </c>
      <c r="AK191">
        <v>13.9</v>
      </c>
      <c r="AL191">
        <v>7.9</v>
      </c>
      <c r="AM191">
        <v>8.9</v>
      </c>
      <c r="AN191">
        <v>1.1000000000000001</v>
      </c>
      <c r="AO191">
        <v>1</v>
      </c>
      <c r="AP191">
        <v>7.6</v>
      </c>
      <c r="AQ191">
        <v>17.600000000000001</v>
      </c>
      <c r="AR191">
        <v>0.4</v>
      </c>
      <c r="AS191">
        <v>1.6</v>
      </c>
      <c r="AT191">
        <v>2</v>
      </c>
      <c r="AU191">
        <v>5.2999999999999999E-2</v>
      </c>
      <c r="AV191">
        <v>-1.8</v>
      </c>
      <c r="AW191">
        <v>-0.2</v>
      </c>
      <c r="AX191">
        <v>-1.9</v>
      </c>
      <c r="AY191">
        <v>0</v>
      </c>
      <c r="AZ191" s="8">
        <v>5.0000000000000044E-2</v>
      </c>
      <c r="BA191" s="8">
        <v>3.0539772770653115E-3</v>
      </c>
      <c r="BB191" s="3">
        <v>0</v>
      </c>
    </row>
    <row r="192" spans="1:54" x14ac:dyDescent="0.25">
      <c r="A192" t="s">
        <v>182</v>
      </c>
      <c r="B192" s="2">
        <v>12939848</v>
      </c>
      <c r="C192" t="s">
        <v>28</v>
      </c>
      <c r="D192">
        <v>29</v>
      </c>
      <c r="E192" t="s">
        <v>73</v>
      </c>
      <c r="F192">
        <v>66</v>
      </c>
      <c r="G192">
        <v>66</v>
      </c>
      <c r="H192">
        <v>30.4</v>
      </c>
      <c r="I192">
        <v>3</v>
      </c>
      <c r="J192">
        <v>7.6</v>
      </c>
      <c r="K192">
        <v>0.39100000000000001</v>
      </c>
      <c r="L192">
        <v>1.7</v>
      </c>
      <c r="M192">
        <v>5.0999999999999996</v>
      </c>
      <c r="N192">
        <v>0.33700000000000002</v>
      </c>
      <c r="O192">
        <v>1.2</v>
      </c>
      <c r="P192">
        <v>2.5</v>
      </c>
      <c r="Q192">
        <v>0.503</v>
      </c>
      <c r="R192">
        <v>0.505</v>
      </c>
      <c r="S192">
        <v>0.7</v>
      </c>
      <c r="T192">
        <v>0.9</v>
      </c>
      <c r="U192">
        <v>0.76300000000000001</v>
      </c>
      <c r="V192">
        <v>1.7</v>
      </c>
      <c r="W192">
        <v>3.1</v>
      </c>
      <c r="X192">
        <v>4.8</v>
      </c>
      <c r="Y192">
        <v>1.5</v>
      </c>
      <c r="Z192">
        <v>0.8</v>
      </c>
      <c r="AA192">
        <v>0.5</v>
      </c>
      <c r="AB192">
        <v>0.9</v>
      </c>
      <c r="AC192">
        <v>2.2000000000000002</v>
      </c>
      <c r="AD192">
        <v>8.3000000000000007</v>
      </c>
      <c r="AE192">
        <v>2009</v>
      </c>
      <c r="AF192">
        <v>9.1999999999999993</v>
      </c>
      <c r="AG192">
        <v>0.52300000000000002</v>
      </c>
      <c r="AH192">
        <v>0.67500000000000004</v>
      </c>
      <c r="AI192">
        <v>0.11799999999999999</v>
      </c>
      <c r="AJ192">
        <v>6.5</v>
      </c>
      <c r="AK192">
        <v>11.5</v>
      </c>
      <c r="AL192">
        <v>9</v>
      </c>
      <c r="AM192">
        <v>6.7</v>
      </c>
      <c r="AN192">
        <v>1.4</v>
      </c>
      <c r="AO192">
        <v>1.6</v>
      </c>
      <c r="AP192">
        <v>10.5</v>
      </c>
      <c r="AQ192">
        <v>13.2</v>
      </c>
      <c r="AR192">
        <v>0.6</v>
      </c>
      <c r="AS192">
        <v>1.6</v>
      </c>
      <c r="AT192">
        <v>2.1</v>
      </c>
      <c r="AU192">
        <v>5.0999999999999997E-2</v>
      </c>
      <c r="AV192">
        <v>-1.7</v>
      </c>
      <c r="AW192">
        <v>-0.3</v>
      </c>
      <c r="AX192">
        <v>-2</v>
      </c>
      <c r="AY192">
        <v>0</v>
      </c>
      <c r="AZ192" s="8">
        <v>5.0000000000000044E-2</v>
      </c>
      <c r="BA192" s="8">
        <v>3.8640330241900868E-3</v>
      </c>
      <c r="BB192" s="3">
        <v>0</v>
      </c>
    </row>
    <row r="193" spans="1:54" x14ac:dyDescent="0.25">
      <c r="A193" t="s">
        <v>284</v>
      </c>
      <c r="B193" s="2">
        <v>4916160</v>
      </c>
      <c r="C193" t="s">
        <v>65</v>
      </c>
      <c r="D193">
        <v>22</v>
      </c>
      <c r="E193" t="s">
        <v>63</v>
      </c>
      <c r="F193">
        <v>76</v>
      </c>
      <c r="G193">
        <v>40</v>
      </c>
      <c r="H193">
        <v>26.6</v>
      </c>
      <c r="I193">
        <v>3.3</v>
      </c>
      <c r="J193">
        <v>7.6</v>
      </c>
      <c r="K193">
        <v>0.437</v>
      </c>
      <c r="L193">
        <v>0.9</v>
      </c>
      <c r="M193">
        <v>3.1</v>
      </c>
      <c r="N193">
        <v>0.29699999999999999</v>
      </c>
      <c r="O193">
        <v>2.4</v>
      </c>
      <c r="P193">
        <v>4.5999999999999996</v>
      </c>
      <c r="Q193">
        <v>0.53</v>
      </c>
      <c r="R193">
        <v>0.497</v>
      </c>
      <c r="S193">
        <v>1.6</v>
      </c>
      <c r="T193">
        <v>2.2000000000000002</v>
      </c>
      <c r="U193">
        <v>0.73899999999999999</v>
      </c>
      <c r="V193">
        <v>1</v>
      </c>
      <c r="W193">
        <v>5.4</v>
      </c>
      <c r="X193">
        <v>6.4</v>
      </c>
      <c r="Y193">
        <v>2.8</v>
      </c>
      <c r="Z193">
        <v>0.9</v>
      </c>
      <c r="AA193">
        <v>0.4</v>
      </c>
      <c r="AB193">
        <v>1.6</v>
      </c>
      <c r="AC193">
        <v>2.8</v>
      </c>
      <c r="AD193">
        <v>9.1999999999999993</v>
      </c>
      <c r="AE193">
        <v>2020</v>
      </c>
      <c r="AF193">
        <v>11.2</v>
      </c>
      <c r="AG193">
        <v>0.53500000000000003</v>
      </c>
      <c r="AH193">
        <v>0.40100000000000002</v>
      </c>
      <c r="AI193">
        <v>0.28499999999999998</v>
      </c>
      <c r="AJ193">
        <v>4.2</v>
      </c>
      <c r="AK193">
        <v>21.9</v>
      </c>
      <c r="AL193">
        <v>13.4</v>
      </c>
      <c r="AM193">
        <v>13.9</v>
      </c>
      <c r="AN193">
        <v>1.6</v>
      </c>
      <c r="AO193">
        <v>1.2</v>
      </c>
      <c r="AP193">
        <v>15.9</v>
      </c>
      <c r="AQ193">
        <v>16.7</v>
      </c>
      <c r="AR193">
        <v>0</v>
      </c>
      <c r="AS193">
        <v>2.2999999999999998</v>
      </c>
      <c r="AT193">
        <v>2.2999999999999998</v>
      </c>
      <c r="AU193">
        <v>5.3999999999999999E-2</v>
      </c>
      <c r="AV193">
        <v>-2.8</v>
      </c>
      <c r="AW193">
        <v>0.5</v>
      </c>
      <c r="AX193">
        <v>-2.2999999999999998</v>
      </c>
      <c r="AY193">
        <v>-0.1</v>
      </c>
      <c r="AZ193" s="8">
        <v>0</v>
      </c>
      <c r="BA193" s="8">
        <v>0</v>
      </c>
      <c r="BB193" s="3">
        <v>0</v>
      </c>
    </row>
    <row r="194" spans="1:54" x14ac:dyDescent="0.25">
      <c r="B194" s="2"/>
    </row>
    <row r="195" spans="1:54" x14ac:dyDescent="0.25">
      <c r="B195" s="2"/>
    </row>
    <row r="196" spans="1:54" x14ac:dyDescent="0.25">
      <c r="B196" s="2"/>
    </row>
    <row r="197" spans="1:54" x14ac:dyDescent="0.25">
      <c r="B197" s="2"/>
    </row>
    <row r="198" spans="1:54" x14ac:dyDescent="0.25">
      <c r="B198" s="2"/>
    </row>
    <row r="199" spans="1:54" x14ac:dyDescent="0.25">
      <c r="B199" s="2"/>
    </row>
    <row r="200" spans="1:54" x14ac:dyDescent="0.25">
      <c r="B200" s="2"/>
    </row>
    <row r="201" spans="1:54" x14ac:dyDescent="0.25">
      <c r="B201" s="2"/>
    </row>
    <row r="202" spans="1:54" x14ac:dyDescent="0.25">
      <c r="B202" s="2"/>
    </row>
    <row r="203" spans="1:54" x14ac:dyDescent="0.25">
      <c r="B203" s="2"/>
    </row>
    <row r="204" spans="1:54" x14ac:dyDescent="0.25">
      <c r="B204" s="2"/>
    </row>
    <row r="205" spans="1:54" x14ac:dyDescent="0.25">
      <c r="B205" s="2"/>
    </row>
    <row r="206" spans="1:54" x14ac:dyDescent="0.25">
      <c r="B206" s="2"/>
    </row>
    <row r="207" spans="1:54" x14ac:dyDescent="0.25">
      <c r="B207" s="2"/>
    </row>
    <row r="208" spans="1:54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</sheetData>
  <autoFilter ref="A1:BB193" xr:uid="{CB862EB1-C512-4310-9273-B821048DD9A1}">
    <sortState xmlns:xlrd2="http://schemas.microsoft.com/office/spreadsheetml/2017/richdata2" ref="A2:BB193">
      <sortCondition descending="1" ref="BB2:BB193"/>
      <sortCondition descending="1" ref="AZ2:AZ193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BC99-619F-4D93-B2E2-9B5ABC22C47B}">
  <dimension ref="A1:BO324"/>
  <sheetViews>
    <sheetView workbookViewId="0">
      <pane xSplit="3" topLeftCell="AH1" activePane="topRight" state="frozen"/>
      <selection pane="topRight" activeCell="AZ2" sqref="AZ2:AZ9"/>
    </sheetView>
  </sheetViews>
  <sheetFormatPr defaultRowHeight="15" x14ac:dyDescent="0.25"/>
  <cols>
    <col min="1" max="1" width="24.28515625" bestFit="1" customWidth="1"/>
    <col min="2" max="2" width="15.28515625" bestFit="1" customWidth="1"/>
    <col min="3" max="3" width="8.42578125" bestFit="1" customWidth="1"/>
    <col min="4" max="4" width="4.28515625" bestFit="1" customWidth="1"/>
    <col min="5" max="5" width="5.85546875" bestFit="1" customWidth="1"/>
    <col min="6" max="7" width="3.5703125" bestFit="1" customWidth="1"/>
    <col min="8" max="10" width="5" bestFit="1" customWidth="1"/>
    <col min="11" max="11" width="6" bestFit="1" customWidth="1"/>
    <col min="12" max="12" width="4" bestFit="1" customWidth="1"/>
    <col min="13" max="13" width="5" bestFit="1" customWidth="1"/>
    <col min="14" max="14" width="6" bestFit="1" customWidth="1"/>
    <col min="15" max="16" width="5" bestFit="1" customWidth="1"/>
    <col min="17" max="17" width="6" bestFit="1" customWidth="1"/>
    <col min="18" max="18" width="6.140625" bestFit="1" customWidth="1"/>
    <col min="19" max="19" width="4" bestFit="1" customWidth="1"/>
    <col min="20" max="20" width="5" bestFit="1" customWidth="1"/>
    <col min="21" max="21" width="6" bestFit="1" customWidth="1"/>
    <col min="22" max="23" width="4.85546875" bestFit="1" customWidth="1"/>
    <col min="24" max="25" width="5" bestFit="1" customWidth="1"/>
    <col min="26" max="26" width="4.140625" bestFit="1" customWidth="1"/>
    <col min="27" max="27" width="4.28515625" bestFit="1" customWidth="1"/>
    <col min="28" max="28" width="4.5703125" bestFit="1" customWidth="1"/>
    <col min="29" max="29" width="4" bestFit="1" customWidth="1"/>
    <col min="30" max="30" width="5" bestFit="1" customWidth="1"/>
    <col min="31" max="31" width="13.28515625" bestFit="1" customWidth="1"/>
    <col min="32" max="32" width="5" bestFit="1" customWidth="1"/>
    <col min="33" max="35" width="6" bestFit="1" customWidth="1"/>
    <col min="36" max="37" width="6.42578125" bestFit="1" customWidth="1"/>
    <col min="38" max="38" width="6" bestFit="1" customWidth="1"/>
    <col min="39" max="39" width="5.85546875" bestFit="1" customWidth="1"/>
    <col min="40" max="40" width="5.7109375" bestFit="1" customWidth="1"/>
    <col min="41" max="41" width="5.85546875" bestFit="1" customWidth="1"/>
    <col min="42" max="42" width="6.140625" bestFit="1" customWidth="1"/>
    <col min="43" max="43" width="6.42578125" bestFit="1" customWidth="1"/>
    <col min="44" max="45" width="5.42578125" bestFit="1" customWidth="1"/>
    <col min="46" max="46" width="5" bestFit="1" customWidth="1"/>
    <col min="47" max="47" width="6.7109375" bestFit="1" customWidth="1"/>
    <col min="48" max="49" width="6.28515625" bestFit="1" customWidth="1"/>
    <col min="50" max="50" width="4.85546875" bestFit="1" customWidth="1"/>
    <col min="51" max="51" width="6" bestFit="1" customWidth="1"/>
    <col min="52" max="52" width="11.7109375" style="8" customWidth="1"/>
    <col min="53" max="53" width="17.5703125" style="8" customWidth="1"/>
    <col min="54" max="54" width="18.5703125" customWidth="1"/>
    <col min="56" max="56" width="10.7109375" bestFit="1" customWidth="1"/>
    <col min="57" max="57" width="16.28515625" bestFit="1" customWidth="1"/>
    <col min="58" max="58" width="12.28515625" bestFit="1" customWidth="1"/>
    <col min="59" max="60" width="10" bestFit="1" customWidth="1"/>
    <col min="64" max="64" width="16.28515625" bestFit="1" customWidth="1"/>
    <col min="65" max="65" width="11.140625" bestFit="1" customWidth="1"/>
  </cols>
  <sheetData>
    <row r="1" spans="1:6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7" t="s">
        <v>552</v>
      </c>
      <c r="BA1" s="7" t="s">
        <v>553</v>
      </c>
      <c r="BB1" s="9" t="s">
        <v>554</v>
      </c>
      <c r="BD1" s="1" t="s">
        <v>555</v>
      </c>
      <c r="BE1" s="1" t="s">
        <v>557</v>
      </c>
      <c r="BF1" s="1" t="s">
        <v>556</v>
      </c>
      <c r="BG1" s="1" t="s">
        <v>558</v>
      </c>
      <c r="BH1" s="1" t="s">
        <v>559</v>
      </c>
      <c r="BI1" s="1" t="s">
        <v>560</v>
      </c>
      <c r="BJ1" s="1" t="s">
        <v>561</v>
      </c>
      <c r="BK1" s="1" t="s">
        <v>562</v>
      </c>
      <c r="BL1" s="1" t="s">
        <v>563</v>
      </c>
      <c r="BM1" s="1" t="s">
        <v>564</v>
      </c>
    </row>
    <row r="2" spans="1:67" x14ac:dyDescent="0.25">
      <c r="A2" s="6" t="s">
        <v>445</v>
      </c>
      <c r="B2" s="2">
        <v>1637966</v>
      </c>
      <c r="C2" t="s">
        <v>65</v>
      </c>
      <c r="D2">
        <v>25</v>
      </c>
      <c r="E2" t="s">
        <v>113</v>
      </c>
      <c r="F2">
        <v>80</v>
      </c>
      <c r="G2">
        <v>8</v>
      </c>
      <c r="H2">
        <v>16.100000000000001</v>
      </c>
      <c r="I2">
        <v>2.2999999999999998</v>
      </c>
      <c r="J2">
        <v>5</v>
      </c>
      <c r="K2">
        <v>0.45500000000000002</v>
      </c>
      <c r="L2">
        <v>1.8</v>
      </c>
      <c r="M2">
        <v>4.2</v>
      </c>
      <c r="N2">
        <v>0.41799999999999998</v>
      </c>
      <c r="O2">
        <v>0.5</v>
      </c>
      <c r="P2">
        <v>0.8</v>
      </c>
      <c r="Q2">
        <v>0.65600000000000003</v>
      </c>
      <c r="R2">
        <v>0.63100000000000001</v>
      </c>
      <c r="S2">
        <v>0.2</v>
      </c>
      <c r="T2">
        <v>0.2</v>
      </c>
      <c r="U2">
        <v>0.70599999999999996</v>
      </c>
      <c r="V2">
        <v>0.4</v>
      </c>
      <c r="W2">
        <v>2.1</v>
      </c>
      <c r="X2">
        <v>2.6</v>
      </c>
      <c r="Y2">
        <v>0.9</v>
      </c>
      <c r="Z2">
        <v>0.4</v>
      </c>
      <c r="AA2">
        <v>0.3</v>
      </c>
      <c r="AB2">
        <v>0.4</v>
      </c>
      <c r="AC2">
        <v>1.2</v>
      </c>
      <c r="AD2">
        <v>6.4</v>
      </c>
      <c r="AE2">
        <v>1290</v>
      </c>
      <c r="AF2">
        <v>12.7</v>
      </c>
      <c r="AG2">
        <v>0.63400000000000001</v>
      </c>
      <c r="AH2">
        <v>0.84599999999999997</v>
      </c>
      <c r="AI2">
        <v>4.2999999999999997E-2</v>
      </c>
      <c r="AJ2">
        <v>3</v>
      </c>
      <c r="AK2">
        <v>14.1</v>
      </c>
      <c r="AL2">
        <v>8.6</v>
      </c>
      <c r="AM2">
        <v>7.6</v>
      </c>
      <c r="AN2">
        <v>1.1000000000000001</v>
      </c>
      <c r="AO2">
        <v>1.4</v>
      </c>
      <c r="AP2">
        <v>6.9</v>
      </c>
      <c r="AQ2">
        <v>14.7</v>
      </c>
      <c r="AR2">
        <v>1.8</v>
      </c>
      <c r="AS2">
        <v>1.6</v>
      </c>
      <c r="AT2">
        <v>3.4</v>
      </c>
      <c r="AU2">
        <v>0.128</v>
      </c>
      <c r="AV2">
        <v>0.6</v>
      </c>
      <c r="AW2">
        <v>0.4</v>
      </c>
      <c r="AX2">
        <v>1</v>
      </c>
      <c r="AY2">
        <v>1</v>
      </c>
      <c r="AZ2" s="8">
        <v>2.2000000000000002</v>
      </c>
      <c r="BA2" s="8">
        <v>1.3431292224624931</v>
      </c>
      <c r="BB2" s="3">
        <v>1</v>
      </c>
      <c r="BD2" s="10">
        <f>SUMPRODUCT(AZ2:AZ193, BB2:BB193)</f>
        <v>30.35</v>
      </c>
      <c r="BE2" s="11">
        <f>SUMPRODUCT(B2:B193, BB2:BB193)</f>
        <v>149522811</v>
      </c>
      <c r="BF2" s="5">
        <f>SUM(BB2:BB193)</f>
        <v>8</v>
      </c>
      <c r="BG2" s="5" cm="1">
        <f t="array" ref="BG2">SUMPRODUCT(BB2:BB193, --(C2:C193="PG"))</f>
        <v>2</v>
      </c>
      <c r="BH2" s="5" cm="1">
        <f t="array" ref="BH2">SUMPRODUCT(BB2:BB193, --(C2:C193="SG"))</f>
        <v>1</v>
      </c>
      <c r="BI2" s="5" cm="1">
        <f t="array" ref="BI2">SUMPRODUCT(BB2:BB193, --(C2:C193="SF"))</f>
        <v>3</v>
      </c>
      <c r="BJ2" s="5" cm="1">
        <f t="array" ref="BJ2">SUMPRODUCT(BB2:BB193, --(C2:C193="PF"))</f>
        <v>1</v>
      </c>
      <c r="BK2" s="5" cm="1">
        <f t="array" ref="BK2">SUMPRODUCT(BB2:BB193, --(C2:C193="C"))</f>
        <v>1</v>
      </c>
      <c r="BL2" s="12">
        <f>154000000</f>
        <v>154000000</v>
      </c>
      <c r="BM2" s="4">
        <v>12</v>
      </c>
    </row>
    <row r="3" spans="1:67" x14ac:dyDescent="0.25">
      <c r="A3" s="6" t="s">
        <v>112</v>
      </c>
      <c r="B3" s="2">
        <v>30351780</v>
      </c>
      <c r="C3" t="s">
        <v>65</v>
      </c>
      <c r="D3">
        <v>24</v>
      </c>
      <c r="E3" t="s">
        <v>113</v>
      </c>
      <c r="F3">
        <v>74</v>
      </c>
      <c r="G3">
        <v>74</v>
      </c>
      <c r="H3">
        <v>36.9</v>
      </c>
      <c r="I3">
        <v>9.8000000000000007</v>
      </c>
      <c r="J3">
        <v>21.1</v>
      </c>
      <c r="K3">
        <v>0.46600000000000003</v>
      </c>
      <c r="L3">
        <v>3.2</v>
      </c>
      <c r="M3">
        <v>9.3000000000000007</v>
      </c>
      <c r="N3">
        <v>0.35</v>
      </c>
      <c r="O3">
        <v>6.6</v>
      </c>
      <c r="P3">
        <v>11.8</v>
      </c>
      <c r="Q3">
        <v>0.55800000000000005</v>
      </c>
      <c r="R3">
        <v>0.54300000000000004</v>
      </c>
      <c r="S3">
        <v>7.2</v>
      </c>
      <c r="T3">
        <v>8.4</v>
      </c>
      <c r="U3">
        <v>0.85399999999999998</v>
      </c>
      <c r="V3">
        <v>1.1000000000000001</v>
      </c>
      <c r="W3">
        <v>7.7</v>
      </c>
      <c r="X3">
        <v>8.8000000000000007</v>
      </c>
      <c r="Y3">
        <v>4.5999999999999996</v>
      </c>
      <c r="Z3">
        <v>1.1000000000000001</v>
      </c>
      <c r="AA3">
        <v>0.7</v>
      </c>
      <c r="AB3">
        <v>2.9</v>
      </c>
      <c r="AC3">
        <v>2.2000000000000002</v>
      </c>
      <c r="AD3">
        <v>30.1</v>
      </c>
      <c r="AE3">
        <v>2732</v>
      </c>
      <c r="AF3">
        <v>23.7</v>
      </c>
      <c r="AG3">
        <v>0.60699999999999998</v>
      </c>
      <c r="AH3">
        <v>0.44</v>
      </c>
      <c r="AI3">
        <v>0.39900000000000002</v>
      </c>
      <c r="AJ3">
        <v>3.2</v>
      </c>
      <c r="AK3">
        <v>22.5</v>
      </c>
      <c r="AL3">
        <v>13</v>
      </c>
      <c r="AM3">
        <v>20.9</v>
      </c>
      <c r="AN3">
        <v>1.4</v>
      </c>
      <c r="AO3">
        <v>1.6</v>
      </c>
      <c r="AP3">
        <v>10.4</v>
      </c>
      <c r="AQ3">
        <v>32.700000000000003</v>
      </c>
      <c r="AR3">
        <v>6.2</v>
      </c>
      <c r="AS3">
        <v>4.3</v>
      </c>
      <c r="AT3">
        <v>10.5</v>
      </c>
      <c r="AU3">
        <v>0.185</v>
      </c>
      <c r="AV3">
        <v>4.8</v>
      </c>
      <c r="AW3">
        <v>0.7</v>
      </c>
      <c r="AX3">
        <v>5.5</v>
      </c>
      <c r="AY3">
        <v>5.0999999999999996</v>
      </c>
      <c r="AZ3" s="8">
        <v>8</v>
      </c>
      <c r="BA3" s="8">
        <v>0.26357597478632228</v>
      </c>
      <c r="BB3" s="3">
        <v>1</v>
      </c>
      <c r="BL3" s="4" t="s">
        <v>582</v>
      </c>
      <c r="BM3" s="4" t="s">
        <v>581</v>
      </c>
      <c r="BN3" s="4">
        <v>1</v>
      </c>
      <c r="BO3" t="s">
        <v>584</v>
      </c>
    </row>
    <row r="4" spans="1:67" x14ac:dyDescent="0.25">
      <c r="A4" s="6" t="s">
        <v>119</v>
      </c>
      <c r="B4" s="2">
        <v>29776785</v>
      </c>
      <c r="C4" t="s">
        <v>65</v>
      </c>
      <c r="D4">
        <v>26</v>
      </c>
      <c r="E4" t="s">
        <v>113</v>
      </c>
      <c r="F4">
        <v>67</v>
      </c>
      <c r="G4">
        <v>67</v>
      </c>
      <c r="H4">
        <v>35.9</v>
      </c>
      <c r="I4">
        <v>10.1</v>
      </c>
      <c r="J4">
        <v>20.6</v>
      </c>
      <c r="K4">
        <v>0.49099999999999999</v>
      </c>
      <c r="L4">
        <v>2.4</v>
      </c>
      <c r="M4">
        <v>7.3</v>
      </c>
      <c r="N4">
        <v>0.33500000000000002</v>
      </c>
      <c r="O4">
        <v>7.7</v>
      </c>
      <c r="P4">
        <v>13.4</v>
      </c>
      <c r="Q4">
        <v>0.57599999999999996</v>
      </c>
      <c r="R4">
        <v>0.55000000000000004</v>
      </c>
      <c r="S4">
        <v>3.9</v>
      </c>
      <c r="T4">
        <v>5.0999999999999996</v>
      </c>
      <c r="U4">
        <v>0.76500000000000001</v>
      </c>
      <c r="V4">
        <v>1.2</v>
      </c>
      <c r="W4">
        <v>5.7</v>
      </c>
      <c r="X4">
        <v>6.9</v>
      </c>
      <c r="Y4">
        <v>3.5</v>
      </c>
      <c r="Z4">
        <v>1.1000000000000001</v>
      </c>
      <c r="AA4">
        <v>0.4</v>
      </c>
      <c r="AB4">
        <v>2.9</v>
      </c>
      <c r="AC4">
        <v>2.6</v>
      </c>
      <c r="AD4">
        <v>26.6</v>
      </c>
      <c r="AE4">
        <v>2405</v>
      </c>
      <c r="AF4">
        <v>19.100000000000001</v>
      </c>
      <c r="AG4">
        <v>0.58099999999999996</v>
      </c>
      <c r="AH4">
        <v>0.35199999999999998</v>
      </c>
      <c r="AI4">
        <v>0.249</v>
      </c>
      <c r="AJ4">
        <v>3.6</v>
      </c>
      <c r="AK4">
        <v>17</v>
      </c>
      <c r="AL4">
        <v>10.4</v>
      </c>
      <c r="AM4">
        <v>16.5</v>
      </c>
      <c r="AN4">
        <v>1.5</v>
      </c>
      <c r="AO4">
        <v>0.9</v>
      </c>
      <c r="AP4">
        <v>11.4</v>
      </c>
      <c r="AQ4">
        <v>31.4</v>
      </c>
      <c r="AR4">
        <v>1.6</v>
      </c>
      <c r="AS4">
        <v>3.4</v>
      </c>
      <c r="AT4">
        <v>5</v>
      </c>
      <c r="AU4">
        <v>0.1</v>
      </c>
      <c r="AV4">
        <v>1.5</v>
      </c>
      <c r="AW4">
        <v>-0.2</v>
      </c>
      <c r="AX4">
        <v>1.3</v>
      </c>
      <c r="AY4">
        <v>2</v>
      </c>
      <c r="AZ4" s="8">
        <v>3.15</v>
      </c>
      <c r="BA4" s="8">
        <v>0.10578710898439841</v>
      </c>
      <c r="BB4" s="3">
        <v>1</v>
      </c>
      <c r="BL4" s="4" t="s">
        <v>586</v>
      </c>
      <c r="BM4" s="4" t="s">
        <v>581</v>
      </c>
      <c r="BN4" s="4">
        <v>1</v>
      </c>
      <c r="BO4" t="s">
        <v>585</v>
      </c>
    </row>
    <row r="5" spans="1:67" x14ac:dyDescent="0.25">
      <c r="A5" s="6" t="s">
        <v>125</v>
      </c>
      <c r="B5" s="2">
        <v>26500000</v>
      </c>
      <c r="C5" t="s">
        <v>75</v>
      </c>
      <c r="D5">
        <v>36</v>
      </c>
      <c r="E5" t="s">
        <v>113</v>
      </c>
      <c r="F5">
        <v>63</v>
      </c>
      <c r="G5">
        <v>63</v>
      </c>
      <c r="H5">
        <v>30.5</v>
      </c>
      <c r="I5">
        <v>3.6</v>
      </c>
      <c r="J5">
        <v>7.6</v>
      </c>
      <c r="K5">
        <v>0.47599999999999998</v>
      </c>
      <c r="L5">
        <v>2.2999999999999998</v>
      </c>
      <c r="M5">
        <v>5.2</v>
      </c>
      <c r="N5">
        <v>0.44600000000000001</v>
      </c>
      <c r="O5">
        <v>1.3</v>
      </c>
      <c r="P5">
        <v>2.4</v>
      </c>
      <c r="Q5">
        <v>0.53900000000000003</v>
      </c>
      <c r="R5">
        <v>0.627</v>
      </c>
      <c r="S5">
        <v>0.2</v>
      </c>
      <c r="T5">
        <v>0.3</v>
      </c>
      <c r="U5">
        <v>0.71399999999999997</v>
      </c>
      <c r="V5">
        <v>1.2</v>
      </c>
      <c r="W5">
        <v>5</v>
      </c>
      <c r="X5">
        <v>6.2</v>
      </c>
      <c r="Y5">
        <v>3</v>
      </c>
      <c r="Z5">
        <v>0.5</v>
      </c>
      <c r="AA5">
        <v>1</v>
      </c>
      <c r="AB5">
        <v>0.6</v>
      </c>
      <c r="AC5">
        <v>1.9</v>
      </c>
      <c r="AD5">
        <v>9.8000000000000007</v>
      </c>
      <c r="AE5">
        <v>1922</v>
      </c>
      <c r="AF5">
        <v>13.8</v>
      </c>
      <c r="AG5">
        <v>0.63100000000000001</v>
      </c>
      <c r="AH5">
        <v>0.67800000000000005</v>
      </c>
      <c r="AI5">
        <v>4.3999999999999997E-2</v>
      </c>
      <c r="AJ5">
        <v>4.2</v>
      </c>
      <c r="AK5">
        <v>17.7</v>
      </c>
      <c r="AL5">
        <v>11.1</v>
      </c>
      <c r="AM5">
        <v>13.2</v>
      </c>
      <c r="AN5">
        <v>0.8</v>
      </c>
      <c r="AO5">
        <v>2.7</v>
      </c>
      <c r="AP5">
        <v>7</v>
      </c>
      <c r="AQ5">
        <v>11.9</v>
      </c>
      <c r="AR5">
        <v>3.6</v>
      </c>
      <c r="AS5">
        <v>2.7</v>
      </c>
      <c r="AT5">
        <v>6.3</v>
      </c>
      <c r="AU5">
        <v>0.157</v>
      </c>
      <c r="AV5">
        <v>1.6</v>
      </c>
      <c r="AW5">
        <v>1.7</v>
      </c>
      <c r="AX5">
        <v>3.3</v>
      </c>
      <c r="AY5">
        <v>2.5</v>
      </c>
      <c r="AZ5" s="8">
        <v>4.8</v>
      </c>
      <c r="BA5" s="8">
        <v>0.1811320754716981</v>
      </c>
      <c r="BB5" s="3">
        <v>1</v>
      </c>
    </row>
    <row r="6" spans="1:67" x14ac:dyDescent="0.25">
      <c r="A6" s="6" t="s">
        <v>131</v>
      </c>
      <c r="B6" s="2">
        <v>22600000</v>
      </c>
      <c r="C6" t="s">
        <v>52</v>
      </c>
      <c r="D6">
        <v>30</v>
      </c>
      <c r="E6" t="s">
        <v>113</v>
      </c>
      <c r="F6">
        <v>67</v>
      </c>
      <c r="G6">
        <v>0</v>
      </c>
      <c r="H6">
        <v>26</v>
      </c>
      <c r="I6">
        <v>5.3</v>
      </c>
      <c r="J6">
        <v>10.9</v>
      </c>
      <c r="K6">
        <v>0.48399999999999999</v>
      </c>
      <c r="L6">
        <v>2</v>
      </c>
      <c r="M6">
        <v>4.4000000000000004</v>
      </c>
      <c r="N6">
        <v>0.44400000000000001</v>
      </c>
      <c r="O6">
        <v>3.3</v>
      </c>
      <c r="P6">
        <v>6.5</v>
      </c>
      <c r="Q6">
        <v>0.51</v>
      </c>
      <c r="R6">
        <v>0.57399999999999995</v>
      </c>
      <c r="S6">
        <v>2.4</v>
      </c>
      <c r="T6">
        <v>2.7</v>
      </c>
      <c r="U6">
        <v>0.87</v>
      </c>
      <c r="V6">
        <v>0.6</v>
      </c>
      <c r="W6">
        <v>3.6</v>
      </c>
      <c r="X6">
        <v>4.2</v>
      </c>
      <c r="Y6">
        <v>3.7</v>
      </c>
      <c r="Z6">
        <v>0.7</v>
      </c>
      <c r="AA6">
        <v>0.3</v>
      </c>
      <c r="AB6">
        <v>1.5</v>
      </c>
      <c r="AC6">
        <v>1.6</v>
      </c>
      <c r="AD6">
        <v>14.9</v>
      </c>
      <c r="AE6">
        <v>1744</v>
      </c>
      <c r="AF6">
        <v>18.2</v>
      </c>
      <c r="AG6">
        <v>0.61499999999999999</v>
      </c>
      <c r="AH6">
        <v>0.40600000000000003</v>
      </c>
      <c r="AI6">
        <v>0.251</v>
      </c>
      <c r="AJ6">
        <v>2.7</v>
      </c>
      <c r="AK6">
        <v>14.7</v>
      </c>
      <c r="AL6">
        <v>8.8000000000000007</v>
      </c>
      <c r="AM6">
        <v>21.5</v>
      </c>
      <c r="AN6">
        <v>1.3</v>
      </c>
      <c r="AO6">
        <v>0.9</v>
      </c>
      <c r="AP6">
        <v>10.8</v>
      </c>
      <c r="AQ6">
        <v>22.8</v>
      </c>
      <c r="AR6">
        <v>3.6</v>
      </c>
      <c r="AS6">
        <v>2.2000000000000002</v>
      </c>
      <c r="AT6">
        <v>5.8</v>
      </c>
      <c r="AU6">
        <v>0.161</v>
      </c>
      <c r="AV6">
        <v>2.2999999999999998</v>
      </c>
      <c r="AW6">
        <v>0.6</v>
      </c>
      <c r="AX6">
        <v>2.8</v>
      </c>
      <c r="AY6">
        <v>2.1</v>
      </c>
      <c r="AZ6" s="8">
        <v>4.3</v>
      </c>
      <c r="BA6" s="8">
        <v>0.19026548672566371</v>
      </c>
      <c r="BB6" s="3">
        <v>1</v>
      </c>
    </row>
    <row r="7" spans="1:67" x14ac:dyDescent="0.25">
      <c r="A7" s="6" t="s">
        <v>154</v>
      </c>
      <c r="B7" s="2">
        <v>17207142</v>
      </c>
      <c r="C7" t="s">
        <v>52</v>
      </c>
      <c r="D7">
        <v>28</v>
      </c>
      <c r="E7" t="s">
        <v>113</v>
      </c>
      <c r="F7">
        <v>61</v>
      </c>
      <c r="G7">
        <v>61</v>
      </c>
      <c r="H7">
        <v>32.1</v>
      </c>
      <c r="I7">
        <v>4.0999999999999996</v>
      </c>
      <c r="J7">
        <v>9.9</v>
      </c>
      <c r="K7">
        <v>0.41499999999999998</v>
      </c>
      <c r="L7">
        <v>1.9</v>
      </c>
      <c r="M7">
        <v>5.6</v>
      </c>
      <c r="N7">
        <v>0.33600000000000002</v>
      </c>
      <c r="O7">
        <v>2.2000000000000002</v>
      </c>
      <c r="P7">
        <v>4.3</v>
      </c>
      <c r="Q7">
        <v>0.51900000000000002</v>
      </c>
      <c r="R7">
        <v>0.51100000000000001</v>
      </c>
      <c r="S7">
        <v>1.4</v>
      </c>
      <c r="T7">
        <v>1.9</v>
      </c>
      <c r="U7">
        <v>0.746</v>
      </c>
      <c r="V7">
        <v>0.8</v>
      </c>
      <c r="W7">
        <v>2.4</v>
      </c>
      <c r="X7">
        <v>3.1</v>
      </c>
      <c r="Y7">
        <v>6.3</v>
      </c>
      <c r="Z7">
        <v>1.5</v>
      </c>
      <c r="AA7">
        <v>0.4</v>
      </c>
      <c r="AB7">
        <v>2.2999999999999998</v>
      </c>
      <c r="AC7">
        <v>2.8</v>
      </c>
      <c r="AD7">
        <v>11.5</v>
      </c>
      <c r="AE7">
        <v>1957</v>
      </c>
      <c r="AF7">
        <v>12.1</v>
      </c>
      <c r="AG7">
        <v>0.53800000000000003</v>
      </c>
      <c r="AH7">
        <v>0.56799999999999995</v>
      </c>
      <c r="AI7">
        <v>0.19600000000000001</v>
      </c>
      <c r="AJ7">
        <v>2.6</v>
      </c>
      <c r="AK7">
        <v>8</v>
      </c>
      <c r="AL7">
        <v>5.3</v>
      </c>
      <c r="AM7">
        <v>26.4</v>
      </c>
      <c r="AN7">
        <v>2.2999999999999998</v>
      </c>
      <c r="AO7">
        <v>1</v>
      </c>
      <c r="AP7">
        <v>17.899999999999999</v>
      </c>
      <c r="AQ7">
        <v>17.8</v>
      </c>
      <c r="AR7">
        <v>1</v>
      </c>
      <c r="AS7">
        <v>2.7</v>
      </c>
      <c r="AT7">
        <v>3.7</v>
      </c>
      <c r="AU7">
        <v>9.1999999999999998E-2</v>
      </c>
      <c r="AV7">
        <v>-1.8</v>
      </c>
      <c r="AW7">
        <v>0.8</v>
      </c>
      <c r="AX7">
        <v>-1</v>
      </c>
      <c r="AY7">
        <v>0.5</v>
      </c>
      <c r="AZ7" s="8">
        <v>1.35</v>
      </c>
      <c r="BA7" s="8">
        <v>7.8455794692692135E-2</v>
      </c>
      <c r="BB7" s="3">
        <v>1</v>
      </c>
    </row>
    <row r="8" spans="1:67" x14ac:dyDescent="0.25">
      <c r="A8" s="6" t="s">
        <v>155</v>
      </c>
      <c r="B8" s="2">
        <v>17142857</v>
      </c>
      <c r="C8" t="s">
        <v>62</v>
      </c>
      <c r="D8">
        <v>28</v>
      </c>
      <c r="E8" t="s">
        <v>113</v>
      </c>
      <c r="F8">
        <v>82</v>
      </c>
      <c r="G8">
        <v>70</v>
      </c>
      <c r="H8">
        <v>28.3</v>
      </c>
      <c r="I8">
        <v>4.3</v>
      </c>
      <c r="J8">
        <v>9.1999999999999993</v>
      </c>
      <c r="K8">
        <v>0.46200000000000002</v>
      </c>
      <c r="L8">
        <v>1.8</v>
      </c>
      <c r="M8">
        <v>4.8</v>
      </c>
      <c r="N8">
        <v>0.38100000000000001</v>
      </c>
      <c r="O8">
        <v>2.5</v>
      </c>
      <c r="P8">
        <v>4.5</v>
      </c>
      <c r="Q8">
        <v>0.54800000000000004</v>
      </c>
      <c r="R8">
        <v>0.56000000000000005</v>
      </c>
      <c r="S8">
        <v>2</v>
      </c>
      <c r="T8">
        <v>2.2999999999999998</v>
      </c>
      <c r="U8">
        <v>0.875</v>
      </c>
      <c r="V8">
        <v>0.6</v>
      </c>
      <c r="W8">
        <v>2.9</v>
      </c>
      <c r="X8">
        <v>3.6</v>
      </c>
      <c r="Y8">
        <v>3.9</v>
      </c>
      <c r="Z8">
        <v>0.7</v>
      </c>
      <c r="AA8">
        <v>0.9</v>
      </c>
      <c r="AB8">
        <v>1.2</v>
      </c>
      <c r="AC8">
        <v>2.2000000000000002</v>
      </c>
      <c r="AD8">
        <v>12.4</v>
      </c>
      <c r="AE8">
        <v>2319</v>
      </c>
      <c r="AF8">
        <v>15.4</v>
      </c>
      <c r="AG8">
        <v>0.60399999999999998</v>
      </c>
      <c r="AH8">
        <v>0.51600000000000001</v>
      </c>
      <c r="AI8">
        <v>0.253</v>
      </c>
      <c r="AJ8">
        <v>2.5</v>
      </c>
      <c r="AK8">
        <v>11.2</v>
      </c>
      <c r="AL8">
        <v>6.9</v>
      </c>
      <c r="AM8">
        <v>19.399999999999999</v>
      </c>
      <c r="AN8">
        <v>1.1000000000000001</v>
      </c>
      <c r="AO8">
        <v>2.8</v>
      </c>
      <c r="AP8">
        <v>10.1</v>
      </c>
      <c r="AQ8">
        <v>17.7</v>
      </c>
      <c r="AR8">
        <v>4.4000000000000004</v>
      </c>
      <c r="AS8">
        <v>3.1</v>
      </c>
      <c r="AT8">
        <v>7.4</v>
      </c>
      <c r="AU8">
        <v>0.154</v>
      </c>
      <c r="AV8">
        <v>1.1000000000000001</v>
      </c>
      <c r="AW8">
        <v>1.3</v>
      </c>
      <c r="AX8">
        <v>2.4</v>
      </c>
      <c r="AY8">
        <v>2.6</v>
      </c>
      <c r="AZ8" s="8">
        <v>4.9000000000000004</v>
      </c>
      <c r="BA8" s="8">
        <v>0.2858333357152778</v>
      </c>
      <c r="BB8" s="3">
        <v>1</v>
      </c>
    </row>
    <row r="9" spans="1:67" x14ac:dyDescent="0.25">
      <c r="A9" s="6" t="s">
        <v>299</v>
      </c>
      <c r="B9" s="2">
        <v>4306281</v>
      </c>
      <c r="C9" t="s">
        <v>28</v>
      </c>
      <c r="D9">
        <v>24</v>
      </c>
      <c r="E9" t="s">
        <v>113</v>
      </c>
      <c r="F9">
        <v>79</v>
      </c>
      <c r="G9">
        <v>23</v>
      </c>
      <c r="H9">
        <v>25.9</v>
      </c>
      <c r="I9">
        <v>2.7</v>
      </c>
      <c r="J9">
        <v>6</v>
      </c>
      <c r="K9">
        <v>0.45400000000000001</v>
      </c>
      <c r="L9">
        <v>1.5</v>
      </c>
      <c r="M9">
        <v>3.7</v>
      </c>
      <c r="N9">
        <v>0.39500000000000002</v>
      </c>
      <c r="O9">
        <v>1.3</v>
      </c>
      <c r="P9">
        <v>2.2999999999999998</v>
      </c>
      <c r="Q9">
        <v>0.54600000000000004</v>
      </c>
      <c r="R9">
        <v>0.57499999999999996</v>
      </c>
      <c r="S9">
        <v>1.2</v>
      </c>
      <c r="T9">
        <v>1.5</v>
      </c>
      <c r="U9">
        <v>0.77</v>
      </c>
      <c r="V9">
        <v>1.1000000000000001</v>
      </c>
      <c r="W9">
        <v>3.5</v>
      </c>
      <c r="X9">
        <v>4.5999999999999996</v>
      </c>
      <c r="Y9">
        <v>1.7</v>
      </c>
      <c r="Z9">
        <v>0.5</v>
      </c>
      <c r="AA9">
        <v>0.4</v>
      </c>
      <c r="AB9">
        <v>1</v>
      </c>
      <c r="AC9">
        <v>2.4</v>
      </c>
      <c r="AD9">
        <v>8.1</v>
      </c>
      <c r="AE9">
        <v>2045</v>
      </c>
      <c r="AF9">
        <v>10.3</v>
      </c>
      <c r="AG9">
        <v>0.60499999999999998</v>
      </c>
      <c r="AH9">
        <v>0.61099999999999999</v>
      </c>
      <c r="AI9">
        <v>0.25600000000000001</v>
      </c>
      <c r="AJ9">
        <v>4.7</v>
      </c>
      <c r="AK9">
        <v>14.5</v>
      </c>
      <c r="AL9">
        <v>9.6999999999999993</v>
      </c>
      <c r="AM9">
        <v>8.4</v>
      </c>
      <c r="AN9">
        <v>1</v>
      </c>
      <c r="AO9">
        <v>1.3</v>
      </c>
      <c r="AP9">
        <v>13.4</v>
      </c>
      <c r="AQ9">
        <v>13.1</v>
      </c>
      <c r="AR9">
        <v>1.9</v>
      </c>
      <c r="AS9">
        <v>2.6</v>
      </c>
      <c r="AT9">
        <v>4.4000000000000004</v>
      </c>
      <c r="AU9">
        <v>0.104</v>
      </c>
      <c r="AV9">
        <v>-1.8</v>
      </c>
      <c r="AW9">
        <v>0.7</v>
      </c>
      <c r="AX9">
        <v>-1.1000000000000001</v>
      </c>
      <c r="AY9">
        <v>0.5</v>
      </c>
      <c r="AZ9" s="8">
        <v>1.6500000000000001</v>
      </c>
      <c r="BA9" s="8">
        <v>0.38316124748942304</v>
      </c>
      <c r="BB9" s="3">
        <v>1</v>
      </c>
    </row>
    <row r="10" spans="1:67" x14ac:dyDescent="0.25">
      <c r="A10" t="s">
        <v>136</v>
      </c>
      <c r="B10" s="2">
        <v>21100000</v>
      </c>
      <c r="C10" t="s">
        <v>75</v>
      </c>
      <c r="D10">
        <v>26</v>
      </c>
      <c r="E10" t="s">
        <v>116</v>
      </c>
      <c r="F10">
        <v>79</v>
      </c>
      <c r="G10">
        <v>79</v>
      </c>
      <c r="H10">
        <v>34.6</v>
      </c>
      <c r="I10">
        <v>7.3</v>
      </c>
      <c r="J10">
        <v>11.9</v>
      </c>
      <c r="K10">
        <v>0.61499999999999999</v>
      </c>
      <c r="L10">
        <v>0.4</v>
      </c>
      <c r="M10">
        <v>1.1000000000000001</v>
      </c>
      <c r="N10">
        <v>0.373</v>
      </c>
      <c r="O10">
        <v>6.9</v>
      </c>
      <c r="P10">
        <v>10.8</v>
      </c>
      <c r="Q10">
        <v>0.63900000000000001</v>
      </c>
      <c r="R10">
        <v>0.63200000000000001</v>
      </c>
      <c r="S10">
        <v>4.0999999999999996</v>
      </c>
      <c r="T10">
        <v>5.5</v>
      </c>
      <c r="U10">
        <v>0.74199999999999999</v>
      </c>
      <c r="V10">
        <v>3.2</v>
      </c>
      <c r="W10">
        <v>9.1</v>
      </c>
      <c r="X10">
        <v>12.3</v>
      </c>
      <c r="Y10">
        <v>7.3</v>
      </c>
      <c r="Z10">
        <v>0.8</v>
      </c>
      <c r="AA10">
        <v>0.5</v>
      </c>
      <c r="AB10">
        <v>2.9</v>
      </c>
      <c r="AC10">
        <v>3.5</v>
      </c>
      <c r="AD10">
        <v>19.100000000000001</v>
      </c>
      <c r="AE10">
        <v>2736</v>
      </c>
      <c r="AF10">
        <v>23.5</v>
      </c>
      <c r="AG10">
        <v>0.66800000000000004</v>
      </c>
      <c r="AH10">
        <v>8.7999999999999995E-2</v>
      </c>
      <c r="AI10">
        <v>0.46700000000000003</v>
      </c>
      <c r="AJ10">
        <v>10.6</v>
      </c>
      <c r="AK10">
        <v>30</v>
      </c>
      <c r="AL10">
        <v>20.3</v>
      </c>
      <c r="AM10">
        <v>30.4</v>
      </c>
      <c r="AN10">
        <v>1.1000000000000001</v>
      </c>
      <c r="AO10">
        <v>1.2</v>
      </c>
      <c r="AP10">
        <v>16.899999999999999</v>
      </c>
      <c r="AQ10">
        <v>21.3</v>
      </c>
      <c r="AR10">
        <v>9.6</v>
      </c>
      <c r="AS10">
        <v>3</v>
      </c>
      <c r="AT10">
        <v>12.6</v>
      </c>
      <c r="AU10">
        <v>0.221</v>
      </c>
      <c r="AV10">
        <v>4.0999999999999996</v>
      </c>
      <c r="AW10">
        <v>1.8</v>
      </c>
      <c r="AX10">
        <v>5.8</v>
      </c>
      <c r="AY10">
        <v>5.4</v>
      </c>
      <c r="AZ10" s="8">
        <v>9.1999999999999993</v>
      </c>
      <c r="BA10" s="8">
        <v>0.43601895734597157</v>
      </c>
      <c r="BB10" s="3">
        <v>0</v>
      </c>
    </row>
    <row r="11" spans="1:67" x14ac:dyDescent="0.25">
      <c r="A11" t="s">
        <v>229</v>
      </c>
      <c r="B11" s="2">
        <v>8478720</v>
      </c>
      <c r="C11" t="s">
        <v>28</v>
      </c>
      <c r="D11">
        <v>21</v>
      </c>
      <c r="E11" t="s">
        <v>107</v>
      </c>
      <c r="F11">
        <v>79</v>
      </c>
      <c r="G11">
        <v>79</v>
      </c>
      <c r="H11">
        <v>34.4</v>
      </c>
      <c r="I11">
        <v>6.6</v>
      </c>
      <c r="J11">
        <v>12</v>
      </c>
      <c r="K11">
        <v>0.55400000000000005</v>
      </c>
      <c r="L11">
        <v>0.3</v>
      </c>
      <c r="M11">
        <v>1.3</v>
      </c>
      <c r="N11">
        <v>0.216</v>
      </c>
      <c r="O11">
        <v>6.4</v>
      </c>
      <c r="P11">
        <v>10.7</v>
      </c>
      <c r="Q11">
        <v>0.59499999999999997</v>
      </c>
      <c r="R11">
        <v>0.56599999999999995</v>
      </c>
      <c r="S11">
        <v>2.6</v>
      </c>
      <c r="T11">
        <v>3.8</v>
      </c>
      <c r="U11">
        <v>0.67400000000000004</v>
      </c>
      <c r="V11">
        <v>2.4</v>
      </c>
      <c r="W11">
        <v>6.6</v>
      </c>
      <c r="X11">
        <v>9</v>
      </c>
      <c r="Y11">
        <v>2.8</v>
      </c>
      <c r="Z11">
        <v>0.8</v>
      </c>
      <c r="AA11">
        <v>1.5</v>
      </c>
      <c r="AB11">
        <v>1.8</v>
      </c>
      <c r="AC11">
        <v>2.8</v>
      </c>
      <c r="AD11">
        <v>16.2</v>
      </c>
      <c r="AE11">
        <v>2715</v>
      </c>
      <c r="AF11">
        <v>17.899999999999999</v>
      </c>
      <c r="AG11">
        <v>0.59099999999999997</v>
      </c>
      <c r="AH11">
        <v>0.108</v>
      </c>
      <c r="AI11">
        <v>0.32100000000000001</v>
      </c>
      <c r="AJ11">
        <v>8.1</v>
      </c>
      <c r="AK11">
        <v>22.7</v>
      </c>
      <c r="AL11">
        <v>15.4</v>
      </c>
      <c r="AM11">
        <v>12.4</v>
      </c>
      <c r="AN11">
        <v>1.1000000000000001</v>
      </c>
      <c r="AO11">
        <v>4</v>
      </c>
      <c r="AP11">
        <v>11.9</v>
      </c>
      <c r="AQ11">
        <v>20.2</v>
      </c>
      <c r="AR11">
        <v>3.7</v>
      </c>
      <c r="AS11">
        <v>4.8</v>
      </c>
      <c r="AT11">
        <v>8.5</v>
      </c>
      <c r="AU11">
        <v>0.151</v>
      </c>
      <c r="AV11">
        <v>0</v>
      </c>
      <c r="AW11">
        <v>1.6</v>
      </c>
      <c r="AX11">
        <v>1.7</v>
      </c>
      <c r="AY11">
        <v>2.5</v>
      </c>
      <c r="AZ11" s="8">
        <v>5.0999999999999996</v>
      </c>
      <c r="BA11" s="8">
        <v>0.60150588768115942</v>
      </c>
      <c r="BB11" s="3">
        <v>0</v>
      </c>
    </row>
    <row r="12" spans="1:67" x14ac:dyDescent="0.25">
      <c r="A12" t="s">
        <v>235</v>
      </c>
      <c r="B12" s="2">
        <v>8000000</v>
      </c>
      <c r="C12" t="s">
        <v>75</v>
      </c>
      <c r="D12">
        <v>26</v>
      </c>
      <c r="E12" t="s">
        <v>53</v>
      </c>
      <c r="F12">
        <v>82</v>
      </c>
      <c r="G12">
        <v>70</v>
      </c>
      <c r="H12">
        <v>23.9</v>
      </c>
      <c r="I12">
        <v>3</v>
      </c>
      <c r="J12">
        <v>4.7</v>
      </c>
      <c r="K12">
        <v>0.63</v>
      </c>
      <c r="L12">
        <v>0</v>
      </c>
      <c r="M12">
        <v>0</v>
      </c>
      <c r="N12">
        <v>0</v>
      </c>
      <c r="O12">
        <v>3</v>
      </c>
      <c r="P12">
        <v>4.7</v>
      </c>
      <c r="Q12">
        <v>0.63200000000000001</v>
      </c>
      <c r="R12">
        <v>0.63</v>
      </c>
      <c r="S12">
        <v>1.1000000000000001</v>
      </c>
      <c r="T12">
        <v>1.9</v>
      </c>
      <c r="U12">
        <v>0.60599999999999998</v>
      </c>
      <c r="V12">
        <v>3.3</v>
      </c>
      <c r="W12">
        <v>5.9</v>
      </c>
      <c r="X12">
        <v>9.3000000000000007</v>
      </c>
      <c r="Y12">
        <v>2.5</v>
      </c>
      <c r="Z12">
        <v>0.6</v>
      </c>
      <c r="AA12">
        <v>0.6</v>
      </c>
      <c r="AB12">
        <v>0.5</v>
      </c>
      <c r="AC12">
        <v>2.7</v>
      </c>
      <c r="AD12">
        <v>7</v>
      </c>
      <c r="AE12">
        <v>1958</v>
      </c>
      <c r="AF12">
        <v>17.8</v>
      </c>
      <c r="AG12">
        <v>0.63900000000000001</v>
      </c>
      <c r="AH12">
        <v>3.0000000000000001E-3</v>
      </c>
      <c r="AI12">
        <v>0.40400000000000003</v>
      </c>
      <c r="AJ12">
        <v>15.7</v>
      </c>
      <c r="AK12">
        <v>26.8</v>
      </c>
      <c r="AL12">
        <v>21.4</v>
      </c>
      <c r="AM12">
        <v>13.8</v>
      </c>
      <c r="AN12">
        <v>1.3</v>
      </c>
      <c r="AO12">
        <v>2.2000000000000002</v>
      </c>
      <c r="AP12">
        <v>9.1</v>
      </c>
      <c r="AQ12">
        <v>10.6</v>
      </c>
      <c r="AR12">
        <v>5.9</v>
      </c>
      <c r="AS12">
        <v>2.8</v>
      </c>
      <c r="AT12">
        <v>8.6999999999999993</v>
      </c>
      <c r="AU12">
        <v>0.21199999999999999</v>
      </c>
      <c r="AV12">
        <v>0.9</v>
      </c>
      <c r="AW12">
        <v>1.3</v>
      </c>
      <c r="AX12">
        <v>2.1</v>
      </c>
      <c r="AY12">
        <v>2</v>
      </c>
      <c r="AZ12" s="8">
        <v>5.3999999999999995</v>
      </c>
      <c r="BA12" s="8">
        <v>0.67499999999999993</v>
      </c>
      <c r="BB12" s="3">
        <v>0</v>
      </c>
    </row>
    <row r="13" spans="1:67" x14ac:dyDescent="0.25">
      <c r="A13" t="s">
        <v>301</v>
      </c>
      <c r="B13" s="2">
        <v>4215120</v>
      </c>
      <c r="C13" t="s">
        <v>52</v>
      </c>
      <c r="D13">
        <v>22</v>
      </c>
      <c r="E13" t="s">
        <v>93</v>
      </c>
      <c r="F13">
        <v>56</v>
      </c>
      <c r="G13">
        <v>56</v>
      </c>
      <c r="H13">
        <v>33.6</v>
      </c>
      <c r="I13">
        <v>7.4</v>
      </c>
      <c r="J13">
        <v>15</v>
      </c>
      <c r="K13">
        <v>0.49</v>
      </c>
      <c r="L13">
        <v>2.9</v>
      </c>
      <c r="M13">
        <v>7.2</v>
      </c>
      <c r="N13">
        <v>0.4</v>
      </c>
      <c r="O13">
        <v>4.5</v>
      </c>
      <c r="P13">
        <v>7.8</v>
      </c>
      <c r="Q13">
        <v>0.57199999999999995</v>
      </c>
      <c r="R13">
        <v>0.58599999999999997</v>
      </c>
      <c r="S13">
        <v>3.1</v>
      </c>
      <c r="T13">
        <v>3.6</v>
      </c>
      <c r="U13">
        <v>0.871</v>
      </c>
      <c r="V13">
        <v>0.6</v>
      </c>
      <c r="W13">
        <v>3.1</v>
      </c>
      <c r="X13">
        <v>3.7</v>
      </c>
      <c r="Y13">
        <v>10.4</v>
      </c>
      <c r="Z13">
        <v>1.6</v>
      </c>
      <c r="AA13">
        <v>0.4</v>
      </c>
      <c r="AB13">
        <v>2.5</v>
      </c>
      <c r="AC13">
        <v>1.2</v>
      </c>
      <c r="AD13">
        <v>20.7</v>
      </c>
      <c r="AE13">
        <v>1883</v>
      </c>
      <c r="AF13">
        <v>23.6</v>
      </c>
      <c r="AG13">
        <v>0.624</v>
      </c>
      <c r="AH13">
        <v>0.47799999999999998</v>
      </c>
      <c r="AI13">
        <v>0.23899999999999999</v>
      </c>
      <c r="AJ13">
        <v>1.9</v>
      </c>
      <c r="AK13">
        <v>10.1</v>
      </c>
      <c r="AL13">
        <v>6</v>
      </c>
      <c r="AM13">
        <v>47.6</v>
      </c>
      <c r="AN13">
        <v>2.2999999999999998</v>
      </c>
      <c r="AO13">
        <v>1.1000000000000001</v>
      </c>
      <c r="AP13">
        <v>13.2</v>
      </c>
      <c r="AQ13">
        <v>23.8</v>
      </c>
      <c r="AR13">
        <v>6.4</v>
      </c>
      <c r="AS13">
        <v>1.2</v>
      </c>
      <c r="AT13">
        <v>7.6</v>
      </c>
      <c r="AU13">
        <v>0.19500000000000001</v>
      </c>
      <c r="AV13">
        <v>7</v>
      </c>
      <c r="AW13">
        <v>0.2</v>
      </c>
      <c r="AX13">
        <v>7.2</v>
      </c>
      <c r="AY13">
        <v>4.4000000000000004</v>
      </c>
      <c r="AZ13" s="8">
        <v>7.4</v>
      </c>
      <c r="BA13" s="8">
        <v>1.7555846571390612</v>
      </c>
      <c r="BB13" s="3">
        <v>0</v>
      </c>
    </row>
    <row r="14" spans="1:67" x14ac:dyDescent="0.25">
      <c r="A14" t="s">
        <v>357</v>
      </c>
      <c r="B14" s="2">
        <v>2696400</v>
      </c>
      <c r="C14" t="s">
        <v>75</v>
      </c>
      <c r="D14">
        <v>21</v>
      </c>
      <c r="E14" t="s">
        <v>130</v>
      </c>
      <c r="F14">
        <v>74</v>
      </c>
      <c r="G14">
        <v>40</v>
      </c>
      <c r="H14">
        <v>23</v>
      </c>
      <c r="I14">
        <v>4</v>
      </c>
      <c r="J14">
        <v>5.6</v>
      </c>
      <c r="K14">
        <v>0.72</v>
      </c>
      <c r="L14">
        <v>0</v>
      </c>
      <c r="M14">
        <v>0</v>
      </c>
      <c r="N14">
        <v>0.33300000000000002</v>
      </c>
      <c r="O14">
        <v>4</v>
      </c>
      <c r="P14">
        <v>5.6</v>
      </c>
      <c r="Q14">
        <v>0.72299999999999998</v>
      </c>
      <c r="R14">
        <v>0.72099999999999997</v>
      </c>
      <c r="S14">
        <v>1.1000000000000001</v>
      </c>
      <c r="T14">
        <v>2.1</v>
      </c>
      <c r="U14">
        <v>0.51600000000000001</v>
      </c>
      <c r="V14">
        <v>3.1</v>
      </c>
      <c r="W14">
        <v>5.3</v>
      </c>
      <c r="X14">
        <v>8.4</v>
      </c>
      <c r="Y14">
        <v>0.9</v>
      </c>
      <c r="Z14">
        <v>0.4</v>
      </c>
      <c r="AA14">
        <v>2.2999999999999998</v>
      </c>
      <c r="AB14">
        <v>0.8</v>
      </c>
      <c r="AC14">
        <v>2.2999999999999998</v>
      </c>
      <c r="AD14">
        <v>9.1999999999999993</v>
      </c>
      <c r="AE14">
        <v>1703</v>
      </c>
      <c r="AF14">
        <v>21.5</v>
      </c>
      <c r="AG14">
        <v>0.70199999999999996</v>
      </c>
      <c r="AH14">
        <v>7.0000000000000001E-3</v>
      </c>
      <c r="AI14">
        <v>0.38400000000000001</v>
      </c>
      <c r="AJ14">
        <v>14.9</v>
      </c>
      <c r="AK14">
        <v>24.4</v>
      </c>
      <c r="AL14">
        <v>19.7</v>
      </c>
      <c r="AM14">
        <v>5.7</v>
      </c>
      <c r="AN14">
        <v>0.7</v>
      </c>
      <c r="AO14">
        <v>8.6</v>
      </c>
      <c r="AP14">
        <v>10.7</v>
      </c>
      <c r="AQ14">
        <v>13.3</v>
      </c>
      <c r="AR14">
        <v>4.5999999999999996</v>
      </c>
      <c r="AS14">
        <v>2.5</v>
      </c>
      <c r="AT14">
        <v>7.1</v>
      </c>
      <c r="AU14">
        <v>0.2</v>
      </c>
      <c r="AV14">
        <v>1.4</v>
      </c>
      <c r="AW14">
        <v>1.5</v>
      </c>
      <c r="AX14">
        <v>2.9</v>
      </c>
      <c r="AY14">
        <v>2.1</v>
      </c>
      <c r="AZ14" s="8">
        <v>5</v>
      </c>
      <c r="BA14" s="8">
        <v>1.8543242842308263</v>
      </c>
      <c r="BB14" s="3">
        <v>0</v>
      </c>
    </row>
    <row r="15" spans="1:67" x14ac:dyDescent="0.25">
      <c r="A15" t="s">
        <v>374</v>
      </c>
      <c r="B15" s="2">
        <v>2316240</v>
      </c>
      <c r="C15" t="s">
        <v>62</v>
      </c>
      <c r="D15">
        <v>23</v>
      </c>
      <c r="E15" t="s">
        <v>123</v>
      </c>
      <c r="F15">
        <v>81</v>
      </c>
      <c r="G15">
        <v>21</v>
      </c>
      <c r="H15">
        <v>28.9</v>
      </c>
      <c r="I15">
        <v>5.2</v>
      </c>
      <c r="J15">
        <v>11.6</v>
      </c>
      <c r="K15">
        <v>0.44800000000000001</v>
      </c>
      <c r="L15">
        <v>2.1</v>
      </c>
      <c r="M15">
        <v>5.6</v>
      </c>
      <c r="N15">
        <v>0.37</v>
      </c>
      <c r="O15">
        <v>3.1</v>
      </c>
      <c r="P15">
        <v>6</v>
      </c>
      <c r="Q15">
        <v>0.52100000000000002</v>
      </c>
      <c r="R15">
        <v>0.53700000000000003</v>
      </c>
      <c r="S15">
        <v>2.5</v>
      </c>
      <c r="T15">
        <v>3.1</v>
      </c>
      <c r="U15">
        <v>0.81899999999999995</v>
      </c>
      <c r="V15">
        <v>0.7</v>
      </c>
      <c r="W15">
        <v>3.4</v>
      </c>
      <c r="X15">
        <v>4.2</v>
      </c>
      <c r="Y15">
        <v>3.4</v>
      </c>
      <c r="Z15">
        <v>1</v>
      </c>
      <c r="AA15">
        <v>0.2</v>
      </c>
      <c r="AB15">
        <v>1.2</v>
      </c>
      <c r="AC15">
        <v>2</v>
      </c>
      <c r="AD15">
        <v>14.9</v>
      </c>
      <c r="AE15">
        <v>2344</v>
      </c>
      <c r="AF15">
        <v>16.3</v>
      </c>
      <c r="AG15">
        <v>0.57799999999999996</v>
      </c>
      <c r="AH15">
        <v>0.48499999999999999</v>
      </c>
      <c r="AI15">
        <v>0.26500000000000001</v>
      </c>
      <c r="AJ15">
        <v>2.7</v>
      </c>
      <c r="AK15">
        <v>13.1</v>
      </c>
      <c r="AL15">
        <v>7.9</v>
      </c>
      <c r="AM15">
        <v>17.399999999999999</v>
      </c>
      <c r="AN15">
        <v>1.7</v>
      </c>
      <c r="AO15">
        <v>0.6</v>
      </c>
      <c r="AP15">
        <v>8.6999999999999993</v>
      </c>
      <c r="AQ15">
        <v>20.9</v>
      </c>
      <c r="AR15">
        <v>4.4000000000000004</v>
      </c>
      <c r="AS15">
        <v>2.2999999999999998</v>
      </c>
      <c r="AT15">
        <v>6.7</v>
      </c>
      <c r="AU15">
        <v>0.13700000000000001</v>
      </c>
      <c r="AV15">
        <v>1.3</v>
      </c>
      <c r="AW15">
        <v>0.4</v>
      </c>
      <c r="AX15">
        <v>1.7</v>
      </c>
      <c r="AY15">
        <v>2.1</v>
      </c>
      <c r="AZ15" s="8">
        <v>4.2</v>
      </c>
      <c r="BA15" s="8">
        <v>1.8132835975546575</v>
      </c>
      <c r="BB15" s="3">
        <v>0</v>
      </c>
    </row>
    <row r="16" spans="1:67" x14ac:dyDescent="0.25">
      <c r="A16" t="s">
        <v>394</v>
      </c>
      <c r="B16" s="2">
        <v>2130240</v>
      </c>
      <c r="C16" t="s">
        <v>62</v>
      </c>
      <c r="D16">
        <v>24</v>
      </c>
      <c r="E16" t="s">
        <v>150</v>
      </c>
      <c r="F16">
        <v>58</v>
      </c>
      <c r="G16">
        <v>58</v>
      </c>
      <c r="H16">
        <v>31.7</v>
      </c>
      <c r="I16">
        <v>7.8</v>
      </c>
      <c r="J16">
        <v>16.2</v>
      </c>
      <c r="K16">
        <v>0.47899999999999998</v>
      </c>
      <c r="L16">
        <v>2.9</v>
      </c>
      <c r="M16">
        <v>7</v>
      </c>
      <c r="N16">
        <v>0.40799999999999997</v>
      </c>
      <c r="O16">
        <v>4.9000000000000004</v>
      </c>
      <c r="P16">
        <v>9.1999999999999993</v>
      </c>
      <c r="Q16">
        <v>0.53400000000000003</v>
      </c>
      <c r="R16">
        <v>0.56799999999999995</v>
      </c>
      <c r="S16">
        <v>3.1</v>
      </c>
      <c r="T16">
        <v>3.5</v>
      </c>
      <c r="U16">
        <v>0.88300000000000001</v>
      </c>
      <c r="V16">
        <v>0.7</v>
      </c>
      <c r="W16">
        <v>4.3</v>
      </c>
      <c r="X16">
        <v>5</v>
      </c>
      <c r="Y16">
        <v>4.4000000000000004</v>
      </c>
      <c r="Z16">
        <v>1</v>
      </c>
      <c r="AA16">
        <v>0.4</v>
      </c>
      <c r="AB16">
        <v>2.2000000000000002</v>
      </c>
      <c r="AC16">
        <v>2.6</v>
      </c>
      <c r="AD16">
        <v>21.5</v>
      </c>
      <c r="AE16">
        <v>1841</v>
      </c>
      <c r="AF16">
        <v>19.100000000000001</v>
      </c>
      <c r="AG16">
        <v>0.60599999999999998</v>
      </c>
      <c r="AH16">
        <v>0.433</v>
      </c>
      <c r="AI16">
        <v>0.218</v>
      </c>
      <c r="AJ16">
        <v>2.5</v>
      </c>
      <c r="AK16">
        <v>14.3</v>
      </c>
      <c r="AL16">
        <v>8.4</v>
      </c>
      <c r="AM16">
        <v>20.8</v>
      </c>
      <c r="AN16">
        <v>1.4</v>
      </c>
      <c r="AO16">
        <v>1.1000000000000001</v>
      </c>
      <c r="AP16">
        <v>10.9</v>
      </c>
      <c r="AQ16">
        <v>26.1</v>
      </c>
      <c r="AR16">
        <v>3.5</v>
      </c>
      <c r="AS16">
        <v>2.2999999999999998</v>
      </c>
      <c r="AT16">
        <v>5.8</v>
      </c>
      <c r="AU16">
        <v>0.151</v>
      </c>
      <c r="AV16">
        <v>3.3</v>
      </c>
      <c r="AW16">
        <v>0.1</v>
      </c>
      <c r="AX16">
        <v>3.5</v>
      </c>
      <c r="AY16">
        <v>2.5</v>
      </c>
      <c r="AZ16" s="8">
        <v>4.6500000000000004</v>
      </c>
      <c r="BA16" s="8">
        <v>2.1828526363226679</v>
      </c>
      <c r="BB16" s="3">
        <v>0</v>
      </c>
    </row>
    <row r="17" spans="1:54" x14ac:dyDescent="0.25">
      <c r="A17" t="s">
        <v>72</v>
      </c>
      <c r="B17" s="2">
        <v>38917057</v>
      </c>
      <c r="C17" t="s">
        <v>62</v>
      </c>
      <c r="D17">
        <v>30</v>
      </c>
      <c r="E17" t="s">
        <v>73</v>
      </c>
      <c r="F17">
        <v>60</v>
      </c>
      <c r="G17">
        <v>60</v>
      </c>
      <c r="H17">
        <v>37.4</v>
      </c>
      <c r="I17">
        <v>9.9</v>
      </c>
      <c r="J17">
        <v>20.100000000000001</v>
      </c>
      <c r="K17">
        <v>0.49399999999999999</v>
      </c>
      <c r="L17">
        <v>3.1</v>
      </c>
      <c r="M17">
        <v>8.3000000000000007</v>
      </c>
      <c r="N17">
        <v>0.379</v>
      </c>
      <c r="O17">
        <v>6.8</v>
      </c>
      <c r="P17">
        <v>11.8</v>
      </c>
      <c r="Q17">
        <v>0.57399999999999995</v>
      </c>
      <c r="R17">
        <v>0.57199999999999995</v>
      </c>
      <c r="S17">
        <v>4.0999999999999996</v>
      </c>
      <c r="T17">
        <v>4.5999999999999996</v>
      </c>
      <c r="U17">
        <v>0.90500000000000003</v>
      </c>
      <c r="V17">
        <v>1</v>
      </c>
      <c r="W17">
        <v>4.0999999999999996</v>
      </c>
      <c r="X17">
        <v>5.0999999999999996</v>
      </c>
      <c r="Y17">
        <v>5.5</v>
      </c>
      <c r="Z17">
        <v>1.1000000000000001</v>
      </c>
      <c r="AA17">
        <v>0.8</v>
      </c>
      <c r="AB17">
        <v>2.1</v>
      </c>
      <c r="AC17">
        <v>2.8</v>
      </c>
      <c r="AD17">
        <v>27.1</v>
      </c>
      <c r="AE17">
        <v>2241</v>
      </c>
      <c r="AF17">
        <v>22.4</v>
      </c>
      <c r="AG17">
        <v>0.61299999999999999</v>
      </c>
      <c r="AH17">
        <v>0.41199999999999998</v>
      </c>
      <c r="AI17">
        <v>0.22700000000000001</v>
      </c>
      <c r="AJ17">
        <v>3</v>
      </c>
      <c r="AK17">
        <v>12.3</v>
      </c>
      <c r="AL17">
        <v>7.7</v>
      </c>
      <c r="AM17">
        <v>25.4</v>
      </c>
      <c r="AN17">
        <v>1.4</v>
      </c>
      <c r="AO17">
        <v>1.7</v>
      </c>
      <c r="AP17">
        <v>8.8000000000000007</v>
      </c>
      <c r="AQ17">
        <v>28.9</v>
      </c>
      <c r="AR17">
        <v>5.4</v>
      </c>
      <c r="AS17">
        <v>2</v>
      </c>
      <c r="AT17">
        <v>7.4</v>
      </c>
      <c r="AU17">
        <v>0.159</v>
      </c>
      <c r="AV17">
        <v>4.8</v>
      </c>
      <c r="AW17">
        <v>-0.7</v>
      </c>
      <c r="AX17">
        <v>4.0999999999999996</v>
      </c>
      <c r="AY17">
        <v>3.5</v>
      </c>
      <c r="AZ17" s="8">
        <v>5.75</v>
      </c>
      <c r="BA17" s="8">
        <v>0.1477501240651368</v>
      </c>
      <c r="BB17" s="3">
        <v>0</v>
      </c>
    </row>
    <row r="18" spans="1:54" x14ac:dyDescent="0.25">
      <c r="A18" t="s">
        <v>162</v>
      </c>
      <c r="B18" s="2">
        <v>16475454</v>
      </c>
      <c r="C18" t="s">
        <v>28</v>
      </c>
      <c r="D18">
        <v>25</v>
      </c>
      <c r="E18" t="s">
        <v>130</v>
      </c>
      <c r="F18">
        <v>66</v>
      </c>
      <c r="G18">
        <v>66</v>
      </c>
      <c r="H18">
        <v>34.4</v>
      </c>
      <c r="I18">
        <v>8.6999999999999993</v>
      </c>
      <c r="J18">
        <v>17.3</v>
      </c>
      <c r="K18">
        <v>0.499</v>
      </c>
      <c r="L18">
        <v>3</v>
      </c>
      <c r="M18">
        <v>7.7</v>
      </c>
      <c r="N18">
        <v>0.39100000000000001</v>
      </c>
      <c r="O18">
        <v>5.6</v>
      </c>
      <c r="P18">
        <v>9.6</v>
      </c>
      <c r="Q18">
        <v>0.58499999999999996</v>
      </c>
      <c r="R18">
        <v>0.58599999999999997</v>
      </c>
      <c r="S18">
        <v>5.3</v>
      </c>
      <c r="T18">
        <v>6</v>
      </c>
      <c r="U18">
        <v>0.875</v>
      </c>
      <c r="V18">
        <v>2</v>
      </c>
      <c r="W18">
        <v>6.7</v>
      </c>
      <c r="X18">
        <v>8.6</v>
      </c>
      <c r="Y18">
        <v>1.9</v>
      </c>
      <c r="Z18">
        <v>0.6</v>
      </c>
      <c r="AA18">
        <v>0.6</v>
      </c>
      <c r="AB18">
        <v>1.9</v>
      </c>
      <c r="AC18">
        <v>2.1</v>
      </c>
      <c r="AD18">
        <v>25.6</v>
      </c>
      <c r="AE18">
        <v>2273</v>
      </c>
      <c r="AF18">
        <v>22.1</v>
      </c>
      <c r="AG18">
        <v>0.64</v>
      </c>
      <c r="AH18">
        <v>0.44600000000000001</v>
      </c>
      <c r="AI18">
        <v>0.34799999999999998</v>
      </c>
      <c r="AJ18">
        <v>6.3</v>
      </c>
      <c r="AK18">
        <v>20.7</v>
      </c>
      <c r="AL18">
        <v>13.6</v>
      </c>
      <c r="AM18">
        <v>8.6</v>
      </c>
      <c r="AN18">
        <v>0.9</v>
      </c>
      <c r="AO18">
        <v>1.4</v>
      </c>
      <c r="AP18">
        <v>8.8000000000000007</v>
      </c>
      <c r="AQ18">
        <v>26.6</v>
      </c>
      <c r="AR18">
        <v>6.3</v>
      </c>
      <c r="AS18">
        <v>1.9</v>
      </c>
      <c r="AT18">
        <v>8.1999999999999993</v>
      </c>
      <c r="AU18">
        <v>0.17299999999999999</v>
      </c>
      <c r="AV18">
        <v>4.9000000000000004</v>
      </c>
      <c r="AW18">
        <v>-1</v>
      </c>
      <c r="AX18">
        <v>3.8</v>
      </c>
      <c r="AY18">
        <v>3.3</v>
      </c>
      <c r="AZ18" s="8">
        <v>6</v>
      </c>
      <c r="BA18" s="8">
        <v>0.36417812826280843</v>
      </c>
      <c r="BB18" s="3">
        <v>0</v>
      </c>
    </row>
    <row r="19" spans="1:54" x14ac:dyDescent="0.25">
      <c r="A19" t="s">
        <v>239</v>
      </c>
      <c r="B19" s="2">
        <v>7644600</v>
      </c>
      <c r="C19" t="s">
        <v>65</v>
      </c>
      <c r="D19">
        <v>21</v>
      </c>
      <c r="E19" t="s">
        <v>91</v>
      </c>
      <c r="F19">
        <v>77</v>
      </c>
      <c r="G19">
        <v>76</v>
      </c>
      <c r="H19">
        <v>34.799999999999997</v>
      </c>
      <c r="I19">
        <v>6</v>
      </c>
      <c r="J19">
        <v>13.2</v>
      </c>
      <c r="K19">
        <v>0.45600000000000002</v>
      </c>
      <c r="L19">
        <v>0.8</v>
      </c>
      <c r="M19">
        <v>2.9</v>
      </c>
      <c r="N19">
        <v>0.28100000000000003</v>
      </c>
      <c r="O19">
        <v>5.2</v>
      </c>
      <c r="P19">
        <v>10.3</v>
      </c>
      <c r="Q19">
        <v>0.505</v>
      </c>
      <c r="R19">
        <v>0.48699999999999999</v>
      </c>
      <c r="S19">
        <v>2.5</v>
      </c>
      <c r="T19">
        <v>3.2</v>
      </c>
      <c r="U19">
        <v>0.77200000000000002</v>
      </c>
      <c r="V19">
        <v>2.2999999999999998</v>
      </c>
      <c r="W19">
        <v>4.3</v>
      </c>
      <c r="X19">
        <v>6.6</v>
      </c>
      <c r="Y19">
        <v>4.8</v>
      </c>
      <c r="Z19">
        <v>1.1000000000000001</v>
      </c>
      <c r="AA19">
        <v>0.8</v>
      </c>
      <c r="AB19">
        <v>2</v>
      </c>
      <c r="AC19">
        <v>2.2000000000000002</v>
      </c>
      <c r="AD19">
        <v>15.3</v>
      </c>
      <c r="AE19">
        <v>2678</v>
      </c>
      <c r="AF19">
        <v>15.5</v>
      </c>
      <c r="AG19">
        <v>0.52400000000000002</v>
      </c>
      <c r="AH19">
        <v>0.22</v>
      </c>
      <c r="AI19">
        <v>0.24199999999999999</v>
      </c>
      <c r="AJ19">
        <v>7.1</v>
      </c>
      <c r="AK19">
        <v>15.2</v>
      </c>
      <c r="AL19">
        <v>10.8</v>
      </c>
      <c r="AM19">
        <v>20</v>
      </c>
      <c r="AN19">
        <v>1.5</v>
      </c>
      <c r="AO19">
        <v>2.2000000000000002</v>
      </c>
      <c r="AP19">
        <v>12</v>
      </c>
      <c r="AQ19">
        <v>20.3</v>
      </c>
      <c r="AR19">
        <v>2.2999999999999998</v>
      </c>
      <c r="AS19">
        <v>2.7</v>
      </c>
      <c r="AT19">
        <v>5</v>
      </c>
      <c r="AU19">
        <v>0.09</v>
      </c>
      <c r="AV19">
        <v>0.5</v>
      </c>
      <c r="AW19">
        <v>-0.1</v>
      </c>
      <c r="AX19">
        <v>0.4</v>
      </c>
      <c r="AY19">
        <v>1.6</v>
      </c>
      <c r="AZ19" s="8">
        <v>2.7</v>
      </c>
      <c r="BA19" s="8">
        <v>0.35319048740287262</v>
      </c>
      <c r="BB19" s="3">
        <v>0</v>
      </c>
    </row>
    <row r="20" spans="1:54" x14ac:dyDescent="0.25">
      <c r="A20" t="s">
        <v>580</v>
      </c>
      <c r="B20" s="2">
        <v>37096500</v>
      </c>
      <c r="C20" t="s">
        <v>52</v>
      </c>
      <c r="AT20">
        <v>12.1</v>
      </c>
      <c r="AX20">
        <v>8.1999999999999993</v>
      </c>
      <c r="AZ20" s="8">
        <v>10.149999999999999</v>
      </c>
      <c r="BA20" s="8">
        <v>0.27361071799226339</v>
      </c>
      <c r="BB20" s="3">
        <v>0</v>
      </c>
    </row>
    <row r="21" spans="1:54" x14ac:dyDescent="0.25">
      <c r="A21" t="s">
        <v>98</v>
      </c>
      <c r="B21" s="2">
        <v>33616770</v>
      </c>
      <c r="C21" t="s">
        <v>75</v>
      </c>
      <c r="D21">
        <v>28</v>
      </c>
      <c r="E21" t="s">
        <v>82</v>
      </c>
      <c r="F21">
        <v>66</v>
      </c>
      <c r="G21">
        <v>66</v>
      </c>
      <c r="H21">
        <v>34.6</v>
      </c>
      <c r="I21">
        <v>11</v>
      </c>
      <c r="J21">
        <v>20.100000000000001</v>
      </c>
      <c r="K21">
        <v>0.54800000000000004</v>
      </c>
      <c r="L21">
        <v>1</v>
      </c>
      <c r="M21">
        <v>3</v>
      </c>
      <c r="N21">
        <v>0.33</v>
      </c>
      <c r="O21">
        <v>10</v>
      </c>
      <c r="P21">
        <v>17.100000000000001</v>
      </c>
      <c r="Q21">
        <v>0.58699999999999997</v>
      </c>
      <c r="R21">
        <v>0.57299999999999995</v>
      </c>
      <c r="S21">
        <v>10</v>
      </c>
      <c r="T21">
        <v>11.7</v>
      </c>
      <c r="U21">
        <v>0.85699999999999998</v>
      </c>
      <c r="V21">
        <v>1.7</v>
      </c>
      <c r="W21">
        <v>8.4</v>
      </c>
      <c r="X21">
        <v>10.199999999999999</v>
      </c>
      <c r="Y21">
        <v>4.2</v>
      </c>
      <c r="Z21">
        <v>1</v>
      </c>
      <c r="AA21">
        <v>1.7</v>
      </c>
      <c r="AB21">
        <v>3.4</v>
      </c>
      <c r="AC21">
        <v>3.1</v>
      </c>
      <c r="AD21">
        <v>33.1</v>
      </c>
      <c r="AE21">
        <v>2284</v>
      </c>
      <c r="AF21">
        <v>31.4</v>
      </c>
      <c r="AG21">
        <v>0.65500000000000003</v>
      </c>
      <c r="AH21">
        <v>0.151</v>
      </c>
      <c r="AI21">
        <v>0.58099999999999996</v>
      </c>
      <c r="AJ21">
        <v>5.9</v>
      </c>
      <c r="AK21">
        <v>28.3</v>
      </c>
      <c r="AL21">
        <v>17.3</v>
      </c>
      <c r="AM21">
        <v>22.9</v>
      </c>
      <c r="AN21">
        <v>1.4</v>
      </c>
      <c r="AO21">
        <v>4.5999999999999996</v>
      </c>
      <c r="AP21">
        <v>11.9</v>
      </c>
      <c r="AQ21">
        <v>37</v>
      </c>
      <c r="AR21">
        <v>8.4</v>
      </c>
      <c r="AS21">
        <v>3.9</v>
      </c>
      <c r="AT21">
        <v>12.3</v>
      </c>
      <c r="AU21">
        <v>0.25900000000000001</v>
      </c>
      <c r="AV21">
        <v>6.8</v>
      </c>
      <c r="AW21">
        <v>2.2999999999999998</v>
      </c>
      <c r="AX21">
        <v>9.1999999999999993</v>
      </c>
      <c r="AY21">
        <v>6.4</v>
      </c>
      <c r="AZ21" s="8">
        <v>10.75</v>
      </c>
      <c r="BA21" s="8">
        <v>0.31978087127347454</v>
      </c>
      <c r="BB21" s="3">
        <v>0</v>
      </c>
    </row>
    <row r="22" spans="1:54" x14ac:dyDescent="0.25">
      <c r="A22" t="s">
        <v>79</v>
      </c>
      <c r="B22" s="2">
        <v>37653300</v>
      </c>
      <c r="C22" t="s">
        <v>28</v>
      </c>
      <c r="D22">
        <v>33</v>
      </c>
      <c r="E22" t="s">
        <v>80</v>
      </c>
      <c r="F22">
        <v>64</v>
      </c>
      <c r="G22">
        <v>64</v>
      </c>
      <c r="H22">
        <v>33.4</v>
      </c>
      <c r="I22">
        <v>7.5</v>
      </c>
      <c r="J22">
        <v>13.9</v>
      </c>
      <c r="K22">
        <v>0.53900000000000003</v>
      </c>
      <c r="L22">
        <v>0.6</v>
      </c>
      <c r="M22">
        <v>1.6</v>
      </c>
      <c r="N22">
        <v>0.35</v>
      </c>
      <c r="O22">
        <v>6.9</v>
      </c>
      <c r="P22">
        <v>12.3</v>
      </c>
      <c r="Q22">
        <v>0.56399999999999995</v>
      </c>
      <c r="R22">
        <v>0.56000000000000005</v>
      </c>
      <c r="S22">
        <v>7.4</v>
      </c>
      <c r="T22">
        <v>8.6999999999999993</v>
      </c>
      <c r="U22">
        <v>0.85</v>
      </c>
      <c r="V22">
        <v>2.2000000000000002</v>
      </c>
      <c r="W22">
        <v>3.7</v>
      </c>
      <c r="X22">
        <v>5.9</v>
      </c>
      <c r="Y22">
        <v>5.3</v>
      </c>
      <c r="Z22">
        <v>1.8</v>
      </c>
      <c r="AA22">
        <v>0.3</v>
      </c>
      <c r="AB22">
        <v>1.6</v>
      </c>
      <c r="AC22">
        <v>1.3</v>
      </c>
      <c r="AD22">
        <v>22.9</v>
      </c>
      <c r="AE22">
        <v>2138</v>
      </c>
      <c r="AF22">
        <v>27.6</v>
      </c>
      <c r="AG22">
        <v>0.64700000000000002</v>
      </c>
      <c r="AH22">
        <v>0.11600000000000001</v>
      </c>
      <c r="AI22">
        <v>0.625</v>
      </c>
      <c r="AJ22">
        <v>7.5</v>
      </c>
      <c r="AK22">
        <v>13.3</v>
      </c>
      <c r="AL22">
        <v>10.3</v>
      </c>
      <c r="AM22">
        <v>27.1</v>
      </c>
      <c r="AN22">
        <v>2.7</v>
      </c>
      <c r="AO22">
        <v>1</v>
      </c>
      <c r="AP22">
        <v>8.1999999999999993</v>
      </c>
      <c r="AQ22">
        <v>25.6</v>
      </c>
      <c r="AR22">
        <v>9.4</v>
      </c>
      <c r="AS22">
        <v>2.9</v>
      </c>
      <c r="AT22">
        <v>12.3</v>
      </c>
      <c r="AU22">
        <v>0.27700000000000002</v>
      </c>
      <c r="AV22">
        <v>6.7</v>
      </c>
      <c r="AW22">
        <v>2</v>
      </c>
      <c r="AX22">
        <v>8.6999999999999993</v>
      </c>
      <c r="AY22">
        <v>5.8</v>
      </c>
      <c r="AZ22" s="8">
        <v>10.5</v>
      </c>
      <c r="BA22" s="8">
        <v>0.27886002023727002</v>
      </c>
      <c r="BB22" s="3">
        <v>0</v>
      </c>
    </row>
    <row r="23" spans="1:54" x14ac:dyDescent="0.25">
      <c r="A23" t="s">
        <v>455</v>
      </c>
      <c r="B23" s="2">
        <v>1563518</v>
      </c>
      <c r="C23" t="s">
        <v>62</v>
      </c>
      <c r="D23">
        <v>24</v>
      </c>
      <c r="E23" t="s">
        <v>58</v>
      </c>
      <c r="F23">
        <v>64</v>
      </c>
      <c r="G23">
        <v>22</v>
      </c>
      <c r="H23">
        <v>28.8</v>
      </c>
      <c r="I23">
        <v>4</v>
      </c>
      <c r="J23">
        <v>7.7</v>
      </c>
      <c r="K23">
        <v>0.52900000000000003</v>
      </c>
      <c r="L23">
        <v>1.3</v>
      </c>
      <c r="M23">
        <v>3.4</v>
      </c>
      <c r="N23">
        <v>0.39800000000000002</v>
      </c>
      <c r="O23">
        <v>2.7</v>
      </c>
      <c r="P23">
        <v>4.3</v>
      </c>
      <c r="Q23">
        <v>0.63100000000000001</v>
      </c>
      <c r="R23">
        <v>0.61599999999999999</v>
      </c>
      <c r="S23">
        <v>3.6</v>
      </c>
      <c r="T23">
        <v>4.0999999999999996</v>
      </c>
      <c r="U23">
        <v>0.86399999999999999</v>
      </c>
      <c r="V23">
        <v>0.5</v>
      </c>
      <c r="W23">
        <v>2.5</v>
      </c>
      <c r="X23">
        <v>3</v>
      </c>
      <c r="Y23">
        <v>3.4</v>
      </c>
      <c r="Z23">
        <v>0.5</v>
      </c>
      <c r="AA23">
        <v>0.3</v>
      </c>
      <c r="AB23">
        <v>1.5</v>
      </c>
      <c r="AC23">
        <v>1.7</v>
      </c>
      <c r="AD23">
        <v>13</v>
      </c>
      <c r="AE23">
        <v>1843</v>
      </c>
      <c r="AF23">
        <v>14.9</v>
      </c>
      <c r="AG23">
        <v>0.68700000000000006</v>
      </c>
      <c r="AH23">
        <v>0.441</v>
      </c>
      <c r="AI23">
        <v>0.54100000000000004</v>
      </c>
      <c r="AJ23">
        <v>2</v>
      </c>
      <c r="AK23">
        <v>9</v>
      </c>
      <c r="AL23">
        <v>5.6</v>
      </c>
      <c r="AM23">
        <v>15.7</v>
      </c>
      <c r="AN23">
        <v>0.8</v>
      </c>
      <c r="AO23">
        <v>0.9</v>
      </c>
      <c r="AP23">
        <v>14</v>
      </c>
      <c r="AQ23">
        <v>16.2</v>
      </c>
      <c r="AR23">
        <v>4.0999999999999996</v>
      </c>
      <c r="AS23">
        <v>1.4</v>
      </c>
      <c r="AT23">
        <v>5.4</v>
      </c>
      <c r="AU23">
        <v>0.14199999999999999</v>
      </c>
      <c r="AV23">
        <v>0.6</v>
      </c>
      <c r="AW23">
        <v>0.1</v>
      </c>
      <c r="AX23">
        <v>0.7</v>
      </c>
      <c r="AY23">
        <v>1.2</v>
      </c>
      <c r="AZ23" s="8">
        <v>3.0500000000000003</v>
      </c>
      <c r="BA23" s="8">
        <v>1.9507290610021761</v>
      </c>
      <c r="BB23" s="3">
        <v>0</v>
      </c>
    </row>
    <row r="24" spans="1:54" x14ac:dyDescent="0.25">
      <c r="A24" t="s">
        <v>297</v>
      </c>
      <c r="B24" s="2">
        <v>4343919</v>
      </c>
      <c r="C24" t="s">
        <v>28</v>
      </c>
      <c r="D24">
        <v>26</v>
      </c>
      <c r="E24" t="s">
        <v>150</v>
      </c>
      <c r="F24">
        <v>56</v>
      </c>
      <c r="G24">
        <v>8</v>
      </c>
      <c r="H24">
        <v>19.5</v>
      </c>
      <c r="I24">
        <v>4.0999999999999996</v>
      </c>
      <c r="J24">
        <v>6.2</v>
      </c>
      <c r="K24">
        <v>0.65600000000000003</v>
      </c>
      <c r="L24">
        <v>0</v>
      </c>
      <c r="M24">
        <v>0.1</v>
      </c>
      <c r="N24">
        <v>0.16700000000000001</v>
      </c>
      <c r="O24">
        <v>4.0999999999999996</v>
      </c>
      <c r="P24">
        <v>6.1</v>
      </c>
      <c r="Q24">
        <v>0.66500000000000004</v>
      </c>
      <c r="R24">
        <v>0.65800000000000003</v>
      </c>
      <c r="S24">
        <v>1.8</v>
      </c>
      <c r="T24">
        <v>2.4</v>
      </c>
      <c r="U24">
        <v>0.72299999999999998</v>
      </c>
      <c r="V24">
        <v>1.6</v>
      </c>
      <c r="W24">
        <v>3.9</v>
      </c>
      <c r="X24">
        <v>5.5</v>
      </c>
      <c r="Y24">
        <v>1.3</v>
      </c>
      <c r="Z24">
        <v>0.6</v>
      </c>
      <c r="AA24">
        <v>0.7</v>
      </c>
      <c r="AB24">
        <v>1</v>
      </c>
      <c r="AC24">
        <v>2.2999999999999998</v>
      </c>
      <c r="AD24">
        <v>10</v>
      </c>
      <c r="AE24">
        <v>1090</v>
      </c>
      <c r="AF24">
        <v>20</v>
      </c>
      <c r="AG24">
        <v>0.68200000000000005</v>
      </c>
      <c r="AH24">
        <v>1.7000000000000001E-2</v>
      </c>
      <c r="AI24">
        <v>0.39300000000000002</v>
      </c>
      <c r="AJ24">
        <v>9</v>
      </c>
      <c r="AK24">
        <v>21.2</v>
      </c>
      <c r="AL24">
        <v>15.1</v>
      </c>
      <c r="AM24">
        <v>9.5</v>
      </c>
      <c r="AN24">
        <v>1.5</v>
      </c>
      <c r="AO24">
        <v>3.1</v>
      </c>
      <c r="AP24">
        <v>11.8</v>
      </c>
      <c r="AQ24">
        <v>17.7</v>
      </c>
      <c r="AR24">
        <v>2.7</v>
      </c>
      <c r="AS24">
        <v>1.8</v>
      </c>
      <c r="AT24">
        <v>4.5</v>
      </c>
      <c r="AU24">
        <v>0.19900000000000001</v>
      </c>
      <c r="AV24">
        <v>0.8</v>
      </c>
      <c r="AW24">
        <v>1.8</v>
      </c>
      <c r="AX24">
        <v>2.5</v>
      </c>
      <c r="AY24">
        <v>1.3</v>
      </c>
      <c r="AZ24" s="8">
        <v>3.5</v>
      </c>
      <c r="BA24" s="8">
        <v>0.80572404780107543</v>
      </c>
      <c r="BB24" s="3">
        <v>0</v>
      </c>
    </row>
    <row r="25" spans="1:54" x14ac:dyDescent="0.25">
      <c r="A25" t="s">
        <v>417</v>
      </c>
      <c r="B25" s="2">
        <v>1930681</v>
      </c>
      <c r="C25" t="s">
        <v>75</v>
      </c>
      <c r="D25">
        <v>24</v>
      </c>
      <c r="E25" t="s">
        <v>63</v>
      </c>
      <c r="F25">
        <v>78</v>
      </c>
      <c r="G25">
        <v>47</v>
      </c>
      <c r="H25">
        <v>20.6</v>
      </c>
      <c r="I25">
        <v>3.7</v>
      </c>
      <c r="J25">
        <v>5.0999999999999996</v>
      </c>
      <c r="K25">
        <v>0.73199999999999998</v>
      </c>
      <c r="L25">
        <v>0</v>
      </c>
      <c r="M25">
        <v>0</v>
      </c>
      <c r="O25">
        <v>3.7</v>
      </c>
      <c r="P25">
        <v>5.0999999999999996</v>
      </c>
      <c r="Q25">
        <v>0.73199999999999998</v>
      </c>
      <c r="R25">
        <v>0.73199999999999998</v>
      </c>
      <c r="S25">
        <v>1.6</v>
      </c>
      <c r="T25">
        <v>2.4</v>
      </c>
      <c r="U25">
        <v>0.67900000000000005</v>
      </c>
      <c r="V25">
        <v>2.1</v>
      </c>
      <c r="W25">
        <v>3.5</v>
      </c>
      <c r="X25">
        <v>5.6</v>
      </c>
      <c r="Y25">
        <v>1.1000000000000001</v>
      </c>
      <c r="Z25">
        <v>0.4</v>
      </c>
      <c r="AA25">
        <v>1.3</v>
      </c>
      <c r="AB25">
        <v>1.1000000000000001</v>
      </c>
      <c r="AC25">
        <v>2.4</v>
      </c>
      <c r="AD25">
        <v>9</v>
      </c>
      <c r="AE25">
        <v>1604</v>
      </c>
      <c r="AF25">
        <v>19.7</v>
      </c>
      <c r="AG25">
        <v>0.73899999999999999</v>
      </c>
      <c r="AH25">
        <v>0</v>
      </c>
      <c r="AI25">
        <v>0.47299999999999998</v>
      </c>
      <c r="AJ25">
        <v>11.7</v>
      </c>
      <c r="AK25">
        <v>18</v>
      </c>
      <c r="AL25">
        <v>15</v>
      </c>
      <c r="AM25">
        <v>7.5</v>
      </c>
      <c r="AN25">
        <v>1</v>
      </c>
      <c r="AO25">
        <v>5.2</v>
      </c>
      <c r="AP25">
        <v>15.1</v>
      </c>
      <c r="AQ25">
        <v>15.2</v>
      </c>
      <c r="AR25">
        <v>4.2</v>
      </c>
      <c r="AS25">
        <v>1.9</v>
      </c>
      <c r="AT25">
        <v>6.1</v>
      </c>
      <c r="AU25">
        <v>0.184</v>
      </c>
      <c r="AV25">
        <v>0.4</v>
      </c>
      <c r="AW25">
        <v>0.6</v>
      </c>
      <c r="AX25">
        <v>1</v>
      </c>
      <c r="AY25">
        <v>1.2</v>
      </c>
      <c r="AZ25" s="8">
        <v>3.55</v>
      </c>
      <c r="BA25" s="8">
        <v>1.8387294431343137</v>
      </c>
      <c r="BB25" s="3">
        <v>0</v>
      </c>
    </row>
    <row r="26" spans="1:54" x14ac:dyDescent="0.25">
      <c r="A26" t="s">
        <v>51</v>
      </c>
      <c r="B26" s="2">
        <v>48070014</v>
      </c>
      <c r="C26" t="s">
        <v>52</v>
      </c>
      <c r="D26">
        <v>34</v>
      </c>
      <c r="E26" t="s">
        <v>53</v>
      </c>
      <c r="F26">
        <v>56</v>
      </c>
      <c r="G26">
        <v>56</v>
      </c>
      <c r="H26">
        <v>34.700000000000003</v>
      </c>
      <c r="I26">
        <v>10</v>
      </c>
      <c r="J26">
        <v>20.2</v>
      </c>
      <c r="K26">
        <v>0.49299999999999999</v>
      </c>
      <c r="L26">
        <v>4.9000000000000004</v>
      </c>
      <c r="M26">
        <v>11.4</v>
      </c>
      <c r="N26">
        <v>0.42699999999999999</v>
      </c>
      <c r="O26">
        <v>5.0999999999999996</v>
      </c>
      <c r="P26">
        <v>8.8000000000000007</v>
      </c>
      <c r="Q26">
        <v>0.57899999999999996</v>
      </c>
      <c r="R26">
        <v>0.61399999999999999</v>
      </c>
      <c r="S26">
        <v>4.5999999999999996</v>
      </c>
      <c r="T26">
        <v>5</v>
      </c>
      <c r="U26">
        <v>0.91500000000000004</v>
      </c>
      <c r="V26">
        <v>0.7</v>
      </c>
      <c r="W26">
        <v>5.4</v>
      </c>
      <c r="X26">
        <v>6.1</v>
      </c>
      <c r="Y26">
        <v>6.3</v>
      </c>
      <c r="Z26">
        <v>0.9</v>
      </c>
      <c r="AA26">
        <v>0.4</v>
      </c>
      <c r="AB26">
        <v>3.2</v>
      </c>
      <c r="AC26">
        <v>2.1</v>
      </c>
      <c r="AD26">
        <v>29.4</v>
      </c>
      <c r="AE26">
        <v>1941</v>
      </c>
      <c r="AF26">
        <v>24.1</v>
      </c>
      <c r="AG26">
        <v>0.65600000000000003</v>
      </c>
      <c r="AH26">
        <v>0.56399999999999995</v>
      </c>
      <c r="AI26">
        <v>0.248</v>
      </c>
      <c r="AJ26">
        <v>2.2999999999999998</v>
      </c>
      <c r="AK26">
        <v>16.8</v>
      </c>
      <c r="AL26">
        <v>9.6999999999999993</v>
      </c>
      <c r="AM26">
        <v>30</v>
      </c>
      <c r="AN26">
        <v>1.3</v>
      </c>
      <c r="AO26">
        <v>0.9</v>
      </c>
      <c r="AP26">
        <v>12.5</v>
      </c>
      <c r="AQ26">
        <v>31</v>
      </c>
      <c r="AR26">
        <v>5.8</v>
      </c>
      <c r="AS26">
        <v>2</v>
      </c>
      <c r="AT26">
        <v>7.8</v>
      </c>
      <c r="AU26">
        <v>0.192</v>
      </c>
      <c r="AV26">
        <v>7.5</v>
      </c>
      <c r="AW26">
        <v>0.1</v>
      </c>
      <c r="AX26">
        <v>7.5</v>
      </c>
      <c r="AY26">
        <v>4.7</v>
      </c>
      <c r="AZ26" s="8">
        <v>7.65</v>
      </c>
      <c r="BA26" s="8">
        <v>0.15914287023090945</v>
      </c>
      <c r="BB26" s="3">
        <v>0</v>
      </c>
    </row>
    <row r="27" spans="1:54" x14ac:dyDescent="0.25">
      <c r="A27" t="s">
        <v>56</v>
      </c>
      <c r="B27" s="2">
        <v>47080179</v>
      </c>
      <c r="C27" t="s">
        <v>52</v>
      </c>
      <c r="D27">
        <v>34</v>
      </c>
      <c r="E27" t="s">
        <v>55</v>
      </c>
      <c r="F27">
        <v>73</v>
      </c>
      <c r="G27">
        <v>24</v>
      </c>
      <c r="H27">
        <v>29.1</v>
      </c>
      <c r="I27">
        <v>5.9</v>
      </c>
      <c r="J27">
        <v>13.6</v>
      </c>
      <c r="K27">
        <v>0.436</v>
      </c>
      <c r="L27">
        <v>1.2</v>
      </c>
      <c r="M27">
        <v>3.9</v>
      </c>
      <c r="N27">
        <v>0.311</v>
      </c>
      <c r="O27">
        <v>4.7</v>
      </c>
      <c r="P27">
        <v>9.6999999999999993</v>
      </c>
      <c r="Q27">
        <v>0.48699999999999999</v>
      </c>
      <c r="R27">
        <v>0.48099999999999998</v>
      </c>
      <c r="S27">
        <v>2.8</v>
      </c>
      <c r="T27">
        <v>4.3</v>
      </c>
      <c r="U27">
        <v>0.65600000000000003</v>
      </c>
      <c r="V27">
        <v>1.2</v>
      </c>
      <c r="W27">
        <v>4.5999999999999996</v>
      </c>
      <c r="X27">
        <v>5.8</v>
      </c>
      <c r="Y27">
        <v>7.5</v>
      </c>
      <c r="Z27">
        <v>1</v>
      </c>
      <c r="AA27">
        <v>0.5</v>
      </c>
      <c r="AB27">
        <v>3.5</v>
      </c>
      <c r="AC27">
        <v>2.2000000000000002</v>
      </c>
      <c r="AD27">
        <v>15.9</v>
      </c>
      <c r="AE27">
        <v>2126</v>
      </c>
      <c r="AF27">
        <v>16.100000000000001</v>
      </c>
      <c r="AG27">
        <v>0.51300000000000001</v>
      </c>
      <c r="AH27">
        <v>0.28899999999999998</v>
      </c>
      <c r="AI27">
        <v>0.317</v>
      </c>
      <c r="AJ27">
        <v>4.7</v>
      </c>
      <c r="AK27">
        <v>16.5</v>
      </c>
      <c r="AL27">
        <v>10.8</v>
      </c>
      <c r="AM27">
        <v>38.6</v>
      </c>
      <c r="AN27">
        <v>1.7</v>
      </c>
      <c r="AO27">
        <v>1.3</v>
      </c>
      <c r="AP27">
        <v>18.399999999999999</v>
      </c>
      <c r="AQ27">
        <v>27.7</v>
      </c>
      <c r="AR27">
        <v>-0.6</v>
      </c>
      <c r="AS27">
        <v>2.6</v>
      </c>
      <c r="AT27">
        <v>1.9</v>
      </c>
      <c r="AU27">
        <v>4.3999999999999997E-2</v>
      </c>
      <c r="AV27">
        <v>0.3</v>
      </c>
      <c r="AW27">
        <v>-0.1</v>
      </c>
      <c r="AX27">
        <v>0.2</v>
      </c>
      <c r="AY27">
        <v>1.2</v>
      </c>
      <c r="AZ27" s="8">
        <v>1.05</v>
      </c>
      <c r="BA27" s="8">
        <v>2.2302379096731981E-2</v>
      </c>
      <c r="BB27" s="3">
        <v>0</v>
      </c>
    </row>
    <row r="28" spans="1:54" x14ac:dyDescent="0.25">
      <c r="A28" t="s">
        <v>57</v>
      </c>
      <c r="B28" s="2">
        <v>44474988</v>
      </c>
      <c r="C28" t="s">
        <v>28</v>
      </c>
      <c r="D28">
        <v>38</v>
      </c>
      <c r="E28" t="s">
        <v>58</v>
      </c>
      <c r="F28">
        <v>55</v>
      </c>
      <c r="G28">
        <v>54</v>
      </c>
      <c r="H28">
        <v>35.5</v>
      </c>
      <c r="I28">
        <v>11.1</v>
      </c>
      <c r="J28">
        <v>22.2</v>
      </c>
      <c r="K28">
        <v>0.5</v>
      </c>
      <c r="L28">
        <v>2.2000000000000002</v>
      </c>
      <c r="M28">
        <v>6.9</v>
      </c>
      <c r="N28">
        <v>0.32100000000000001</v>
      </c>
      <c r="O28">
        <v>8.9</v>
      </c>
      <c r="P28">
        <v>15.3</v>
      </c>
      <c r="Q28">
        <v>0.57999999999999996</v>
      </c>
      <c r="R28">
        <v>0.54900000000000004</v>
      </c>
      <c r="S28">
        <v>4.5999999999999996</v>
      </c>
      <c r="T28">
        <v>5.9</v>
      </c>
      <c r="U28">
        <v>0.76800000000000002</v>
      </c>
      <c r="V28">
        <v>1.2</v>
      </c>
      <c r="W28">
        <v>7.1</v>
      </c>
      <c r="X28">
        <v>8.3000000000000007</v>
      </c>
      <c r="Y28">
        <v>6.8</v>
      </c>
      <c r="Z28">
        <v>0.9</v>
      </c>
      <c r="AA28">
        <v>0.6</v>
      </c>
      <c r="AB28">
        <v>3.2</v>
      </c>
      <c r="AC28">
        <v>1.6</v>
      </c>
      <c r="AD28">
        <v>28.9</v>
      </c>
      <c r="AE28">
        <v>1954</v>
      </c>
      <c r="AF28">
        <v>23.9</v>
      </c>
      <c r="AG28">
        <v>0.58299999999999996</v>
      </c>
      <c r="AH28">
        <v>0.309</v>
      </c>
      <c r="AI28">
        <v>0.26800000000000002</v>
      </c>
      <c r="AJ28">
        <v>3.7</v>
      </c>
      <c r="AK28">
        <v>20.8</v>
      </c>
      <c r="AL28">
        <v>12.5</v>
      </c>
      <c r="AM28">
        <v>33.5</v>
      </c>
      <c r="AN28">
        <v>1.2</v>
      </c>
      <c r="AO28">
        <v>1.4</v>
      </c>
      <c r="AP28">
        <v>11.6</v>
      </c>
      <c r="AQ28">
        <v>33.299999999999997</v>
      </c>
      <c r="AR28">
        <v>3.2</v>
      </c>
      <c r="AS28">
        <v>2.4</v>
      </c>
      <c r="AT28">
        <v>5.6</v>
      </c>
      <c r="AU28">
        <v>0.13800000000000001</v>
      </c>
      <c r="AV28">
        <v>5.5</v>
      </c>
      <c r="AW28">
        <v>0.6</v>
      </c>
      <c r="AX28">
        <v>6.1</v>
      </c>
      <c r="AY28">
        <v>4</v>
      </c>
      <c r="AZ28" s="8">
        <v>5.85</v>
      </c>
      <c r="BA28" s="8">
        <v>0.13153460547308074</v>
      </c>
      <c r="BB28" s="3">
        <v>0</v>
      </c>
    </row>
    <row r="29" spans="1:54" x14ac:dyDescent="0.25">
      <c r="A29" t="s">
        <v>59</v>
      </c>
      <c r="B29" s="2">
        <v>44119845</v>
      </c>
      <c r="C29" t="s">
        <v>28</v>
      </c>
      <c r="D29">
        <v>34</v>
      </c>
      <c r="E29" t="s">
        <v>60</v>
      </c>
      <c r="F29">
        <v>47</v>
      </c>
      <c r="G29">
        <v>47</v>
      </c>
      <c r="H29">
        <v>35.6</v>
      </c>
      <c r="I29">
        <v>10.3</v>
      </c>
      <c r="J29">
        <v>18.3</v>
      </c>
      <c r="K29">
        <v>0.56000000000000005</v>
      </c>
      <c r="L29">
        <v>2</v>
      </c>
      <c r="M29">
        <v>4.9000000000000004</v>
      </c>
      <c r="N29">
        <v>0.40400000000000003</v>
      </c>
      <c r="O29">
        <v>8.3000000000000007</v>
      </c>
      <c r="P29">
        <v>13.4</v>
      </c>
      <c r="Q29">
        <v>0.61699999999999999</v>
      </c>
      <c r="R29">
        <v>0.61399999999999999</v>
      </c>
      <c r="S29">
        <v>6.5</v>
      </c>
      <c r="T29">
        <v>7.1</v>
      </c>
      <c r="U29">
        <v>0.91900000000000004</v>
      </c>
      <c r="V29">
        <v>0.4</v>
      </c>
      <c r="W29">
        <v>6.3</v>
      </c>
      <c r="X29">
        <v>6.7</v>
      </c>
      <c r="Y29">
        <v>5</v>
      </c>
      <c r="Z29">
        <v>0.7</v>
      </c>
      <c r="AA29">
        <v>1.4</v>
      </c>
      <c r="AB29">
        <v>3.3</v>
      </c>
      <c r="AC29">
        <v>2.1</v>
      </c>
      <c r="AD29">
        <v>29.1</v>
      </c>
      <c r="AE29">
        <v>1672</v>
      </c>
      <c r="AF29">
        <v>25.9</v>
      </c>
      <c r="AG29">
        <v>0.67700000000000005</v>
      </c>
      <c r="AH29">
        <v>0.26700000000000002</v>
      </c>
      <c r="AI29">
        <v>0.38700000000000001</v>
      </c>
      <c r="AJ29">
        <v>1.2</v>
      </c>
      <c r="AK29">
        <v>19.5</v>
      </c>
      <c r="AL29">
        <v>10.5</v>
      </c>
      <c r="AM29">
        <v>24.5</v>
      </c>
      <c r="AN29">
        <v>1</v>
      </c>
      <c r="AO29">
        <v>3.4</v>
      </c>
      <c r="AP29">
        <v>13.4</v>
      </c>
      <c r="AQ29">
        <v>30.7</v>
      </c>
      <c r="AR29">
        <v>4.7</v>
      </c>
      <c r="AS29">
        <v>2.1</v>
      </c>
      <c r="AT29">
        <v>6.8</v>
      </c>
      <c r="AU29">
        <v>0.19400000000000001</v>
      </c>
      <c r="AV29">
        <v>6</v>
      </c>
      <c r="AW29">
        <v>1.2</v>
      </c>
      <c r="AX29">
        <v>7.1</v>
      </c>
      <c r="AY29">
        <v>3.9</v>
      </c>
      <c r="AZ29" s="8">
        <v>6.9499999999999993</v>
      </c>
      <c r="BA29" s="8">
        <v>0.15752548541365</v>
      </c>
      <c r="BB29" s="3">
        <v>0</v>
      </c>
    </row>
    <row r="30" spans="1:54" x14ac:dyDescent="0.25">
      <c r="A30" t="s">
        <v>61</v>
      </c>
      <c r="B30" s="2">
        <v>43279250</v>
      </c>
      <c r="C30" t="s">
        <v>62</v>
      </c>
      <c r="D30">
        <v>29</v>
      </c>
      <c r="E30" t="s">
        <v>63</v>
      </c>
      <c r="F30">
        <v>50</v>
      </c>
      <c r="G30">
        <v>50</v>
      </c>
      <c r="H30">
        <v>33.5</v>
      </c>
      <c r="I30">
        <v>8.9</v>
      </c>
      <c r="J30">
        <v>17.600000000000001</v>
      </c>
      <c r="K30">
        <v>0.50600000000000001</v>
      </c>
      <c r="L30">
        <v>1.6</v>
      </c>
      <c r="M30">
        <v>4.4000000000000004</v>
      </c>
      <c r="N30">
        <v>0.36499999999999999</v>
      </c>
      <c r="O30">
        <v>7.3</v>
      </c>
      <c r="P30">
        <v>13.2</v>
      </c>
      <c r="Q30">
        <v>0.55200000000000005</v>
      </c>
      <c r="R30">
        <v>0.55100000000000005</v>
      </c>
      <c r="S30">
        <v>3.8</v>
      </c>
      <c r="T30">
        <v>4.5999999999999996</v>
      </c>
      <c r="U30">
        <v>0.84199999999999997</v>
      </c>
      <c r="V30">
        <v>0.8</v>
      </c>
      <c r="W30">
        <v>3.1</v>
      </c>
      <c r="X30">
        <v>3.9</v>
      </c>
      <c r="Y30">
        <v>5.4</v>
      </c>
      <c r="Z30">
        <v>0.9</v>
      </c>
      <c r="AA30">
        <v>0.7</v>
      </c>
      <c r="AB30">
        <v>2.9</v>
      </c>
      <c r="AC30">
        <v>2.1</v>
      </c>
      <c r="AD30">
        <v>23.2</v>
      </c>
      <c r="AE30">
        <v>1673</v>
      </c>
      <c r="AF30">
        <v>19.7</v>
      </c>
      <c r="AG30">
        <v>0.59299999999999997</v>
      </c>
      <c r="AH30">
        <v>0.249</v>
      </c>
      <c r="AI30">
        <v>0.26</v>
      </c>
      <c r="AJ30">
        <v>2.8</v>
      </c>
      <c r="AK30">
        <v>9.9</v>
      </c>
      <c r="AL30">
        <v>6.5</v>
      </c>
      <c r="AM30">
        <v>26.6</v>
      </c>
      <c r="AN30">
        <v>1.3</v>
      </c>
      <c r="AO30">
        <v>1.7</v>
      </c>
      <c r="AP30">
        <v>12.9</v>
      </c>
      <c r="AQ30">
        <v>29.2</v>
      </c>
      <c r="AR30">
        <v>2.2000000000000002</v>
      </c>
      <c r="AS30">
        <v>1.2</v>
      </c>
      <c r="AT30">
        <v>3.4</v>
      </c>
      <c r="AU30">
        <v>9.9000000000000005E-2</v>
      </c>
      <c r="AV30">
        <v>2.9</v>
      </c>
      <c r="AW30">
        <v>-1.2</v>
      </c>
      <c r="AX30">
        <v>1.8</v>
      </c>
      <c r="AY30">
        <v>1.6</v>
      </c>
      <c r="AZ30" s="8">
        <v>2.6</v>
      </c>
      <c r="BA30" s="8">
        <v>6.0074978193938207E-2</v>
      </c>
      <c r="BB30" s="3">
        <v>0</v>
      </c>
    </row>
    <row r="31" spans="1:54" x14ac:dyDescent="0.25">
      <c r="A31" t="s">
        <v>64</v>
      </c>
      <c r="B31" s="2">
        <v>42492492</v>
      </c>
      <c r="C31" t="s">
        <v>65</v>
      </c>
      <c r="D31">
        <v>31</v>
      </c>
      <c r="E31" t="s">
        <v>55</v>
      </c>
      <c r="F31">
        <v>52</v>
      </c>
      <c r="G31">
        <v>50</v>
      </c>
      <c r="H31">
        <v>33.6</v>
      </c>
      <c r="I31">
        <v>8.6</v>
      </c>
      <c r="J31">
        <v>16.8</v>
      </c>
      <c r="K31">
        <v>0.51200000000000001</v>
      </c>
      <c r="L31">
        <v>2</v>
      </c>
      <c r="M31">
        <v>4.8</v>
      </c>
      <c r="N31">
        <v>0.41599999999999998</v>
      </c>
      <c r="O31">
        <v>6.6</v>
      </c>
      <c r="P31">
        <v>11.9</v>
      </c>
      <c r="Q31">
        <v>0.55100000000000005</v>
      </c>
      <c r="R31">
        <v>0.57199999999999995</v>
      </c>
      <c r="S31">
        <v>4.7</v>
      </c>
      <c r="T31">
        <v>5.4</v>
      </c>
      <c r="U31">
        <v>0.871</v>
      </c>
      <c r="V31">
        <v>1.1000000000000001</v>
      </c>
      <c r="W31">
        <v>5.4</v>
      </c>
      <c r="X31">
        <v>6.5</v>
      </c>
      <c r="Y31">
        <v>3.9</v>
      </c>
      <c r="Z31">
        <v>1.4</v>
      </c>
      <c r="AA31">
        <v>0.5</v>
      </c>
      <c r="AB31">
        <v>1.7</v>
      </c>
      <c r="AC31">
        <v>1.6</v>
      </c>
      <c r="AD31">
        <v>23.8</v>
      </c>
      <c r="AE31">
        <v>1748</v>
      </c>
      <c r="AF31">
        <v>23.9</v>
      </c>
      <c r="AG31">
        <v>0.623</v>
      </c>
      <c r="AH31">
        <v>0.28699999999999998</v>
      </c>
      <c r="AI31">
        <v>0.32</v>
      </c>
      <c r="AJ31">
        <v>3.7</v>
      </c>
      <c r="AK31">
        <v>17.8</v>
      </c>
      <c r="AL31">
        <v>10.8</v>
      </c>
      <c r="AM31">
        <v>19.600000000000001</v>
      </c>
      <c r="AN31">
        <v>2</v>
      </c>
      <c r="AO31">
        <v>1.4</v>
      </c>
      <c r="AP31">
        <v>8.1</v>
      </c>
      <c r="AQ31">
        <v>27</v>
      </c>
      <c r="AR31">
        <v>4.9000000000000004</v>
      </c>
      <c r="AS31">
        <v>2.2000000000000002</v>
      </c>
      <c r="AT31">
        <v>7.1</v>
      </c>
      <c r="AU31">
        <v>0.19400000000000001</v>
      </c>
      <c r="AV31">
        <v>5.0999999999999996</v>
      </c>
      <c r="AW31">
        <v>0.9</v>
      </c>
      <c r="AX31">
        <v>6.1</v>
      </c>
      <c r="AY31">
        <v>3.5</v>
      </c>
      <c r="AZ31" s="8">
        <v>6.6</v>
      </c>
      <c r="BA31" s="8">
        <v>0.15532155657051133</v>
      </c>
      <c r="BB31" s="3">
        <v>0</v>
      </c>
    </row>
    <row r="32" spans="1:54" x14ac:dyDescent="0.25">
      <c r="A32" t="s">
        <v>66</v>
      </c>
      <c r="B32" s="2">
        <v>42492492</v>
      </c>
      <c r="C32" t="s">
        <v>65</v>
      </c>
      <c r="D32">
        <v>32</v>
      </c>
      <c r="E32" t="s">
        <v>55</v>
      </c>
      <c r="F32">
        <v>56</v>
      </c>
      <c r="G32">
        <v>56</v>
      </c>
      <c r="H32">
        <v>34.6</v>
      </c>
      <c r="I32">
        <v>8.1999999999999993</v>
      </c>
      <c r="J32">
        <v>17.899999999999999</v>
      </c>
      <c r="K32">
        <v>0.45700000000000002</v>
      </c>
      <c r="L32">
        <v>2.8</v>
      </c>
      <c r="M32">
        <v>7.6</v>
      </c>
      <c r="N32">
        <v>0.371</v>
      </c>
      <c r="O32">
        <v>5.4</v>
      </c>
      <c r="P32">
        <v>10.3</v>
      </c>
      <c r="Q32">
        <v>0.52100000000000002</v>
      </c>
      <c r="R32">
        <v>0.53600000000000003</v>
      </c>
      <c r="S32">
        <v>4.5999999999999996</v>
      </c>
      <c r="T32">
        <v>5.3</v>
      </c>
      <c r="U32">
        <v>0.871</v>
      </c>
      <c r="V32">
        <v>0.8</v>
      </c>
      <c r="W32">
        <v>5.3</v>
      </c>
      <c r="X32">
        <v>6.1</v>
      </c>
      <c r="Y32">
        <v>5.0999999999999996</v>
      </c>
      <c r="Z32">
        <v>1.5</v>
      </c>
      <c r="AA32">
        <v>0.4</v>
      </c>
      <c r="AB32">
        <v>3.1</v>
      </c>
      <c r="AC32">
        <v>2.8</v>
      </c>
      <c r="AD32">
        <v>23.8</v>
      </c>
      <c r="AE32">
        <v>1939</v>
      </c>
      <c r="AF32">
        <v>19.600000000000001</v>
      </c>
      <c r="AG32">
        <v>0.58799999999999997</v>
      </c>
      <c r="AH32">
        <v>0.42399999999999999</v>
      </c>
      <c r="AI32">
        <v>0.29299999999999998</v>
      </c>
      <c r="AJ32">
        <v>2.6</v>
      </c>
      <c r="AK32">
        <v>17</v>
      </c>
      <c r="AL32">
        <v>9.9</v>
      </c>
      <c r="AM32">
        <v>24.2</v>
      </c>
      <c r="AN32">
        <v>2.1</v>
      </c>
      <c r="AO32">
        <v>0.9</v>
      </c>
      <c r="AP32">
        <v>13.4</v>
      </c>
      <c r="AQ32">
        <v>29.5</v>
      </c>
      <c r="AR32">
        <v>2.2999999999999998</v>
      </c>
      <c r="AS32">
        <v>2.2999999999999998</v>
      </c>
      <c r="AT32">
        <v>4.5999999999999996</v>
      </c>
      <c r="AU32">
        <v>0.114</v>
      </c>
      <c r="AV32">
        <v>2.4</v>
      </c>
      <c r="AW32">
        <v>0.3</v>
      </c>
      <c r="AX32">
        <v>2.8</v>
      </c>
      <c r="AY32">
        <v>2.2999999999999998</v>
      </c>
      <c r="AZ32" s="8">
        <v>3.6999999999999997</v>
      </c>
      <c r="BA32" s="8">
        <v>8.7074205956195735E-2</v>
      </c>
      <c r="BB32" s="3">
        <v>0</v>
      </c>
    </row>
    <row r="33" spans="1:54" x14ac:dyDescent="0.25">
      <c r="A33" t="s">
        <v>67</v>
      </c>
      <c r="B33" s="2">
        <v>42492492</v>
      </c>
      <c r="C33" t="s">
        <v>28</v>
      </c>
      <c r="D33">
        <v>28</v>
      </c>
      <c r="E33" t="s">
        <v>68</v>
      </c>
      <c r="F33">
        <v>63</v>
      </c>
      <c r="G33">
        <v>63</v>
      </c>
      <c r="H33">
        <v>32.1</v>
      </c>
      <c r="I33">
        <v>11.2</v>
      </c>
      <c r="J33">
        <v>20.3</v>
      </c>
      <c r="K33">
        <v>0.55300000000000005</v>
      </c>
      <c r="L33">
        <v>0.7</v>
      </c>
      <c r="M33">
        <v>2.7</v>
      </c>
      <c r="N33">
        <v>0.27500000000000002</v>
      </c>
      <c r="O33">
        <v>10.5</v>
      </c>
      <c r="P33">
        <v>17.600000000000001</v>
      </c>
      <c r="Q33">
        <v>0.59599999999999997</v>
      </c>
      <c r="R33">
        <v>0.57199999999999995</v>
      </c>
      <c r="S33">
        <v>7.9</v>
      </c>
      <c r="T33">
        <v>12.3</v>
      </c>
      <c r="U33">
        <v>0.64500000000000002</v>
      </c>
      <c r="V33">
        <v>2.2000000000000002</v>
      </c>
      <c r="W33">
        <v>9.6</v>
      </c>
      <c r="X33">
        <v>11.8</v>
      </c>
      <c r="Y33">
        <v>5.7</v>
      </c>
      <c r="Z33">
        <v>0.8</v>
      </c>
      <c r="AA33">
        <v>0.8</v>
      </c>
      <c r="AB33">
        <v>3.9</v>
      </c>
      <c r="AC33">
        <v>3.1</v>
      </c>
      <c r="AD33">
        <v>31.1</v>
      </c>
      <c r="AE33">
        <v>2024</v>
      </c>
      <c r="AF33">
        <v>29</v>
      </c>
      <c r="AG33">
        <v>0.60499999999999998</v>
      </c>
      <c r="AH33">
        <v>0.13400000000000001</v>
      </c>
      <c r="AI33">
        <v>0.60399999999999998</v>
      </c>
      <c r="AJ33">
        <v>7.3</v>
      </c>
      <c r="AK33">
        <v>30</v>
      </c>
      <c r="AL33">
        <v>19.100000000000001</v>
      </c>
      <c r="AM33">
        <v>33.200000000000003</v>
      </c>
      <c r="AN33">
        <v>1.2</v>
      </c>
      <c r="AO33">
        <v>2.1</v>
      </c>
      <c r="AP33">
        <v>13.2</v>
      </c>
      <c r="AQ33">
        <v>38.799999999999997</v>
      </c>
      <c r="AR33">
        <v>4.9000000000000004</v>
      </c>
      <c r="AS33">
        <v>3.7</v>
      </c>
      <c r="AT33">
        <v>8.6</v>
      </c>
      <c r="AU33">
        <v>0.20399999999999999</v>
      </c>
      <c r="AV33">
        <v>5.8</v>
      </c>
      <c r="AW33">
        <v>2.7</v>
      </c>
      <c r="AX33">
        <v>8.5</v>
      </c>
      <c r="AY33">
        <v>5.4</v>
      </c>
      <c r="AZ33" s="8">
        <v>8.5500000000000007</v>
      </c>
      <c r="BA33" s="8">
        <v>0.20121201646634421</v>
      </c>
      <c r="BB33" s="3">
        <v>0</v>
      </c>
    </row>
    <row r="34" spans="1:54" x14ac:dyDescent="0.25">
      <c r="A34" t="s">
        <v>69</v>
      </c>
      <c r="B34" s="2">
        <v>42492492</v>
      </c>
      <c r="C34" t="s">
        <v>52</v>
      </c>
      <c r="D34">
        <v>32</v>
      </c>
      <c r="E34" t="s">
        <v>70</v>
      </c>
      <c r="F34">
        <v>58</v>
      </c>
      <c r="G34">
        <v>58</v>
      </c>
      <c r="H34">
        <v>36.299999999999997</v>
      </c>
      <c r="I34">
        <v>9.6</v>
      </c>
      <c r="J34">
        <v>20.7</v>
      </c>
      <c r="K34">
        <v>0.46300000000000002</v>
      </c>
      <c r="L34">
        <v>4.2</v>
      </c>
      <c r="M34">
        <v>11.3</v>
      </c>
      <c r="N34">
        <v>0.371</v>
      </c>
      <c r="O34">
        <v>5.4</v>
      </c>
      <c r="P34">
        <v>9.4</v>
      </c>
      <c r="Q34">
        <v>0.57399999999999995</v>
      </c>
      <c r="R34">
        <v>0.56399999999999995</v>
      </c>
      <c r="S34">
        <v>8.8000000000000007</v>
      </c>
      <c r="T34">
        <v>9.6</v>
      </c>
      <c r="U34">
        <v>0.91400000000000003</v>
      </c>
      <c r="V34">
        <v>0.8</v>
      </c>
      <c r="W34">
        <v>4</v>
      </c>
      <c r="X34">
        <v>4.8</v>
      </c>
      <c r="Y34">
        <v>7.3</v>
      </c>
      <c r="Z34">
        <v>0.9</v>
      </c>
      <c r="AA34">
        <v>0.3</v>
      </c>
      <c r="AB34">
        <v>3.3</v>
      </c>
      <c r="AC34">
        <v>1.9</v>
      </c>
      <c r="AD34">
        <v>32.200000000000003</v>
      </c>
      <c r="AE34">
        <v>2107</v>
      </c>
      <c r="AF34">
        <v>26.7</v>
      </c>
      <c r="AG34">
        <v>0.64500000000000002</v>
      </c>
      <c r="AH34">
        <v>0.54700000000000004</v>
      </c>
      <c r="AI34">
        <v>0.46400000000000002</v>
      </c>
      <c r="AJ34">
        <v>2.4</v>
      </c>
      <c r="AK34">
        <v>12.8</v>
      </c>
      <c r="AL34">
        <v>7.6</v>
      </c>
      <c r="AM34">
        <v>35</v>
      </c>
      <c r="AN34">
        <v>1.2</v>
      </c>
      <c r="AO34">
        <v>0.8</v>
      </c>
      <c r="AP34">
        <v>11.7</v>
      </c>
      <c r="AQ34">
        <v>33.799999999999997</v>
      </c>
      <c r="AR34">
        <v>8.1999999999999993</v>
      </c>
      <c r="AS34">
        <v>0.8</v>
      </c>
      <c r="AT34">
        <v>9</v>
      </c>
      <c r="AU34">
        <v>0.20499999999999999</v>
      </c>
      <c r="AV34">
        <v>8.3000000000000007</v>
      </c>
      <c r="AW34">
        <v>-1.2</v>
      </c>
      <c r="AX34">
        <v>7.1</v>
      </c>
      <c r="AY34">
        <v>4.9000000000000004</v>
      </c>
      <c r="AZ34" s="8">
        <v>8.0500000000000007</v>
      </c>
      <c r="BA34" s="8">
        <v>0.18944523187766915</v>
      </c>
      <c r="BB34" s="3">
        <v>0</v>
      </c>
    </row>
    <row r="35" spans="1:54" x14ac:dyDescent="0.25">
      <c r="A35" t="s">
        <v>71</v>
      </c>
      <c r="B35" s="2">
        <v>40600080</v>
      </c>
      <c r="C35" t="s">
        <v>65</v>
      </c>
      <c r="D35">
        <v>32</v>
      </c>
      <c r="E35" t="s">
        <v>53</v>
      </c>
      <c r="F35">
        <v>69</v>
      </c>
      <c r="G35">
        <v>69</v>
      </c>
      <c r="H35">
        <v>33</v>
      </c>
      <c r="I35">
        <v>7.9</v>
      </c>
      <c r="J35">
        <v>18.100000000000001</v>
      </c>
      <c r="K35">
        <v>0.436</v>
      </c>
      <c r="L35">
        <v>4.4000000000000004</v>
      </c>
      <c r="M35">
        <v>10.6</v>
      </c>
      <c r="N35">
        <v>0.41199999999999998</v>
      </c>
      <c r="O35">
        <v>3.6</v>
      </c>
      <c r="P35">
        <v>7.6</v>
      </c>
      <c r="Q35">
        <v>0.47</v>
      </c>
      <c r="R35">
        <v>0.55600000000000005</v>
      </c>
      <c r="S35">
        <v>1.7</v>
      </c>
      <c r="T35">
        <v>1.9</v>
      </c>
      <c r="U35">
        <v>0.879</v>
      </c>
      <c r="V35">
        <v>0.6</v>
      </c>
      <c r="W35">
        <v>3.6</v>
      </c>
      <c r="X35">
        <v>4.0999999999999996</v>
      </c>
      <c r="Y35">
        <v>2.4</v>
      </c>
      <c r="Z35">
        <v>0.7</v>
      </c>
      <c r="AA35">
        <v>0.4</v>
      </c>
      <c r="AB35">
        <v>1.8</v>
      </c>
      <c r="AC35">
        <v>1.9</v>
      </c>
      <c r="AD35">
        <v>21.9</v>
      </c>
      <c r="AE35">
        <v>2279</v>
      </c>
      <c r="AF35">
        <v>14.7</v>
      </c>
      <c r="AG35">
        <v>0.57599999999999996</v>
      </c>
      <c r="AH35">
        <v>0.58399999999999996</v>
      </c>
      <c r="AI35">
        <v>0.105</v>
      </c>
      <c r="AJ35">
        <v>1.9</v>
      </c>
      <c r="AK35">
        <v>11.7</v>
      </c>
      <c r="AL35">
        <v>6.9</v>
      </c>
      <c r="AM35">
        <v>11</v>
      </c>
      <c r="AN35">
        <v>1</v>
      </c>
      <c r="AO35">
        <v>1.1000000000000001</v>
      </c>
      <c r="AP35">
        <v>8.6</v>
      </c>
      <c r="AQ35">
        <v>26.4</v>
      </c>
      <c r="AR35">
        <v>1.2</v>
      </c>
      <c r="AS35">
        <v>1.9</v>
      </c>
      <c r="AT35">
        <v>3.1</v>
      </c>
      <c r="AU35">
        <v>6.6000000000000003E-2</v>
      </c>
      <c r="AV35">
        <v>1.5</v>
      </c>
      <c r="AW35">
        <v>-1.7</v>
      </c>
      <c r="AX35">
        <v>-0.3</v>
      </c>
      <c r="AY35">
        <v>1</v>
      </c>
      <c r="AZ35" s="8">
        <v>1.4000000000000001</v>
      </c>
      <c r="BA35" s="8">
        <v>3.4482690674501139E-2</v>
      </c>
      <c r="BB35" s="3">
        <v>0</v>
      </c>
    </row>
    <row r="36" spans="1:54" x14ac:dyDescent="0.25">
      <c r="A36" t="s">
        <v>74</v>
      </c>
      <c r="B36" s="2">
        <v>38172414</v>
      </c>
      <c r="C36" t="s">
        <v>75</v>
      </c>
      <c r="D36">
        <v>30</v>
      </c>
      <c r="E36" t="s">
        <v>76</v>
      </c>
      <c r="F36">
        <v>70</v>
      </c>
      <c r="G36">
        <v>70</v>
      </c>
      <c r="H36">
        <v>30.7</v>
      </c>
      <c r="I36">
        <v>5.0999999999999996</v>
      </c>
      <c r="J36">
        <v>7.8</v>
      </c>
      <c r="K36">
        <v>0.65900000000000003</v>
      </c>
      <c r="L36">
        <v>0</v>
      </c>
      <c r="M36">
        <v>0</v>
      </c>
      <c r="N36">
        <v>0</v>
      </c>
      <c r="O36">
        <v>5.0999999999999996</v>
      </c>
      <c r="P36">
        <v>7.8</v>
      </c>
      <c r="Q36">
        <v>0.66300000000000003</v>
      </c>
      <c r="R36">
        <v>0.65900000000000003</v>
      </c>
      <c r="S36">
        <v>3.1</v>
      </c>
      <c r="T36">
        <v>4.9000000000000004</v>
      </c>
      <c r="U36">
        <v>0.64400000000000002</v>
      </c>
      <c r="V36">
        <v>3.3</v>
      </c>
      <c r="W36">
        <v>8.3000000000000007</v>
      </c>
      <c r="X36">
        <v>11.6</v>
      </c>
      <c r="Y36">
        <v>1.2</v>
      </c>
      <c r="Z36">
        <v>0.8</v>
      </c>
      <c r="AA36">
        <v>1.4</v>
      </c>
      <c r="AB36">
        <v>1.7</v>
      </c>
      <c r="AC36">
        <v>3</v>
      </c>
      <c r="AD36">
        <v>13.4</v>
      </c>
      <c r="AE36">
        <v>2148</v>
      </c>
      <c r="AF36">
        <v>18.899999999999999</v>
      </c>
      <c r="AG36">
        <v>0.67500000000000004</v>
      </c>
      <c r="AH36">
        <v>5.0000000000000001E-3</v>
      </c>
      <c r="AI36">
        <v>0.623</v>
      </c>
      <c r="AJ36">
        <v>12.2</v>
      </c>
      <c r="AK36">
        <v>29.8</v>
      </c>
      <c r="AL36">
        <v>21.2</v>
      </c>
      <c r="AM36">
        <v>5.6</v>
      </c>
      <c r="AN36">
        <v>1.2</v>
      </c>
      <c r="AO36">
        <v>3.9</v>
      </c>
      <c r="AP36">
        <v>14.9</v>
      </c>
      <c r="AQ36">
        <v>16.3</v>
      </c>
      <c r="AR36">
        <v>4.3</v>
      </c>
      <c r="AS36">
        <v>3.5</v>
      </c>
      <c r="AT36">
        <v>7.8</v>
      </c>
      <c r="AU36">
        <v>0.17399999999999999</v>
      </c>
      <c r="AV36">
        <v>0</v>
      </c>
      <c r="AW36">
        <v>0.7</v>
      </c>
      <c r="AX36">
        <v>0.7</v>
      </c>
      <c r="AY36">
        <v>1.4</v>
      </c>
      <c r="AZ36" s="8">
        <v>4.25</v>
      </c>
      <c r="BA36" s="8">
        <v>0.11133694609934808</v>
      </c>
      <c r="BB36" s="3">
        <v>0</v>
      </c>
    </row>
    <row r="37" spans="1:54" x14ac:dyDescent="0.25">
      <c r="A37" t="s">
        <v>78</v>
      </c>
      <c r="B37" s="2">
        <v>37980720</v>
      </c>
      <c r="C37" t="s">
        <v>75</v>
      </c>
      <c r="D37">
        <v>29</v>
      </c>
      <c r="E37" t="s">
        <v>58</v>
      </c>
      <c r="F37">
        <v>56</v>
      </c>
      <c r="G37">
        <v>54</v>
      </c>
      <c r="H37">
        <v>34</v>
      </c>
      <c r="I37">
        <v>9.6999999999999993</v>
      </c>
      <c r="J37">
        <v>17.2</v>
      </c>
      <c r="K37">
        <v>0.56299999999999994</v>
      </c>
      <c r="L37">
        <v>0.3</v>
      </c>
      <c r="M37">
        <v>1.3</v>
      </c>
      <c r="N37">
        <v>0.25700000000000001</v>
      </c>
      <c r="O37">
        <v>9.3000000000000007</v>
      </c>
      <c r="P37">
        <v>15.9</v>
      </c>
      <c r="Q37">
        <v>0.58899999999999997</v>
      </c>
      <c r="R37">
        <v>0.57299999999999995</v>
      </c>
      <c r="S37">
        <v>6.2</v>
      </c>
      <c r="T37">
        <v>7.9</v>
      </c>
      <c r="U37">
        <v>0.78400000000000003</v>
      </c>
      <c r="V37">
        <v>3.5</v>
      </c>
      <c r="W37">
        <v>9.1</v>
      </c>
      <c r="X37">
        <v>12.5</v>
      </c>
      <c r="Y37">
        <v>2.6</v>
      </c>
      <c r="Z37">
        <v>1.1000000000000001</v>
      </c>
      <c r="AA37">
        <v>2</v>
      </c>
      <c r="AB37">
        <v>2.2000000000000002</v>
      </c>
      <c r="AC37">
        <v>2.6</v>
      </c>
      <c r="AD37">
        <v>25.9</v>
      </c>
      <c r="AE37">
        <v>1904</v>
      </c>
      <c r="AF37">
        <v>27.8</v>
      </c>
      <c r="AG37">
        <v>0.627</v>
      </c>
      <c r="AH37">
        <v>7.6999999999999999E-2</v>
      </c>
      <c r="AI37">
        <v>0.46200000000000002</v>
      </c>
      <c r="AJ37">
        <v>11.3</v>
      </c>
      <c r="AK37">
        <v>27.6</v>
      </c>
      <c r="AL37">
        <v>19.7</v>
      </c>
      <c r="AM37">
        <v>13</v>
      </c>
      <c r="AN37">
        <v>1.5</v>
      </c>
      <c r="AO37">
        <v>5.0999999999999996</v>
      </c>
      <c r="AP37">
        <v>9.5</v>
      </c>
      <c r="AQ37">
        <v>28.4</v>
      </c>
      <c r="AR37">
        <v>5.5</v>
      </c>
      <c r="AS37">
        <v>3.4</v>
      </c>
      <c r="AT37">
        <v>9</v>
      </c>
      <c r="AU37">
        <v>0.22600000000000001</v>
      </c>
      <c r="AV37">
        <v>4.5999999999999996</v>
      </c>
      <c r="AW37">
        <v>1.7</v>
      </c>
      <c r="AX37">
        <v>6.3</v>
      </c>
      <c r="AY37">
        <v>4</v>
      </c>
      <c r="AZ37" s="8">
        <v>7.65</v>
      </c>
      <c r="BA37" s="8">
        <v>0.20141798259748631</v>
      </c>
      <c r="BB37" s="3">
        <v>0</v>
      </c>
    </row>
    <row r="38" spans="1:54" x14ac:dyDescent="0.25">
      <c r="A38" t="s">
        <v>81</v>
      </c>
      <c r="B38" s="2">
        <v>37633050</v>
      </c>
      <c r="C38" t="s">
        <v>65</v>
      </c>
      <c r="D38">
        <v>30</v>
      </c>
      <c r="E38" t="s">
        <v>82</v>
      </c>
      <c r="F38">
        <v>74</v>
      </c>
      <c r="G38">
        <v>74</v>
      </c>
      <c r="H38">
        <v>32.9</v>
      </c>
      <c r="I38">
        <v>5.7</v>
      </c>
      <c r="J38">
        <v>11.4</v>
      </c>
      <c r="K38">
        <v>0.501</v>
      </c>
      <c r="L38">
        <v>1.7</v>
      </c>
      <c r="M38">
        <v>4.4000000000000004</v>
      </c>
      <c r="N38">
        <v>0.38900000000000001</v>
      </c>
      <c r="O38">
        <v>4</v>
      </c>
      <c r="P38">
        <v>7</v>
      </c>
      <c r="Q38">
        <v>0.56999999999999995</v>
      </c>
      <c r="R38">
        <v>0.57499999999999996</v>
      </c>
      <c r="S38">
        <v>1.5</v>
      </c>
      <c r="T38">
        <v>1.7</v>
      </c>
      <c r="U38">
        <v>0.876</v>
      </c>
      <c r="V38">
        <v>0.9</v>
      </c>
      <c r="W38">
        <v>4.8</v>
      </c>
      <c r="X38">
        <v>5.7</v>
      </c>
      <c r="Y38">
        <v>2.5</v>
      </c>
      <c r="Z38">
        <v>0.9</v>
      </c>
      <c r="AA38">
        <v>0.5</v>
      </c>
      <c r="AB38">
        <v>1.2</v>
      </c>
      <c r="AC38">
        <v>2</v>
      </c>
      <c r="AD38">
        <v>14.7</v>
      </c>
      <c r="AE38">
        <v>2436</v>
      </c>
      <c r="AF38">
        <v>14.8</v>
      </c>
      <c r="AG38">
        <v>0.60199999999999998</v>
      </c>
      <c r="AH38">
        <v>0.38300000000000001</v>
      </c>
      <c r="AI38">
        <v>0.153</v>
      </c>
      <c r="AJ38">
        <v>3.3</v>
      </c>
      <c r="AK38">
        <v>17</v>
      </c>
      <c r="AL38">
        <v>10.3</v>
      </c>
      <c r="AM38">
        <v>11.4</v>
      </c>
      <c r="AN38">
        <v>1.4</v>
      </c>
      <c r="AO38">
        <v>1.5</v>
      </c>
      <c r="AP38">
        <v>9</v>
      </c>
      <c r="AQ38">
        <v>18.2</v>
      </c>
      <c r="AR38">
        <v>3.1</v>
      </c>
      <c r="AS38">
        <v>2.8</v>
      </c>
      <c r="AT38">
        <v>5.9</v>
      </c>
      <c r="AU38">
        <v>0.11600000000000001</v>
      </c>
      <c r="AV38">
        <v>0.6</v>
      </c>
      <c r="AW38">
        <v>0.1</v>
      </c>
      <c r="AX38">
        <v>0.7</v>
      </c>
      <c r="AY38">
        <v>1.7</v>
      </c>
      <c r="AZ38" s="8">
        <v>3.3000000000000003</v>
      </c>
      <c r="BA38" s="8">
        <v>8.7688879854277035E-2</v>
      </c>
      <c r="BB38" s="3">
        <v>0</v>
      </c>
    </row>
    <row r="39" spans="1:54" x14ac:dyDescent="0.25">
      <c r="A39" t="s">
        <v>84</v>
      </c>
      <c r="B39" s="2">
        <v>37096500</v>
      </c>
      <c r="C39" t="s">
        <v>52</v>
      </c>
      <c r="D39">
        <v>24</v>
      </c>
      <c r="E39" t="s">
        <v>85</v>
      </c>
      <c r="F39">
        <v>73</v>
      </c>
      <c r="G39">
        <v>73</v>
      </c>
      <c r="H39">
        <v>34.799999999999997</v>
      </c>
      <c r="I39">
        <v>8.1999999999999993</v>
      </c>
      <c r="J39">
        <v>19</v>
      </c>
      <c r="K39">
        <v>0.42899999999999999</v>
      </c>
      <c r="L39">
        <v>2.1</v>
      </c>
      <c r="M39">
        <v>6.3</v>
      </c>
      <c r="N39">
        <v>0.33500000000000002</v>
      </c>
      <c r="O39">
        <v>6.1</v>
      </c>
      <c r="P39">
        <v>12.7</v>
      </c>
      <c r="Q39">
        <v>0.47599999999999998</v>
      </c>
      <c r="R39">
        <v>0.48499999999999999</v>
      </c>
      <c r="S39">
        <v>7.8</v>
      </c>
      <c r="T39">
        <v>8.8000000000000007</v>
      </c>
      <c r="U39">
        <v>0.88600000000000001</v>
      </c>
      <c r="V39">
        <v>0.8</v>
      </c>
      <c r="W39">
        <v>2.2000000000000002</v>
      </c>
      <c r="X39">
        <v>3</v>
      </c>
      <c r="Y39">
        <v>10.199999999999999</v>
      </c>
      <c r="Z39">
        <v>1.1000000000000001</v>
      </c>
      <c r="AA39">
        <v>0.1</v>
      </c>
      <c r="AB39">
        <v>4.0999999999999996</v>
      </c>
      <c r="AC39">
        <v>1.4</v>
      </c>
      <c r="AD39">
        <v>26.2</v>
      </c>
      <c r="AE39">
        <v>2541</v>
      </c>
      <c r="AF39">
        <v>22</v>
      </c>
      <c r="AG39">
        <v>0.57299999999999995</v>
      </c>
      <c r="AH39">
        <v>0.33100000000000002</v>
      </c>
      <c r="AI39">
        <v>0.46</v>
      </c>
      <c r="AJ39">
        <v>2.4</v>
      </c>
      <c r="AK39">
        <v>7</v>
      </c>
      <c r="AL39">
        <v>4.7</v>
      </c>
      <c r="AM39">
        <v>42.5</v>
      </c>
      <c r="AN39">
        <v>1.5</v>
      </c>
      <c r="AO39">
        <v>0.3</v>
      </c>
      <c r="AP39">
        <v>15.2</v>
      </c>
      <c r="AQ39">
        <v>32.6</v>
      </c>
      <c r="AR39">
        <v>5.3</v>
      </c>
      <c r="AS39">
        <v>1.4</v>
      </c>
      <c r="AT39">
        <v>6.7</v>
      </c>
      <c r="AU39">
        <v>0.126</v>
      </c>
      <c r="AV39">
        <v>5.3</v>
      </c>
      <c r="AW39">
        <v>-2</v>
      </c>
      <c r="AX39">
        <v>3.3</v>
      </c>
      <c r="AY39">
        <v>3.4</v>
      </c>
      <c r="AZ39" s="8">
        <v>5</v>
      </c>
      <c r="BA39" s="8">
        <v>0.13478360492229724</v>
      </c>
      <c r="BB39" s="3">
        <v>0</v>
      </c>
    </row>
    <row r="40" spans="1:54" x14ac:dyDescent="0.25">
      <c r="A40" t="s">
        <v>86</v>
      </c>
      <c r="B40" s="2">
        <v>37096500</v>
      </c>
      <c r="C40" t="s">
        <v>62</v>
      </c>
      <c r="D40">
        <v>27</v>
      </c>
      <c r="E40" t="s">
        <v>87</v>
      </c>
      <c r="F40">
        <v>77</v>
      </c>
      <c r="G40">
        <v>77</v>
      </c>
      <c r="H40">
        <v>35.9</v>
      </c>
      <c r="I40">
        <v>8.6999999999999993</v>
      </c>
      <c r="J40">
        <v>18</v>
      </c>
      <c r="K40">
        <v>0.48499999999999999</v>
      </c>
      <c r="L40">
        <v>2.6</v>
      </c>
      <c r="M40">
        <v>7.1</v>
      </c>
      <c r="N40">
        <v>0.375</v>
      </c>
      <c r="O40">
        <v>6.1</v>
      </c>
      <c r="P40">
        <v>11</v>
      </c>
      <c r="Q40">
        <v>0.55600000000000005</v>
      </c>
      <c r="R40">
        <v>0.55800000000000005</v>
      </c>
      <c r="S40">
        <v>4.7</v>
      </c>
      <c r="T40">
        <v>5.6</v>
      </c>
      <c r="U40">
        <v>0.84799999999999998</v>
      </c>
      <c r="V40">
        <v>0.5</v>
      </c>
      <c r="W40">
        <v>3.9</v>
      </c>
      <c r="X40">
        <v>4.5</v>
      </c>
      <c r="Y40">
        <v>4.2</v>
      </c>
      <c r="Z40">
        <v>0.9</v>
      </c>
      <c r="AA40">
        <v>0.2</v>
      </c>
      <c r="AB40">
        <v>2.5</v>
      </c>
      <c r="AC40">
        <v>2.1</v>
      </c>
      <c r="AD40">
        <v>24.8</v>
      </c>
      <c r="AE40">
        <v>2768</v>
      </c>
      <c r="AF40">
        <v>19</v>
      </c>
      <c r="AG40">
        <v>0.60699999999999998</v>
      </c>
      <c r="AH40">
        <v>0.39200000000000002</v>
      </c>
      <c r="AI40">
        <v>0.308</v>
      </c>
      <c r="AJ40">
        <v>1.7</v>
      </c>
      <c r="AK40">
        <v>12.2</v>
      </c>
      <c r="AL40">
        <v>7.1</v>
      </c>
      <c r="AM40">
        <v>18.7</v>
      </c>
      <c r="AN40">
        <v>1.2</v>
      </c>
      <c r="AO40">
        <v>0.6</v>
      </c>
      <c r="AP40">
        <v>11</v>
      </c>
      <c r="AQ40">
        <v>28.3</v>
      </c>
      <c r="AR40">
        <v>4.2</v>
      </c>
      <c r="AS40">
        <v>2.9</v>
      </c>
      <c r="AT40">
        <v>7.1</v>
      </c>
      <c r="AU40">
        <v>0.123</v>
      </c>
      <c r="AV40">
        <v>2.7</v>
      </c>
      <c r="AW40">
        <v>-0.7</v>
      </c>
      <c r="AX40">
        <v>1.9</v>
      </c>
      <c r="AY40">
        <v>2.7</v>
      </c>
      <c r="AZ40" s="8">
        <v>4.5</v>
      </c>
      <c r="BA40" s="8">
        <v>0.12130524443006753</v>
      </c>
      <c r="BB40" s="3">
        <v>0</v>
      </c>
    </row>
    <row r="41" spans="1:54" x14ac:dyDescent="0.25">
      <c r="A41" t="s">
        <v>88</v>
      </c>
      <c r="B41" s="2">
        <v>35448672</v>
      </c>
      <c r="C41" t="s">
        <v>52</v>
      </c>
      <c r="D41">
        <v>26</v>
      </c>
      <c r="E41" t="s">
        <v>89</v>
      </c>
      <c r="F41">
        <v>42</v>
      </c>
      <c r="G41">
        <v>33</v>
      </c>
      <c r="H41">
        <v>26.3</v>
      </c>
      <c r="I41">
        <v>3.2</v>
      </c>
      <c r="J41">
        <v>5.6</v>
      </c>
      <c r="K41">
        <v>0.56599999999999995</v>
      </c>
      <c r="L41">
        <v>0</v>
      </c>
      <c r="M41">
        <v>0</v>
      </c>
      <c r="N41">
        <v>0</v>
      </c>
      <c r="O41">
        <v>3.2</v>
      </c>
      <c r="P41">
        <v>5.5</v>
      </c>
      <c r="Q41">
        <v>0.57099999999999995</v>
      </c>
      <c r="R41">
        <v>0.56599999999999995</v>
      </c>
      <c r="S41">
        <v>0.6</v>
      </c>
      <c r="T41">
        <v>1.4</v>
      </c>
      <c r="U41">
        <v>0.439</v>
      </c>
      <c r="V41">
        <v>1</v>
      </c>
      <c r="W41">
        <v>5.3</v>
      </c>
      <c r="X41">
        <v>6.3</v>
      </c>
      <c r="Y41">
        <v>6.1</v>
      </c>
      <c r="Z41">
        <v>1.3</v>
      </c>
      <c r="AA41">
        <v>0.6</v>
      </c>
      <c r="AB41">
        <v>2.2999999999999998</v>
      </c>
      <c r="AC41">
        <v>3.3</v>
      </c>
      <c r="AD41">
        <v>6.9</v>
      </c>
      <c r="AE41">
        <v>1105</v>
      </c>
      <c r="AF41">
        <v>13.4</v>
      </c>
      <c r="AG41">
        <v>0.55900000000000005</v>
      </c>
      <c r="AH41">
        <v>8.9999999999999993E-3</v>
      </c>
      <c r="AI41">
        <v>0.24299999999999999</v>
      </c>
      <c r="AJ41">
        <v>4.2</v>
      </c>
      <c r="AK41">
        <v>22.2</v>
      </c>
      <c r="AL41">
        <v>13.4</v>
      </c>
      <c r="AM41">
        <v>31.3</v>
      </c>
      <c r="AN41">
        <v>2.4</v>
      </c>
      <c r="AO41">
        <v>1.9</v>
      </c>
      <c r="AP41">
        <v>27.2</v>
      </c>
      <c r="AQ41">
        <v>14.3</v>
      </c>
      <c r="AR41">
        <v>0.5</v>
      </c>
      <c r="AS41">
        <v>1.7</v>
      </c>
      <c r="AT41">
        <v>2.2000000000000002</v>
      </c>
      <c r="AU41">
        <v>9.7000000000000003E-2</v>
      </c>
      <c r="AV41">
        <v>-2.2000000000000002</v>
      </c>
      <c r="AW41">
        <v>2.6</v>
      </c>
      <c r="AX41">
        <v>0.4</v>
      </c>
      <c r="AY41">
        <v>0.7</v>
      </c>
      <c r="AZ41" s="8">
        <v>1.3</v>
      </c>
      <c r="BA41" s="8">
        <v>3.6672741929514314E-2</v>
      </c>
      <c r="BB41" s="3">
        <v>0</v>
      </c>
    </row>
    <row r="42" spans="1:54" x14ac:dyDescent="0.25">
      <c r="A42" t="s">
        <v>90</v>
      </c>
      <c r="B42" s="2">
        <v>35448672</v>
      </c>
      <c r="C42" t="s">
        <v>28</v>
      </c>
      <c r="D42">
        <v>28</v>
      </c>
      <c r="E42" t="s">
        <v>91</v>
      </c>
      <c r="F42">
        <v>71</v>
      </c>
      <c r="G42">
        <v>71</v>
      </c>
      <c r="H42">
        <v>37.4</v>
      </c>
      <c r="I42">
        <v>8.9</v>
      </c>
      <c r="J42">
        <v>18.5</v>
      </c>
      <c r="K42">
        <v>0.48</v>
      </c>
      <c r="L42">
        <v>1.3</v>
      </c>
      <c r="M42">
        <v>4</v>
      </c>
      <c r="N42">
        <v>0.32400000000000001</v>
      </c>
      <c r="O42">
        <v>7.6</v>
      </c>
      <c r="P42">
        <v>14.5</v>
      </c>
      <c r="Q42">
        <v>0.52300000000000002</v>
      </c>
      <c r="R42">
        <v>0.51500000000000001</v>
      </c>
      <c r="S42">
        <v>5.2</v>
      </c>
      <c r="T42">
        <v>6.7</v>
      </c>
      <c r="U42">
        <v>0.77400000000000002</v>
      </c>
      <c r="V42">
        <v>1.8</v>
      </c>
      <c r="W42">
        <v>6</v>
      </c>
      <c r="X42">
        <v>7.8</v>
      </c>
      <c r="Y42">
        <v>5.8</v>
      </c>
      <c r="Z42">
        <v>0.9</v>
      </c>
      <c r="AA42">
        <v>0.5</v>
      </c>
      <c r="AB42">
        <v>2.4</v>
      </c>
      <c r="AC42">
        <v>3.2</v>
      </c>
      <c r="AD42">
        <v>24.2</v>
      </c>
      <c r="AE42">
        <v>2652</v>
      </c>
      <c r="AF42">
        <v>20.3</v>
      </c>
      <c r="AG42">
        <v>0.56499999999999995</v>
      </c>
      <c r="AH42">
        <v>0.219</v>
      </c>
      <c r="AI42">
        <v>0.36099999999999999</v>
      </c>
      <c r="AJ42">
        <v>5.2</v>
      </c>
      <c r="AK42">
        <v>19.600000000000001</v>
      </c>
      <c r="AL42">
        <v>11.9</v>
      </c>
      <c r="AM42">
        <v>24.9</v>
      </c>
      <c r="AN42">
        <v>1.2</v>
      </c>
      <c r="AO42">
        <v>1.3</v>
      </c>
      <c r="AP42">
        <v>10</v>
      </c>
      <c r="AQ42">
        <v>27.2</v>
      </c>
      <c r="AR42">
        <v>5.2</v>
      </c>
      <c r="AS42">
        <v>2.6</v>
      </c>
      <c r="AT42">
        <v>7.8</v>
      </c>
      <c r="AU42">
        <v>0.14099999999999999</v>
      </c>
      <c r="AV42">
        <v>3.3</v>
      </c>
      <c r="AW42">
        <v>-0.1</v>
      </c>
      <c r="AX42">
        <v>3.1</v>
      </c>
      <c r="AY42">
        <v>3.4</v>
      </c>
      <c r="AZ42" s="8">
        <v>5.45</v>
      </c>
      <c r="BA42" s="8">
        <v>0.15374341808911771</v>
      </c>
      <c r="BB42" s="3">
        <v>0</v>
      </c>
    </row>
    <row r="43" spans="1:54" x14ac:dyDescent="0.25">
      <c r="A43" t="s">
        <v>92</v>
      </c>
      <c r="B43" s="2">
        <v>35096500</v>
      </c>
      <c r="C43" t="s">
        <v>75</v>
      </c>
      <c r="D43">
        <v>26</v>
      </c>
      <c r="E43" t="s">
        <v>93</v>
      </c>
      <c r="F43">
        <v>62</v>
      </c>
      <c r="G43">
        <v>62</v>
      </c>
      <c r="H43">
        <v>29.4</v>
      </c>
      <c r="I43">
        <v>6.5</v>
      </c>
      <c r="J43">
        <v>11.8</v>
      </c>
      <c r="K43">
        <v>0.54800000000000004</v>
      </c>
      <c r="L43">
        <v>1.5</v>
      </c>
      <c r="M43">
        <v>4</v>
      </c>
      <c r="N43">
        <v>0.373</v>
      </c>
      <c r="O43">
        <v>5</v>
      </c>
      <c r="P43">
        <v>7.8</v>
      </c>
      <c r="Q43">
        <v>0.63800000000000001</v>
      </c>
      <c r="R43">
        <v>0.61199999999999999</v>
      </c>
      <c r="S43">
        <v>3.5</v>
      </c>
      <c r="T43">
        <v>4.5</v>
      </c>
      <c r="U43">
        <v>0.78300000000000003</v>
      </c>
      <c r="V43">
        <v>1.4</v>
      </c>
      <c r="W43">
        <v>6.1</v>
      </c>
      <c r="X43">
        <v>7.5</v>
      </c>
      <c r="Y43">
        <v>1.4</v>
      </c>
      <c r="Z43">
        <v>0.6</v>
      </c>
      <c r="AA43">
        <v>2.2999999999999998</v>
      </c>
      <c r="AB43">
        <v>1.7</v>
      </c>
      <c r="AC43">
        <v>3.5</v>
      </c>
      <c r="AD43">
        <v>18</v>
      </c>
      <c r="AE43">
        <v>1825</v>
      </c>
      <c r="AF43">
        <v>20</v>
      </c>
      <c r="AG43">
        <v>0.65100000000000002</v>
      </c>
      <c r="AH43">
        <v>0.34</v>
      </c>
      <c r="AI43">
        <v>0.377</v>
      </c>
      <c r="AJ43">
        <v>5.4</v>
      </c>
      <c r="AK43">
        <v>22.9</v>
      </c>
      <c r="AL43">
        <v>14.2</v>
      </c>
      <c r="AM43">
        <v>7.5</v>
      </c>
      <c r="AN43">
        <v>0.9</v>
      </c>
      <c r="AO43">
        <v>6.6</v>
      </c>
      <c r="AP43">
        <v>10.8</v>
      </c>
      <c r="AQ43">
        <v>22</v>
      </c>
      <c r="AR43">
        <v>3.4</v>
      </c>
      <c r="AS43">
        <v>2</v>
      </c>
      <c r="AT43">
        <v>5.4</v>
      </c>
      <c r="AU43">
        <v>0.14199999999999999</v>
      </c>
      <c r="AV43">
        <v>1.4</v>
      </c>
      <c r="AW43">
        <v>0.7</v>
      </c>
      <c r="AX43">
        <v>2.1</v>
      </c>
      <c r="AY43">
        <v>1.9</v>
      </c>
      <c r="AZ43" s="8">
        <v>3.75</v>
      </c>
      <c r="BA43" s="8">
        <v>0.10684826122262904</v>
      </c>
      <c r="BB43" s="3">
        <v>0</v>
      </c>
    </row>
    <row r="44" spans="1:54" x14ac:dyDescent="0.25">
      <c r="A44" t="s">
        <v>94</v>
      </c>
      <c r="B44" s="2">
        <v>34319520</v>
      </c>
      <c r="C44" t="s">
        <v>52</v>
      </c>
      <c r="D44">
        <v>32</v>
      </c>
      <c r="E44" t="s">
        <v>68</v>
      </c>
      <c r="F44">
        <v>67</v>
      </c>
      <c r="G44">
        <v>65</v>
      </c>
      <c r="H44">
        <v>32.6</v>
      </c>
      <c r="I44">
        <v>7.3</v>
      </c>
      <c r="J44">
        <v>15.3</v>
      </c>
      <c r="K44">
        <v>0.47899999999999998</v>
      </c>
      <c r="L44">
        <v>2.4</v>
      </c>
      <c r="M44">
        <v>6.1</v>
      </c>
      <c r="N44">
        <v>0.38400000000000001</v>
      </c>
      <c r="O44">
        <v>5</v>
      </c>
      <c r="P44">
        <v>9.1</v>
      </c>
      <c r="Q44">
        <v>0.54200000000000004</v>
      </c>
      <c r="R44">
        <v>0.55600000000000005</v>
      </c>
      <c r="S44">
        <v>2.2999999999999998</v>
      </c>
      <c r="T44">
        <v>2.6</v>
      </c>
      <c r="U44">
        <v>0.85899999999999999</v>
      </c>
      <c r="V44">
        <v>1.2</v>
      </c>
      <c r="W44">
        <v>3.9</v>
      </c>
      <c r="X44">
        <v>5.0999999999999996</v>
      </c>
      <c r="Y44">
        <v>7.4</v>
      </c>
      <c r="Z44">
        <v>1.2</v>
      </c>
      <c r="AA44">
        <v>0.4</v>
      </c>
      <c r="AB44">
        <v>2.9</v>
      </c>
      <c r="AC44">
        <v>1.7</v>
      </c>
      <c r="AD44">
        <v>19.3</v>
      </c>
      <c r="AE44">
        <v>2183</v>
      </c>
      <c r="AF44">
        <v>19.2</v>
      </c>
      <c r="AG44">
        <v>0.58599999999999997</v>
      </c>
      <c r="AH44">
        <v>0.40200000000000002</v>
      </c>
      <c r="AI44">
        <v>0.17299999999999999</v>
      </c>
      <c r="AJ44">
        <v>3.9</v>
      </c>
      <c r="AK44">
        <v>12</v>
      </c>
      <c r="AL44">
        <v>8.1</v>
      </c>
      <c r="AM44">
        <v>34.4</v>
      </c>
      <c r="AN44">
        <v>1.7</v>
      </c>
      <c r="AO44">
        <v>0.9</v>
      </c>
      <c r="AP44">
        <v>15.2</v>
      </c>
      <c r="AQ44">
        <v>25</v>
      </c>
      <c r="AR44">
        <v>3.9</v>
      </c>
      <c r="AS44">
        <v>2.8</v>
      </c>
      <c r="AT44">
        <v>6.7</v>
      </c>
      <c r="AU44">
        <v>0.14799999999999999</v>
      </c>
      <c r="AV44">
        <v>3</v>
      </c>
      <c r="AW44">
        <v>0.1</v>
      </c>
      <c r="AX44">
        <v>3.1</v>
      </c>
      <c r="AY44">
        <v>2.8</v>
      </c>
      <c r="AZ44" s="8">
        <v>4.9000000000000004</v>
      </c>
      <c r="BA44" s="8">
        <v>0.14277588963948215</v>
      </c>
      <c r="BB44" s="3">
        <v>0</v>
      </c>
    </row>
    <row r="45" spans="1:54" x14ac:dyDescent="0.25">
      <c r="A45" t="s">
        <v>96</v>
      </c>
      <c r="B45" s="2">
        <v>33833400</v>
      </c>
      <c r="C45" t="s">
        <v>62</v>
      </c>
      <c r="D45">
        <v>26</v>
      </c>
      <c r="E45" t="s">
        <v>60</v>
      </c>
      <c r="F45">
        <v>53</v>
      </c>
      <c r="G45">
        <v>53</v>
      </c>
      <c r="H45">
        <v>34.6</v>
      </c>
      <c r="I45">
        <v>9.9</v>
      </c>
      <c r="J45">
        <v>20.100000000000001</v>
      </c>
      <c r="K45">
        <v>0.49399999999999999</v>
      </c>
      <c r="L45">
        <v>2.1</v>
      </c>
      <c r="M45">
        <v>6</v>
      </c>
      <c r="N45">
        <v>0.35099999999999998</v>
      </c>
      <c r="O45">
        <v>7.8</v>
      </c>
      <c r="P45">
        <v>14.2</v>
      </c>
      <c r="Q45">
        <v>0.55400000000000005</v>
      </c>
      <c r="R45">
        <v>0.54600000000000004</v>
      </c>
      <c r="S45">
        <v>5.8</v>
      </c>
      <c r="T45">
        <v>6.8</v>
      </c>
      <c r="U45">
        <v>0.85499999999999998</v>
      </c>
      <c r="V45">
        <v>0.9</v>
      </c>
      <c r="W45">
        <v>3.7</v>
      </c>
      <c r="X45">
        <v>4.5</v>
      </c>
      <c r="Y45">
        <v>5.5</v>
      </c>
      <c r="Z45">
        <v>1</v>
      </c>
      <c r="AA45">
        <v>0.3</v>
      </c>
      <c r="AB45">
        <v>2.7</v>
      </c>
      <c r="AC45">
        <v>3</v>
      </c>
      <c r="AD45">
        <v>27.8</v>
      </c>
      <c r="AE45">
        <v>1835</v>
      </c>
      <c r="AF45">
        <v>22</v>
      </c>
      <c r="AG45">
        <v>0.60099999999999998</v>
      </c>
      <c r="AH45">
        <v>0.29599999999999999</v>
      </c>
      <c r="AI45">
        <v>0.33600000000000002</v>
      </c>
      <c r="AJ45">
        <v>2.7</v>
      </c>
      <c r="AK45">
        <v>12</v>
      </c>
      <c r="AL45">
        <v>7.2</v>
      </c>
      <c r="AM45">
        <v>27.3</v>
      </c>
      <c r="AN45">
        <v>1.4</v>
      </c>
      <c r="AO45">
        <v>0.9</v>
      </c>
      <c r="AP45">
        <v>10.6</v>
      </c>
      <c r="AQ45">
        <v>31.8</v>
      </c>
      <c r="AR45">
        <v>4.2</v>
      </c>
      <c r="AS45">
        <v>1.9</v>
      </c>
      <c r="AT45">
        <v>6</v>
      </c>
      <c r="AU45">
        <v>0.157</v>
      </c>
      <c r="AV45">
        <v>4.5</v>
      </c>
      <c r="AW45">
        <v>-0.3</v>
      </c>
      <c r="AX45">
        <v>4.2</v>
      </c>
      <c r="AY45">
        <v>2.9</v>
      </c>
      <c r="AZ45" s="8">
        <v>5.0999999999999996</v>
      </c>
      <c r="BA45" s="8">
        <v>0.15073861923424781</v>
      </c>
      <c r="BB45" s="3">
        <v>0</v>
      </c>
    </row>
    <row r="46" spans="1:54" x14ac:dyDescent="0.25">
      <c r="A46" t="s">
        <v>97</v>
      </c>
      <c r="B46" s="2">
        <v>33616770</v>
      </c>
      <c r="C46" t="s">
        <v>65</v>
      </c>
      <c r="D46">
        <v>27</v>
      </c>
      <c r="E46" t="s">
        <v>53</v>
      </c>
      <c r="F46">
        <v>37</v>
      </c>
      <c r="G46">
        <v>37</v>
      </c>
      <c r="H46">
        <v>32.200000000000003</v>
      </c>
      <c r="I46">
        <v>6.8</v>
      </c>
      <c r="J46">
        <v>14.3</v>
      </c>
      <c r="K46">
        <v>0.47299999999999998</v>
      </c>
      <c r="L46">
        <v>2.4</v>
      </c>
      <c r="M46">
        <v>6.1</v>
      </c>
      <c r="N46">
        <v>0.39600000000000002</v>
      </c>
      <c r="O46">
        <v>4.4000000000000004</v>
      </c>
      <c r="P46">
        <v>8.1999999999999993</v>
      </c>
      <c r="Q46">
        <v>0.53</v>
      </c>
      <c r="R46">
        <v>0.55700000000000005</v>
      </c>
      <c r="S46">
        <v>1.2</v>
      </c>
      <c r="T46">
        <v>1.9</v>
      </c>
      <c r="U46">
        <v>0.61099999999999999</v>
      </c>
      <c r="V46">
        <v>1.6</v>
      </c>
      <c r="W46">
        <v>3.4</v>
      </c>
      <c r="X46">
        <v>5</v>
      </c>
      <c r="Y46">
        <v>2.2999999999999998</v>
      </c>
      <c r="Z46">
        <v>1.2</v>
      </c>
      <c r="AA46">
        <v>0.8</v>
      </c>
      <c r="AB46">
        <v>1.3</v>
      </c>
      <c r="AC46">
        <v>2.9</v>
      </c>
      <c r="AD46">
        <v>17.100000000000001</v>
      </c>
      <c r="AE46">
        <v>1190</v>
      </c>
      <c r="AF46">
        <v>14.7</v>
      </c>
      <c r="AG46">
        <v>0.56399999999999995</v>
      </c>
      <c r="AH46">
        <v>0.42499999999999999</v>
      </c>
      <c r="AI46">
        <v>0.13600000000000001</v>
      </c>
      <c r="AJ46">
        <v>5.7</v>
      </c>
      <c r="AK46">
        <v>11.3</v>
      </c>
      <c r="AL46">
        <v>8.6</v>
      </c>
      <c r="AM46">
        <v>10.5</v>
      </c>
      <c r="AN46">
        <v>1.8</v>
      </c>
      <c r="AO46">
        <v>2.1</v>
      </c>
      <c r="AP46">
        <v>7.9</v>
      </c>
      <c r="AQ46">
        <v>21.5</v>
      </c>
      <c r="AR46">
        <v>1</v>
      </c>
      <c r="AS46">
        <v>1.3</v>
      </c>
      <c r="AT46">
        <v>2.2999999999999998</v>
      </c>
      <c r="AU46">
        <v>9.0999999999999998E-2</v>
      </c>
      <c r="AV46">
        <v>-0.1</v>
      </c>
      <c r="AW46">
        <v>-0.4</v>
      </c>
      <c r="AX46">
        <v>-0.5</v>
      </c>
      <c r="AY46">
        <v>0.5</v>
      </c>
      <c r="AZ46" s="8">
        <v>0.89999999999999991</v>
      </c>
      <c r="BA46" s="8">
        <v>2.6772352013593213E-2</v>
      </c>
      <c r="BB46" s="3">
        <v>0</v>
      </c>
    </row>
    <row r="47" spans="1:54" x14ac:dyDescent="0.25">
      <c r="A47" t="s">
        <v>99</v>
      </c>
      <c r="B47" s="2">
        <v>33333333</v>
      </c>
      <c r="C47" t="s">
        <v>62</v>
      </c>
      <c r="D47">
        <v>31</v>
      </c>
      <c r="E47" t="s">
        <v>100</v>
      </c>
      <c r="F47">
        <v>75</v>
      </c>
      <c r="G47">
        <v>75</v>
      </c>
      <c r="H47">
        <v>35.299999999999997</v>
      </c>
      <c r="I47">
        <v>7.8</v>
      </c>
      <c r="J47">
        <v>17.899999999999999</v>
      </c>
      <c r="K47">
        <v>0.437</v>
      </c>
      <c r="L47">
        <v>2.8</v>
      </c>
      <c r="M47">
        <v>7.2</v>
      </c>
      <c r="N47">
        <v>0.38900000000000001</v>
      </c>
      <c r="O47">
        <v>5</v>
      </c>
      <c r="P47">
        <v>10.7</v>
      </c>
      <c r="Q47">
        <v>0.46899999999999997</v>
      </c>
      <c r="R47">
        <v>0.51500000000000001</v>
      </c>
      <c r="S47">
        <v>2.4</v>
      </c>
      <c r="T47">
        <v>3.2</v>
      </c>
      <c r="U47">
        <v>0.76900000000000002</v>
      </c>
      <c r="V47">
        <v>0.7</v>
      </c>
      <c r="W47">
        <v>3.6</v>
      </c>
      <c r="X47">
        <v>4.4000000000000004</v>
      </c>
      <c r="Y47">
        <v>5.7</v>
      </c>
      <c r="Z47">
        <v>0.9</v>
      </c>
      <c r="AA47">
        <v>0.5</v>
      </c>
      <c r="AB47">
        <v>2.4</v>
      </c>
      <c r="AC47">
        <v>2</v>
      </c>
      <c r="AD47">
        <v>20.9</v>
      </c>
      <c r="AE47">
        <v>2649</v>
      </c>
      <c r="AF47">
        <v>15.6</v>
      </c>
      <c r="AG47">
        <v>0.54100000000000004</v>
      </c>
      <c r="AH47">
        <v>0.40400000000000003</v>
      </c>
      <c r="AI47">
        <v>0.17699999999999999</v>
      </c>
      <c r="AJ47">
        <v>2.4</v>
      </c>
      <c r="AK47">
        <v>11.7</v>
      </c>
      <c r="AL47">
        <v>7</v>
      </c>
      <c r="AM47">
        <v>25.1</v>
      </c>
      <c r="AN47">
        <v>1.3</v>
      </c>
      <c r="AO47">
        <v>1.4</v>
      </c>
      <c r="AP47">
        <v>11.2</v>
      </c>
      <c r="AQ47">
        <v>26.4</v>
      </c>
      <c r="AR47">
        <v>1.5</v>
      </c>
      <c r="AS47">
        <v>2.8</v>
      </c>
      <c r="AT47">
        <v>4.3</v>
      </c>
      <c r="AU47">
        <v>7.8E-2</v>
      </c>
      <c r="AV47">
        <v>1.5</v>
      </c>
      <c r="AW47">
        <v>-0.7</v>
      </c>
      <c r="AX47">
        <v>0.8</v>
      </c>
      <c r="AY47">
        <v>1.9</v>
      </c>
      <c r="AZ47" s="8">
        <v>2.5499999999999998</v>
      </c>
      <c r="BA47" s="8">
        <v>7.6500000765000006E-2</v>
      </c>
      <c r="BB47" s="3">
        <v>0</v>
      </c>
    </row>
    <row r="48" spans="1:54" x14ac:dyDescent="0.25">
      <c r="A48" t="s">
        <v>101</v>
      </c>
      <c r="B48" s="2">
        <v>33000000</v>
      </c>
      <c r="C48" t="s">
        <v>52</v>
      </c>
      <c r="D48">
        <v>33</v>
      </c>
      <c r="E48" t="s">
        <v>82</v>
      </c>
      <c r="F48">
        <v>58</v>
      </c>
      <c r="G48">
        <v>58</v>
      </c>
      <c r="H48">
        <v>36.799999999999997</v>
      </c>
      <c r="I48">
        <v>6.4</v>
      </c>
      <c r="J48">
        <v>14.5</v>
      </c>
      <c r="K48">
        <v>0.441</v>
      </c>
      <c r="L48">
        <v>2.8</v>
      </c>
      <c r="M48">
        <v>7.2</v>
      </c>
      <c r="N48">
        <v>0.38500000000000001</v>
      </c>
      <c r="O48">
        <v>3.6</v>
      </c>
      <c r="P48">
        <v>7.3</v>
      </c>
      <c r="Q48">
        <v>0.495</v>
      </c>
      <c r="R48">
        <v>0.53600000000000003</v>
      </c>
      <c r="S48">
        <v>5.4</v>
      </c>
      <c r="T48">
        <v>6.2</v>
      </c>
      <c r="U48">
        <v>0.86699999999999999</v>
      </c>
      <c r="V48">
        <v>0.7</v>
      </c>
      <c r="W48">
        <v>5.4</v>
      </c>
      <c r="X48">
        <v>6.1</v>
      </c>
      <c r="Y48">
        <v>10.7</v>
      </c>
      <c r="Z48">
        <v>1.2</v>
      </c>
      <c r="AA48">
        <v>0.5</v>
      </c>
      <c r="AB48">
        <v>3.4</v>
      </c>
      <c r="AC48">
        <v>1.9</v>
      </c>
      <c r="AD48">
        <v>21</v>
      </c>
      <c r="AE48">
        <v>2135</v>
      </c>
      <c r="AF48">
        <v>21.6</v>
      </c>
      <c r="AG48">
        <v>0.60699999999999998</v>
      </c>
      <c r="AH48">
        <v>0.496</v>
      </c>
      <c r="AI48">
        <v>0.42899999999999999</v>
      </c>
      <c r="AJ48">
        <v>2.2999999999999998</v>
      </c>
      <c r="AK48">
        <v>17.100000000000001</v>
      </c>
      <c r="AL48">
        <v>9.8000000000000007</v>
      </c>
      <c r="AM48">
        <v>43.3</v>
      </c>
      <c r="AN48">
        <v>1.6</v>
      </c>
      <c r="AO48">
        <v>1.4</v>
      </c>
      <c r="AP48">
        <v>16.3</v>
      </c>
      <c r="AQ48">
        <v>25</v>
      </c>
      <c r="AR48">
        <v>5.8</v>
      </c>
      <c r="AS48">
        <v>2.6</v>
      </c>
      <c r="AT48">
        <v>8.4</v>
      </c>
      <c r="AU48">
        <v>0.188</v>
      </c>
      <c r="AV48">
        <v>5.0999999999999996</v>
      </c>
      <c r="AW48">
        <v>0.3</v>
      </c>
      <c r="AX48">
        <v>5.4</v>
      </c>
      <c r="AY48">
        <v>4</v>
      </c>
      <c r="AZ48" s="8">
        <v>6.9</v>
      </c>
      <c r="BA48" s="8">
        <v>0.20909090909090908</v>
      </c>
      <c r="BB48" s="3">
        <v>0</v>
      </c>
    </row>
    <row r="49" spans="1:54" x14ac:dyDescent="0.25">
      <c r="A49" t="s">
        <v>102</v>
      </c>
      <c r="B49" s="2">
        <v>31650600</v>
      </c>
      <c r="C49" t="s">
        <v>52</v>
      </c>
      <c r="D49">
        <v>25</v>
      </c>
      <c r="E49" t="s">
        <v>103</v>
      </c>
      <c r="F49">
        <v>65</v>
      </c>
      <c r="G49">
        <v>65</v>
      </c>
      <c r="H49">
        <v>32.799999999999997</v>
      </c>
      <c r="I49">
        <v>7.3</v>
      </c>
      <c r="J49">
        <v>16</v>
      </c>
      <c r="K49">
        <v>0.45400000000000001</v>
      </c>
      <c r="L49">
        <v>2.6</v>
      </c>
      <c r="M49">
        <v>6.6</v>
      </c>
      <c r="N49">
        <v>0.39800000000000002</v>
      </c>
      <c r="O49">
        <v>4.5999999999999996</v>
      </c>
      <c r="P49">
        <v>9.4</v>
      </c>
      <c r="Q49">
        <v>0.49399999999999999</v>
      </c>
      <c r="R49">
        <v>0.53700000000000003</v>
      </c>
      <c r="S49">
        <v>2.8</v>
      </c>
      <c r="T49">
        <v>3.3</v>
      </c>
      <c r="U49">
        <v>0.83299999999999996</v>
      </c>
      <c r="V49">
        <v>0.7</v>
      </c>
      <c r="W49">
        <v>3.2</v>
      </c>
      <c r="X49">
        <v>4</v>
      </c>
      <c r="Y49">
        <v>6.2</v>
      </c>
      <c r="Z49">
        <v>1</v>
      </c>
      <c r="AA49">
        <v>0.2</v>
      </c>
      <c r="AB49">
        <v>2.2000000000000002</v>
      </c>
      <c r="AC49">
        <v>1.6</v>
      </c>
      <c r="AD49">
        <v>20</v>
      </c>
      <c r="AE49">
        <v>2133</v>
      </c>
      <c r="AF49">
        <v>18</v>
      </c>
      <c r="AG49">
        <v>0.57099999999999995</v>
      </c>
      <c r="AH49">
        <v>0.41499999999999998</v>
      </c>
      <c r="AI49">
        <v>0.20699999999999999</v>
      </c>
      <c r="AJ49">
        <v>2.7</v>
      </c>
      <c r="AK49">
        <v>11</v>
      </c>
      <c r="AL49">
        <v>6.9</v>
      </c>
      <c r="AM49">
        <v>27.5</v>
      </c>
      <c r="AN49">
        <v>1.5</v>
      </c>
      <c r="AO49">
        <v>0.7</v>
      </c>
      <c r="AP49">
        <v>11.3</v>
      </c>
      <c r="AQ49">
        <v>26.1</v>
      </c>
      <c r="AR49">
        <v>3.3</v>
      </c>
      <c r="AS49">
        <v>1.9</v>
      </c>
      <c r="AT49">
        <v>5.0999999999999996</v>
      </c>
      <c r="AU49">
        <v>0.11600000000000001</v>
      </c>
      <c r="AV49">
        <v>2.6</v>
      </c>
      <c r="AW49">
        <v>-1.3</v>
      </c>
      <c r="AX49">
        <v>1.3</v>
      </c>
      <c r="AY49">
        <v>1.8</v>
      </c>
      <c r="AZ49" s="8">
        <v>3.1999999999999997</v>
      </c>
      <c r="BA49" s="8">
        <v>0.10110392851952252</v>
      </c>
      <c r="BB49" s="3">
        <v>0</v>
      </c>
    </row>
    <row r="50" spans="1:54" x14ac:dyDescent="0.25">
      <c r="A50" t="s">
        <v>104</v>
      </c>
      <c r="B50" s="2">
        <v>31650600</v>
      </c>
      <c r="C50" t="s">
        <v>65</v>
      </c>
      <c r="D50">
        <v>25</v>
      </c>
      <c r="E50" t="s">
        <v>100</v>
      </c>
      <c r="F50">
        <v>45</v>
      </c>
      <c r="G50">
        <v>45</v>
      </c>
      <c r="H50">
        <v>34.200000000000003</v>
      </c>
      <c r="I50">
        <v>9</v>
      </c>
      <c r="J50">
        <v>18.600000000000001</v>
      </c>
      <c r="K50">
        <v>0.48399999999999999</v>
      </c>
      <c r="L50">
        <v>1.4</v>
      </c>
      <c r="M50">
        <v>3.6</v>
      </c>
      <c r="N50">
        <v>0.39</v>
      </c>
      <c r="O50">
        <v>7.6</v>
      </c>
      <c r="P50">
        <v>14.9</v>
      </c>
      <c r="Q50">
        <v>0.50700000000000001</v>
      </c>
      <c r="R50">
        <v>0.52200000000000002</v>
      </c>
      <c r="S50">
        <v>5.3</v>
      </c>
      <c r="T50">
        <v>6</v>
      </c>
      <c r="U50">
        <v>0.88200000000000001</v>
      </c>
      <c r="V50">
        <v>0.5</v>
      </c>
      <c r="W50">
        <v>5</v>
      </c>
      <c r="X50">
        <v>5.5</v>
      </c>
      <c r="Y50">
        <v>5.8</v>
      </c>
      <c r="Z50">
        <v>0.7</v>
      </c>
      <c r="AA50">
        <v>0.4</v>
      </c>
      <c r="AB50">
        <v>3.3</v>
      </c>
      <c r="AC50">
        <v>2.6</v>
      </c>
      <c r="AD50">
        <v>24.7</v>
      </c>
      <c r="AE50">
        <v>1538</v>
      </c>
      <c r="AF50">
        <v>19.2</v>
      </c>
      <c r="AG50">
        <v>0.58199999999999996</v>
      </c>
      <c r="AH50">
        <v>0.19600000000000001</v>
      </c>
      <c r="AI50">
        <v>0.32600000000000001</v>
      </c>
      <c r="AJ50">
        <v>1.7</v>
      </c>
      <c r="AK50">
        <v>16.399999999999999</v>
      </c>
      <c r="AL50">
        <v>9.1</v>
      </c>
      <c r="AM50">
        <v>28.1</v>
      </c>
      <c r="AN50">
        <v>1</v>
      </c>
      <c r="AO50">
        <v>1.2</v>
      </c>
      <c r="AP50">
        <v>13.4</v>
      </c>
      <c r="AQ50">
        <v>30.8</v>
      </c>
      <c r="AR50">
        <v>1.8</v>
      </c>
      <c r="AS50">
        <v>1.7</v>
      </c>
      <c r="AT50">
        <v>3.5</v>
      </c>
      <c r="AU50">
        <v>0.108</v>
      </c>
      <c r="AV50">
        <v>2.2000000000000002</v>
      </c>
      <c r="AW50">
        <v>-0.4</v>
      </c>
      <c r="AX50">
        <v>1.7</v>
      </c>
      <c r="AY50">
        <v>1.4</v>
      </c>
      <c r="AZ50" s="8">
        <v>2.6</v>
      </c>
      <c r="BA50" s="8">
        <v>8.2146941922112054E-2</v>
      </c>
      <c r="BB50" s="3">
        <v>0</v>
      </c>
    </row>
    <row r="51" spans="1:54" x14ac:dyDescent="0.25">
      <c r="A51" t="s">
        <v>105</v>
      </c>
      <c r="B51" s="2">
        <v>31377750</v>
      </c>
      <c r="C51" t="s">
        <v>52</v>
      </c>
      <c r="D51">
        <v>26</v>
      </c>
      <c r="E51" t="s">
        <v>76</v>
      </c>
      <c r="F51">
        <v>71</v>
      </c>
      <c r="G51">
        <v>71</v>
      </c>
      <c r="H51">
        <v>32.5</v>
      </c>
      <c r="I51">
        <v>6.3</v>
      </c>
      <c r="J51">
        <v>13.4</v>
      </c>
      <c r="K51">
        <v>0.46899999999999997</v>
      </c>
      <c r="L51">
        <v>2.7</v>
      </c>
      <c r="M51">
        <v>6.9</v>
      </c>
      <c r="N51">
        <v>0.39600000000000002</v>
      </c>
      <c r="O51">
        <v>3.5</v>
      </c>
      <c r="P51">
        <v>6.5</v>
      </c>
      <c r="Q51">
        <v>0.54800000000000004</v>
      </c>
      <c r="R51">
        <v>0.57199999999999995</v>
      </c>
      <c r="S51">
        <v>2.5</v>
      </c>
      <c r="T51">
        <v>3</v>
      </c>
      <c r="U51">
        <v>0.82899999999999996</v>
      </c>
      <c r="V51">
        <v>0.5</v>
      </c>
      <c r="W51">
        <v>2.5</v>
      </c>
      <c r="X51">
        <v>3</v>
      </c>
      <c r="Y51">
        <v>6.2</v>
      </c>
      <c r="Z51">
        <v>1</v>
      </c>
      <c r="AA51">
        <v>0.4</v>
      </c>
      <c r="AB51">
        <v>2.6</v>
      </c>
      <c r="AC51">
        <v>2</v>
      </c>
      <c r="AD51">
        <v>17.8</v>
      </c>
      <c r="AE51">
        <v>2304</v>
      </c>
      <c r="AF51">
        <v>16.3</v>
      </c>
      <c r="AG51">
        <v>0.60499999999999998</v>
      </c>
      <c r="AH51">
        <v>0.51700000000000002</v>
      </c>
      <c r="AI51">
        <v>0.22800000000000001</v>
      </c>
      <c r="AJ51">
        <v>1.7</v>
      </c>
      <c r="AK51">
        <v>8.5</v>
      </c>
      <c r="AL51">
        <v>5.2</v>
      </c>
      <c r="AM51">
        <v>27.4</v>
      </c>
      <c r="AN51">
        <v>1.4</v>
      </c>
      <c r="AO51">
        <v>1.1000000000000001</v>
      </c>
      <c r="AP51">
        <v>15.1</v>
      </c>
      <c r="AQ51">
        <v>22.7</v>
      </c>
      <c r="AR51">
        <v>3.1</v>
      </c>
      <c r="AS51">
        <v>1.9</v>
      </c>
      <c r="AT51">
        <v>5.0999999999999996</v>
      </c>
      <c r="AU51">
        <v>0.106</v>
      </c>
      <c r="AV51">
        <v>2.1</v>
      </c>
      <c r="AW51">
        <v>-0.7</v>
      </c>
      <c r="AX51">
        <v>1.5</v>
      </c>
      <c r="AY51">
        <v>2</v>
      </c>
      <c r="AZ51" s="8">
        <v>3.3</v>
      </c>
      <c r="BA51" s="8">
        <v>0.10517006477519898</v>
      </c>
      <c r="BB51" s="3">
        <v>0</v>
      </c>
    </row>
    <row r="52" spans="1:54" x14ac:dyDescent="0.25">
      <c r="A52" t="s">
        <v>106</v>
      </c>
      <c r="B52" s="2">
        <v>30913750</v>
      </c>
      <c r="C52" t="s">
        <v>62</v>
      </c>
      <c r="D52">
        <v>26</v>
      </c>
      <c r="E52" t="s">
        <v>107</v>
      </c>
      <c r="F52">
        <v>68</v>
      </c>
      <c r="G52">
        <v>68</v>
      </c>
      <c r="H52">
        <v>35.799999999999997</v>
      </c>
      <c r="I52">
        <v>10</v>
      </c>
      <c r="J52">
        <v>20.6</v>
      </c>
      <c r="K52">
        <v>0.48399999999999999</v>
      </c>
      <c r="L52">
        <v>3.6</v>
      </c>
      <c r="M52">
        <v>9.3000000000000007</v>
      </c>
      <c r="N52">
        <v>0.38600000000000001</v>
      </c>
      <c r="O52">
        <v>6.4</v>
      </c>
      <c r="P52">
        <v>11.3</v>
      </c>
      <c r="Q52">
        <v>0.56599999999999995</v>
      </c>
      <c r="R52">
        <v>0.57199999999999995</v>
      </c>
      <c r="S52">
        <v>4.7</v>
      </c>
      <c r="T52">
        <v>5.4</v>
      </c>
      <c r="U52">
        <v>0.86699999999999999</v>
      </c>
      <c r="V52">
        <v>0.9</v>
      </c>
      <c r="W52">
        <v>3.3</v>
      </c>
      <c r="X52">
        <v>4.3</v>
      </c>
      <c r="Y52">
        <v>4.4000000000000004</v>
      </c>
      <c r="Z52">
        <v>1.5</v>
      </c>
      <c r="AA52">
        <v>0.4</v>
      </c>
      <c r="AB52">
        <v>2.6</v>
      </c>
      <c r="AC52">
        <v>2.5</v>
      </c>
      <c r="AD52">
        <v>28.3</v>
      </c>
      <c r="AE52">
        <v>2432</v>
      </c>
      <c r="AF52">
        <v>22.9</v>
      </c>
      <c r="AG52">
        <v>0.61399999999999999</v>
      </c>
      <c r="AH52">
        <v>0.45300000000000001</v>
      </c>
      <c r="AI52">
        <v>0.26200000000000001</v>
      </c>
      <c r="AJ52">
        <v>3.1</v>
      </c>
      <c r="AK52">
        <v>10.9</v>
      </c>
      <c r="AL52">
        <v>7</v>
      </c>
      <c r="AM52">
        <v>21.4</v>
      </c>
      <c r="AN52">
        <v>2</v>
      </c>
      <c r="AO52">
        <v>1</v>
      </c>
      <c r="AP52">
        <v>10.3</v>
      </c>
      <c r="AQ52">
        <v>32.1</v>
      </c>
      <c r="AR52">
        <v>5.4</v>
      </c>
      <c r="AS52">
        <v>3.5</v>
      </c>
      <c r="AT52">
        <v>8.9</v>
      </c>
      <c r="AU52">
        <v>0.17599999999999999</v>
      </c>
      <c r="AV52">
        <v>5.6</v>
      </c>
      <c r="AW52">
        <v>0.6</v>
      </c>
      <c r="AX52">
        <v>6.3</v>
      </c>
      <c r="AY52">
        <v>5</v>
      </c>
      <c r="AZ52" s="8">
        <v>7.6</v>
      </c>
      <c r="BA52" s="8">
        <v>0.24584529537827018</v>
      </c>
      <c r="BB52" s="3">
        <v>0</v>
      </c>
    </row>
    <row r="53" spans="1:54" x14ac:dyDescent="0.25">
      <c r="A53" t="s">
        <v>108</v>
      </c>
      <c r="B53" s="2">
        <v>30913750</v>
      </c>
      <c r="C53" t="s">
        <v>52</v>
      </c>
      <c r="D53">
        <v>24</v>
      </c>
      <c r="E53" t="s">
        <v>109</v>
      </c>
      <c r="F53">
        <v>68</v>
      </c>
      <c r="G53">
        <v>68</v>
      </c>
      <c r="H53">
        <v>35.5</v>
      </c>
      <c r="I53">
        <v>10.4</v>
      </c>
      <c r="J53">
        <v>20.3</v>
      </c>
      <c r="K53">
        <v>0.51</v>
      </c>
      <c r="L53">
        <v>0.9</v>
      </c>
      <c r="M53">
        <v>2.5</v>
      </c>
      <c r="N53">
        <v>0.34499999999999997</v>
      </c>
      <c r="O53">
        <v>9.5</v>
      </c>
      <c r="P53">
        <v>17.8</v>
      </c>
      <c r="Q53">
        <v>0.53300000000000003</v>
      </c>
      <c r="R53">
        <v>0.53100000000000003</v>
      </c>
      <c r="S53">
        <v>9.8000000000000007</v>
      </c>
      <c r="T53">
        <v>10.9</v>
      </c>
      <c r="U53">
        <v>0.90500000000000003</v>
      </c>
      <c r="V53">
        <v>0.9</v>
      </c>
      <c r="W53">
        <v>4</v>
      </c>
      <c r="X53">
        <v>4.8</v>
      </c>
      <c r="Y53">
        <v>5.5</v>
      </c>
      <c r="Z53">
        <v>1.6</v>
      </c>
      <c r="AA53">
        <v>1</v>
      </c>
      <c r="AB53">
        <v>2.8</v>
      </c>
      <c r="AC53">
        <v>2.8</v>
      </c>
      <c r="AD53">
        <v>31.4</v>
      </c>
      <c r="AE53">
        <v>2416</v>
      </c>
      <c r="AF53">
        <v>27.2</v>
      </c>
      <c r="AG53">
        <v>0.626</v>
      </c>
      <c r="AH53">
        <v>0.122</v>
      </c>
      <c r="AI53">
        <v>0.53500000000000003</v>
      </c>
      <c r="AJ53">
        <v>2.6</v>
      </c>
      <c r="AK53">
        <v>12.2</v>
      </c>
      <c r="AL53">
        <v>7.3</v>
      </c>
      <c r="AM53">
        <v>25.7</v>
      </c>
      <c r="AN53">
        <v>2.2000000000000002</v>
      </c>
      <c r="AO53">
        <v>2.5</v>
      </c>
      <c r="AP53">
        <v>10.1</v>
      </c>
      <c r="AQ53">
        <v>32.799999999999997</v>
      </c>
      <c r="AR53">
        <v>8.4</v>
      </c>
      <c r="AS53">
        <v>3</v>
      </c>
      <c r="AT53">
        <v>11.4</v>
      </c>
      <c r="AU53">
        <v>0.22600000000000001</v>
      </c>
      <c r="AV53">
        <v>5.7</v>
      </c>
      <c r="AW53">
        <v>1.5</v>
      </c>
      <c r="AX53">
        <v>7.3</v>
      </c>
      <c r="AY53">
        <v>5.6</v>
      </c>
      <c r="AZ53" s="8">
        <v>9.35</v>
      </c>
      <c r="BA53" s="8">
        <v>0.30245440944563501</v>
      </c>
      <c r="BB53" s="3">
        <v>0</v>
      </c>
    </row>
    <row r="54" spans="1:54" x14ac:dyDescent="0.25">
      <c r="A54" t="s">
        <v>110</v>
      </c>
      <c r="B54" s="2">
        <v>30913750</v>
      </c>
      <c r="C54" t="s">
        <v>75</v>
      </c>
      <c r="D54">
        <v>24</v>
      </c>
      <c r="E54" t="s">
        <v>60</v>
      </c>
      <c r="F54">
        <v>67</v>
      </c>
      <c r="G54">
        <v>67</v>
      </c>
      <c r="H54">
        <v>30.4</v>
      </c>
      <c r="I54">
        <v>7.8</v>
      </c>
      <c r="J54">
        <v>13.2</v>
      </c>
      <c r="K54">
        <v>0.58899999999999997</v>
      </c>
      <c r="L54">
        <v>0.1</v>
      </c>
      <c r="M54">
        <v>0.4</v>
      </c>
      <c r="N54">
        <v>0.29199999999999998</v>
      </c>
      <c r="O54">
        <v>7.7</v>
      </c>
      <c r="P54">
        <v>12.9</v>
      </c>
      <c r="Q54">
        <v>0.59699999999999998</v>
      </c>
      <c r="R54">
        <v>0.59199999999999997</v>
      </c>
      <c r="S54">
        <v>2.2999999999999998</v>
      </c>
      <c r="T54">
        <v>3</v>
      </c>
      <c r="U54">
        <v>0.76</v>
      </c>
      <c r="V54">
        <v>2.6</v>
      </c>
      <c r="W54">
        <v>7.4</v>
      </c>
      <c r="X54">
        <v>10</v>
      </c>
      <c r="Y54">
        <v>1.7</v>
      </c>
      <c r="Z54">
        <v>0.6</v>
      </c>
      <c r="AA54">
        <v>0.8</v>
      </c>
      <c r="AB54">
        <v>1.8</v>
      </c>
      <c r="AC54">
        <v>2.8</v>
      </c>
      <c r="AD54">
        <v>18</v>
      </c>
      <c r="AE54">
        <v>2035</v>
      </c>
      <c r="AF54">
        <v>19.899999999999999</v>
      </c>
      <c r="AG54">
        <v>0.61699999999999999</v>
      </c>
      <c r="AH54">
        <v>2.7E-2</v>
      </c>
      <c r="AI54">
        <v>0.22500000000000001</v>
      </c>
      <c r="AJ54">
        <v>9.1999999999999993</v>
      </c>
      <c r="AK54">
        <v>27.5</v>
      </c>
      <c r="AL54">
        <v>18.100000000000001</v>
      </c>
      <c r="AM54">
        <v>9.1999999999999993</v>
      </c>
      <c r="AN54">
        <v>0.9</v>
      </c>
      <c r="AO54">
        <v>2.2999999999999998</v>
      </c>
      <c r="AP54">
        <v>11</v>
      </c>
      <c r="AQ54">
        <v>22.9</v>
      </c>
      <c r="AR54">
        <v>3.3</v>
      </c>
      <c r="AS54">
        <v>3</v>
      </c>
      <c r="AT54">
        <v>6.2</v>
      </c>
      <c r="AU54">
        <v>0.14699999999999999</v>
      </c>
      <c r="AV54">
        <v>0.9</v>
      </c>
      <c r="AW54">
        <v>0</v>
      </c>
      <c r="AX54">
        <v>0.9</v>
      </c>
      <c r="AY54">
        <v>1.5</v>
      </c>
      <c r="AZ54" s="8">
        <v>3.5500000000000003</v>
      </c>
      <c r="BA54" s="8">
        <v>0.11483563139379728</v>
      </c>
      <c r="BB54" s="3">
        <v>0</v>
      </c>
    </row>
    <row r="55" spans="1:54" x14ac:dyDescent="0.25">
      <c r="A55" t="s">
        <v>111</v>
      </c>
      <c r="B55" s="2">
        <v>30556968</v>
      </c>
      <c r="C55" t="s">
        <v>28</v>
      </c>
      <c r="D55">
        <v>34</v>
      </c>
      <c r="E55" t="s">
        <v>80</v>
      </c>
      <c r="F55">
        <v>62</v>
      </c>
      <c r="G55">
        <v>20</v>
      </c>
      <c r="H55">
        <v>20</v>
      </c>
      <c r="I55">
        <v>2.7</v>
      </c>
      <c r="J55">
        <v>6.8</v>
      </c>
      <c r="K55">
        <v>0.38900000000000001</v>
      </c>
      <c r="L55">
        <v>1.6</v>
      </c>
      <c r="M55">
        <v>4.8</v>
      </c>
      <c r="N55">
        <v>0.33400000000000002</v>
      </c>
      <c r="O55">
        <v>1.1000000000000001</v>
      </c>
      <c r="P55">
        <v>2.1</v>
      </c>
      <c r="Q55">
        <v>0.51600000000000001</v>
      </c>
      <c r="R55">
        <v>0.50600000000000001</v>
      </c>
      <c r="S55">
        <v>1.3</v>
      </c>
      <c r="T55">
        <v>1.5</v>
      </c>
      <c r="U55">
        <v>0.879</v>
      </c>
      <c r="V55">
        <v>1</v>
      </c>
      <c r="W55">
        <v>5.5</v>
      </c>
      <c r="X55">
        <v>6.4</v>
      </c>
      <c r="Y55">
        <v>1.9</v>
      </c>
      <c r="Z55">
        <v>0.3</v>
      </c>
      <c r="AA55">
        <v>0.2</v>
      </c>
      <c r="AB55">
        <v>1.1000000000000001</v>
      </c>
      <c r="AC55">
        <v>1.6</v>
      </c>
      <c r="AD55">
        <v>8.1999999999999993</v>
      </c>
      <c r="AE55">
        <v>1240</v>
      </c>
      <c r="AF55">
        <v>13.1</v>
      </c>
      <c r="AG55">
        <v>0.54800000000000004</v>
      </c>
      <c r="AH55">
        <v>0.69799999999999995</v>
      </c>
      <c r="AI55">
        <v>0.215</v>
      </c>
      <c r="AJ55">
        <v>5.5</v>
      </c>
      <c r="AK55">
        <v>32.6</v>
      </c>
      <c r="AL55">
        <v>18.899999999999999</v>
      </c>
      <c r="AM55">
        <v>13.2</v>
      </c>
      <c r="AN55">
        <v>0.6</v>
      </c>
      <c r="AO55">
        <v>0.9</v>
      </c>
      <c r="AP55">
        <v>13.1</v>
      </c>
      <c r="AQ55">
        <v>19.2</v>
      </c>
      <c r="AR55">
        <v>0.6</v>
      </c>
      <c r="AS55">
        <v>2</v>
      </c>
      <c r="AT55">
        <v>2.6</v>
      </c>
      <c r="AU55">
        <v>9.9000000000000005E-2</v>
      </c>
      <c r="AV55">
        <v>0.2</v>
      </c>
      <c r="AW55">
        <v>0.4</v>
      </c>
      <c r="AX55">
        <v>0.6</v>
      </c>
      <c r="AY55">
        <v>0.8</v>
      </c>
      <c r="AZ55" s="8">
        <v>1.6</v>
      </c>
      <c r="BA55" s="8">
        <v>5.236121594262886E-2</v>
      </c>
      <c r="BB55" s="3">
        <v>0</v>
      </c>
    </row>
    <row r="56" spans="1:54" x14ac:dyDescent="0.25">
      <c r="A56" t="s">
        <v>114</v>
      </c>
      <c r="B56" s="2">
        <v>30351780</v>
      </c>
      <c r="C56" t="s">
        <v>75</v>
      </c>
      <c r="D56">
        <v>25</v>
      </c>
      <c r="E56" t="s">
        <v>80</v>
      </c>
      <c r="F56">
        <v>75</v>
      </c>
      <c r="G56">
        <v>75</v>
      </c>
      <c r="H56">
        <v>34.6</v>
      </c>
      <c r="I56">
        <v>8</v>
      </c>
      <c r="J56">
        <v>14.9</v>
      </c>
      <c r="K56">
        <v>0.54</v>
      </c>
      <c r="L56">
        <v>0</v>
      </c>
      <c r="M56">
        <v>0.2</v>
      </c>
      <c r="N56">
        <v>8.3000000000000004E-2</v>
      </c>
      <c r="O56">
        <v>8</v>
      </c>
      <c r="P56">
        <v>14.7</v>
      </c>
      <c r="Q56">
        <v>0.54500000000000004</v>
      </c>
      <c r="R56">
        <v>0.54100000000000004</v>
      </c>
      <c r="S56">
        <v>4.3</v>
      </c>
      <c r="T56">
        <v>5.4</v>
      </c>
      <c r="U56">
        <v>0.80600000000000005</v>
      </c>
      <c r="V56">
        <v>2.5</v>
      </c>
      <c r="W56">
        <v>6.7</v>
      </c>
      <c r="X56">
        <v>9.1999999999999993</v>
      </c>
      <c r="Y56">
        <v>3.2</v>
      </c>
      <c r="Z56">
        <v>1.2</v>
      </c>
      <c r="AA56">
        <v>0.8</v>
      </c>
      <c r="AB56">
        <v>2.5</v>
      </c>
      <c r="AC56">
        <v>2.8</v>
      </c>
      <c r="AD56">
        <v>20.399999999999999</v>
      </c>
      <c r="AE56">
        <v>2598</v>
      </c>
      <c r="AF56">
        <v>20.100000000000001</v>
      </c>
      <c r="AG56">
        <v>0.59199999999999997</v>
      </c>
      <c r="AH56">
        <v>1.0999999999999999E-2</v>
      </c>
      <c r="AI56">
        <v>0.36099999999999999</v>
      </c>
      <c r="AJ56">
        <v>8</v>
      </c>
      <c r="AK56">
        <v>23.6</v>
      </c>
      <c r="AL56">
        <v>15.5</v>
      </c>
      <c r="AM56">
        <v>15.9</v>
      </c>
      <c r="AN56">
        <v>1.7</v>
      </c>
      <c r="AO56">
        <v>2.4</v>
      </c>
      <c r="AP56">
        <v>12.7</v>
      </c>
      <c r="AQ56">
        <v>25.2</v>
      </c>
      <c r="AR56">
        <v>3.6</v>
      </c>
      <c r="AS56">
        <v>3.8</v>
      </c>
      <c r="AT56">
        <v>7.4</v>
      </c>
      <c r="AU56">
        <v>0.13700000000000001</v>
      </c>
      <c r="AV56">
        <v>0.8</v>
      </c>
      <c r="AW56">
        <v>0.8</v>
      </c>
      <c r="AX56">
        <v>1.5</v>
      </c>
      <c r="AY56">
        <v>2.2999999999999998</v>
      </c>
      <c r="AZ56" s="8">
        <v>4.45</v>
      </c>
      <c r="BA56" s="8">
        <v>0.14661413597489176</v>
      </c>
      <c r="BB56" s="3">
        <v>0</v>
      </c>
    </row>
    <row r="57" spans="1:54" x14ac:dyDescent="0.25">
      <c r="A57" t="s">
        <v>115</v>
      </c>
      <c r="B57" s="2">
        <v>30351780</v>
      </c>
      <c r="C57" t="s">
        <v>52</v>
      </c>
      <c r="D57">
        <v>25</v>
      </c>
      <c r="E57" t="s">
        <v>116</v>
      </c>
      <c r="F57">
        <v>73</v>
      </c>
      <c r="G57">
        <v>73</v>
      </c>
      <c r="H57">
        <v>33.4</v>
      </c>
      <c r="I57">
        <v>9.3000000000000007</v>
      </c>
      <c r="J57">
        <v>18.2</v>
      </c>
      <c r="K57">
        <v>0.51200000000000001</v>
      </c>
      <c r="L57">
        <v>1.6</v>
      </c>
      <c r="M57">
        <v>5</v>
      </c>
      <c r="N57">
        <v>0.32400000000000001</v>
      </c>
      <c r="O57">
        <v>7.7</v>
      </c>
      <c r="P57">
        <v>13.2</v>
      </c>
      <c r="Q57">
        <v>0.58399999999999996</v>
      </c>
      <c r="R57">
        <v>0.55700000000000005</v>
      </c>
      <c r="S57">
        <v>4.7</v>
      </c>
      <c r="T57">
        <v>6</v>
      </c>
      <c r="U57">
        <v>0.78</v>
      </c>
      <c r="V57">
        <v>0.5</v>
      </c>
      <c r="W57">
        <v>3.6</v>
      </c>
      <c r="X57">
        <v>4.2</v>
      </c>
      <c r="Y57">
        <v>6.1</v>
      </c>
      <c r="Z57">
        <v>1.1000000000000001</v>
      </c>
      <c r="AA57">
        <v>0.3</v>
      </c>
      <c r="AB57">
        <v>2.5</v>
      </c>
      <c r="AC57">
        <v>2.4</v>
      </c>
      <c r="AD57">
        <v>25</v>
      </c>
      <c r="AE57">
        <v>2435</v>
      </c>
      <c r="AF57">
        <v>21.8</v>
      </c>
      <c r="AG57">
        <v>0.59899999999999998</v>
      </c>
      <c r="AH57">
        <v>0.27600000000000002</v>
      </c>
      <c r="AI57">
        <v>0.33100000000000002</v>
      </c>
      <c r="AJ57">
        <v>1.9</v>
      </c>
      <c r="AK57">
        <v>12.4</v>
      </c>
      <c r="AL57">
        <v>7.2</v>
      </c>
      <c r="AM57">
        <v>29.6</v>
      </c>
      <c r="AN57">
        <v>1.6</v>
      </c>
      <c r="AO57">
        <v>0.8</v>
      </c>
      <c r="AP57">
        <v>10.6</v>
      </c>
      <c r="AQ57">
        <v>30.1</v>
      </c>
      <c r="AR57">
        <v>5.5</v>
      </c>
      <c r="AS57">
        <v>1.8</v>
      </c>
      <c r="AT57">
        <v>7.4</v>
      </c>
      <c r="AU57">
        <v>0.14599999999999999</v>
      </c>
      <c r="AV57">
        <v>3.4</v>
      </c>
      <c r="AW57">
        <v>-0.9</v>
      </c>
      <c r="AX57">
        <v>2.5</v>
      </c>
      <c r="AY57">
        <v>2.7</v>
      </c>
      <c r="AZ57" s="8">
        <v>4.95</v>
      </c>
      <c r="BA57" s="8">
        <v>0.1630876343990369</v>
      </c>
      <c r="BB57" s="3">
        <v>0</v>
      </c>
    </row>
    <row r="58" spans="1:54" x14ac:dyDescent="0.25">
      <c r="A58" t="s">
        <v>117</v>
      </c>
      <c r="B58" s="2">
        <v>30075000</v>
      </c>
      <c r="C58" t="s">
        <v>65</v>
      </c>
      <c r="D58">
        <v>32</v>
      </c>
      <c r="E58" t="s">
        <v>118</v>
      </c>
      <c r="F58">
        <v>50</v>
      </c>
      <c r="G58">
        <v>50</v>
      </c>
      <c r="H58">
        <v>31.5</v>
      </c>
      <c r="I58">
        <v>5.5</v>
      </c>
      <c r="J58">
        <v>11.6</v>
      </c>
      <c r="K58">
        <v>0.47499999999999998</v>
      </c>
      <c r="L58">
        <v>1</v>
      </c>
      <c r="M58">
        <v>3.2</v>
      </c>
      <c r="N58">
        <v>0.32500000000000001</v>
      </c>
      <c r="O58">
        <v>4.5</v>
      </c>
      <c r="P58">
        <v>8.4</v>
      </c>
      <c r="Q58">
        <v>0.53200000000000003</v>
      </c>
      <c r="R58">
        <v>0.52</v>
      </c>
      <c r="S58">
        <v>2.6</v>
      </c>
      <c r="T58">
        <v>3.2</v>
      </c>
      <c r="U58">
        <v>0.81100000000000005</v>
      </c>
      <c r="V58">
        <v>0.7</v>
      </c>
      <c r="W58">
        <v>3.6</v>
      </c>
      <c r="X58">
        <v>4.3</v>
      </c>
      <c r="Y58">
        <v>4.0999999999999996</v>
      </c>
      <c r="Z58">
        <v>0.8</v>
      </c>
      <c r="AA58">
        <v>0.2</v>
      </c>
      <c r="AB58">
        <v>2</v>
      </c>
      <c r="AC58">
        <v>1.4</v>
      </c>
      <c r="AD58">
        <v>14.7</v>
      </c>
      <c r="AE58">
        <v>1577</v>
      </c>
      <c r="AF58">
        <v>13.5</v>
      </c>
      <c r="AG58">
        <v>0.56299999999999994</v>
      </c>
      <c r="AH58">
        <v>0.27500000000000002</v>
      </c>
      <c r="AI58">
        <v>0.27400000000000002</v>
      </c>
      <c r="AJ58">
        <v>2.2000000000000002</v>
      </c>
      <c r="AK58">
        <v>12.6</v>
      </c>
      <c r="AL58">
        <v>7.3</v>
      </c>
      <c r="AM58">
        <v>19.3</v>
      </c>
      <c r="AN58">
        <v>1.3</v>
      </c>
      <c r="AO58">
        <v>0.7</v>
      </c>
      <c r="AP58">
        <v>13.2</v>
      </c>
      <c r="AQ58">
        <v>20</v>
      </c>
      <c r="AR58">
        <v>0.8</v>
      </c>
      <c r="AS58">
        <v>1.1000000000000001</v>
      </c>
      <c r="AT58">
        <v>2</v>
      </c>
      <c r="AU58">
        <v>5.8999999999999997E-2</v>
      </c>
      <c r="AV58">
        <v>-1.1000000000000001</v>
      </c>
      <c r="AW58">
        <v>-0.3</v>
      </c>
      <c r="AX58">
        <v>-1.4</v>
      </c>
      <c r="AY58">
        <v>0.2</v>
      </c>
      <c r="AZ58" s="8">
        <v>0.30000000000000004</v>
      </c>
      <c r="BA58" s="8">
        <v>9.9750623441396524E-3</v>
      </c>
      <c r="BB58" s="3">
        <v>0</v>
      </c>
    </row>
    <row r="59" spans="1:54" x14ac:dyDescent="0.25">
      <c r="A59" t="s">
        <v>120</v>
      </c>
      <c r="B59" s="2">
        <v>28400000</v>
      </c>
      <c r="C59" t="s">
        <v>52</v>
      </c>
      <c r="D59">
        <v>37</v>
      </c>
      <c r="E59" t="s">
        <v>60</v>
      </c>
      <c r="F59">
        <v>59</v>
      </c>
      <c r="G59">
        <v>59</v>
      </c>
      <c r="H59">
        <v>32</v>
      </c>
      <c r="I59">
        <v>5</v>
      </c>
      <c r="J59">
        <v>11.3</v>
      </c>
      <c r="K59">
        <v>0.44</v>
      </c>
      <c r="L59">
        <v>1.7</v>
      </c>
      <c r="M59">
        <v>4.4000000000000004</v>
      </c>
      <c r="N59">
        <v>0.375</v>
      </c>
      <c r="O59">
        <v>3.3</v>
      </c>
      <c r="P59">
        <v>6.9</v>
      </c>
      <c r="Q59">
        <v>0.48199999999999998</v>
      </c>
      <c r="R59">
        <v>0.51300000000000001</v>
      </c>
      <c r="S59">
        <v>2.2999999999999998</v>
      </c>
      <c r="T59">
        <v>2.7</v>
      </c>
      <c r="U59">
        <v>0.83099999999999996</v>
      </c>
      <c r="V59">
        <v>0.5</v>
      </c>
      <c r="W59">
        <v>3.8</v>
      </c>
      <c r="X59">
        <v>4.3</v>
      </c>
      <c r="Y59">
        <v>8.9</v>
      </c>
      <c r="Z59">
        <v>1.5</v>
      </c>
      <c r="AA59">
        <v>0.4</v>
      </c>
      <c r="AB59">
        <v>1.9</v>
      </c>
      <c r="AC59">
        <v>2.1</v>
      </c>
      <c r="AD59">
        <v>13.9</v>
      </c>
      <c r="AE59">
        <v>1889</v>
      </c>
      <c r="AF59">
        <v>17.7</v>
      </c>
      <c r="AG59">
        <v>0.55500000000000005</v>
      </c>
      <c r="AH59">
        <v>0.39100000000000001</v>
      </c>
      <c r="AI59">
        <v>0.24</v>
      </c>
      <c r="AJ59">
        <v>1.6</v>
      </c>
      <c r="AK59">
        <v>13.4</v>
      </c>
      <c r="AL59">
        <v>7.4</v>
      </c>
      <c r="AM59">
        <v>38.700000000000003</v>
      </c>
      <c r="AN59">
        <v>2.4</v>
      </c>
      <c r="AO59">
        <v>1</v>
      </c>
      <c r="AP59">
        <v>13.4</v>
      </c>
      <c r="AQ59">
        <v>19.2</v>
      </c>
      <c r="AR59">
        <v>3.7</v>
      </c>
      <c r="AS59">
        <v>2.5</v>
      </c>
      <c r="AT59">
        <v>6.2</v>
      </c>
      <c r="AU59">
        <v>0.156</v>
      </c>
      <c r="AV59">
        <v>2</v>
      </c>
      <c r="AW59">
        <v>1.2</v>
      </c>
      <c r="AX59">
        <v>3.2</v>
      </c>
      <c r="AY59">
        <v>2.5</v>
      </c>
      <c r="AZ59" s="8">
        <v>4.7</v>
      </c>
      <c r="BA59" s="8">
        <v>0.16549295774647887</v>
      </c>
      <c r="BB59" s="3">
        <v>0</v>
      </c>
    </row>
    <row r="60" spans="1:54" x14ac:dyDescent="0.25">
      <c r="A60" t="s">
        <v>121</v>
      </c>
      <c r="B60" s="2">
        <v>28333334</v>
      </c>
      <c r="C60" t="s">
        <v>52</v>
      </c>
      <c r="D60">
        <v>36</v>
      </c>
      <c r="E60" t="s">
        <v>80</v>
      </c>
      <c r="F60">
        <v>55</v>
      </c>
      <c r="G60">
        <v>44</v>
      </c>
      <c r="H60">
        <v>31.2</v>
      </c>
      <c r="I60">
        <v>3.6</v>
      </c>
      <c r="J60">
        <v>8.8000000000000007</v>
      </c>
      <c r="K60">
        <v>0.40400000000000003</v>
      </c>
      <c r="L60">
        <v>1.9</v>
      </c>
      <c r="M60">
        <v>5.6</v>
      </c>
      <c r="N60">
        <v>0.34499999999999997</v>
      </c>
      <c r="O60">
        <v>1.6</v>
      </c>
      <c r="P60">
        <v>3.2</v>
      </c>
      <c r="Q60">
        <v>0.50900000000000001</v>
      </c>
      <c r="R60">
        <v>0.51400000000000001</v>
      </c>
      <c r="S60">
        <v>2.1</v>
      </c>
      <c r="T60">
        <v>2.5</v>
      </c>
      <c r="U60">
        <v>0.85899999999999999</v>
      </c>
      <c r="V60">
        <v>0.8</v>
      </c>
      <c r="W60">
        <v>3.3</v>
      </c>
      <c r="X60">
        <v>4.0999999999999996</v>
      </c>
      <c r="Y60">
        <v>5.0999999999999996</v>
      </c>
      <c r="Z60">
        <v>1</v>
      </c>
      <c r="AA60">
        <v>0.4</v>
      </c>
      <c r="AB60">
        <v>1.9</v>
      </c>
      <c r="AC60">
        <v>2.6</v>
      </c>
      <c r="AD60">
        <v>11.2</v>
      </c>
      <c r="AE60">
        <v>1718</v>
      </c>
      <c r="AF60">
        <v>12.6</v>
      </c>
      <c r="AG60">
        <v>0.56499999999999995</v>
      </c>
      <c r="AH60">
        <v>0.63900000000000001</v>
      </c>
      <c r="AI60">
        <v>0.27800000000000002</v>
      </c>
      <c r="AJ60">
        <v>2.8</v>
      </c>
      <c r="AK60">
        <v>12.9</v>
      </c>
      <c r="AL60">
        <v>7.7</v>
      </c>
      <c r="AM60">
        <v>23.4</v>
      </c>
      <c r="AN60">
        <v>1.7</v>
      </c>
      <c r="AO60">
        <v>1.2</v>
      </c>
      <c r="AP60">
        <v>15.9</v>
      </c>
      <c r="AQ60">
        <v>16.7</v>
      </c>
      <c r="AR60">
        <v>1.5</v>
      </c>
      <c r="AS60">
        <v>1.9</v>
      </c>
      <c r="AT60">
        <v>3.4</v>
      </c>
      <c r="AU60">
        <v>9.6000000000000002E-2</v>
      </c>
      <c r="AV60">
        <v>-0.7</v>
      </c>
      <c r="AW60">
        <v>0.8</v>
      </c>
      <c r="AX60">
        <v>0.2</v>
      </c>
      <c r="AY60">
        <v>0.9</v>
      </c>
      <c r="AZ60" s="8">
        <v>1.8</v>
      </c>
      <c r="BA60" s="8">
        <v>6.3529410269896225E-2</v>
      </c>
      <c r="BB60" s="3">
        <v>0</v>
      </c>
    </row>
    <row r="61" spans="1:54" x14ac:dyDescent="0.25">
      <c r="A61" t="s">
        <v>122</v>
      </c>
      <c r="B61" s="2">
        <v>27733332</v>
      </c>
      <c r="C61" t="s">
        <v>52</v>
      </c>
      <c r="D61">
        <v>26</v>
      </c>
      <c r="E61" t="s">
        <v>123</v>
      </c>
      <c r="F61">
        <v>68</v>
      </c>
      <c r="G61">
        <v>68</v>
      </c>
      <c r="H61">
        <v>35</v>
      </c>
      <c r="I61">
        <v>8.6</v>
      </c>
      <c r="J61">
        <v>17.600000000000001</v>
      </c>
      <c r="K61">
        <v>0.49099999999999999</v>
      </c>
      <c r="L61">
        <v>2</v>
      </c>
      <c r="M61">
        <v>4.7</v>
      </c>
      <c r="N61">
        <v>0.41599999999999998</v>
      </c>
      <c r="O61">
        <v>6.7</v>
      </c>
      <c r="P61">
        <v>12.8</v>
      </c>
      <c r="Q61">
        <v>0.51900000000000002</v>
      </c>
      <c r="R61">
        <v>0.54700000000000004</v>
      </c>
      <c r="S61">
        <v>4.8</v>
      </c>
      <c r="T61">
        <v>5.8</v>
      </c>
      <c r="U61">
        <v>0.82899999999999996</v>
      </c>
      <c r="V61">
        <v>0.6</v>
      </c>
      <c r="W61">
        <v>3</v>
      </c>
      <c r="X61">
        <v>3.5</v>
      </c>
      <c r="Y61">
        <v>6.2</v>
      </c>
      <c r="Z61">
        <v>0.9</v>
      </c>
      <c r="AA61">
        <v>0.2</v>
      </c>
      <c r="AB61">
        <v>2.1</v>
      </c>
      <c r="AC61">
        <v>2.2000000000000002</v>
      </c>
      <c r="AD61">
        <v>24</v>
      </c>
      <c r="AE61">
        <v>2379</v>
      </c>
      <c r="AF61">
        <v>21.2</v>
      </c>
      <c r="AG61">
        <v>0.59699999999999998</v>
      </c>
      <c r="AH61">
        <v>0.26900000000000002</v>
      </c>
      <c r="AI61">
        <v>0.32800000000000001</v>
      </c>
      <c r="AJ61">
        <v>1.8</v>
      </c>
      <c r="AK61">
        <v>9.3000000000000007</v>
      </c>
      <c r="AL61">
        <v>5.6</v>
      </c>
      <c r="AM61">
        <v>28.7</v>
      </c>
      <c r="AN61">
        <v>1.3</v>
      </c>
      <c r="AO61">
        <v>0.6</v>
      </c>
      <c r="AP61">
        <v>9.4</v>
      </c>
      <c r="AQ61">
        <v>27.2</v>
      </c>
      <c r="AR61">
        <v>6.9</v>
      </c>
      <c r="AS61">
        <v>1.8</v>
      </c>
      <c r="AT61">
        <v>8.6999999999999993</v>
      </c>
      <c r="AU61">
        <v>0.17499999999999999</v>
      </c>
      <c r="AV61">
        <v>4.4000000000000004</v>
      </c>
      <c r="AW61">
        <v>-0.5</v>
      </c>
      <c r="AX61">
        <v>3.9</v>
      </c>
      <c r="AY61">
        <v>3.5</v>
      </c>
      <c r="AZ61" s="8">
        <v>6.3</v>
      </c>
      <c r="BA61" s="8">
        <v>0.22716347245978233</v>
      </c>
      <c r="BB61" s="3">
        <v>0</v>
      </c>
    </row>
    <row r="62" spans="1:54" x14ac:dyDescent="0.25">
      <c r="A62" t="s">
        <v>124</v>
      </c>
      <c r="B62" s="2">
        <v>27300000</v>
      </c>
      <c r="C62" t="s">
        <v>65</v>
      </c>
      <c r="D62">
        <v>33</v>
      </c>
      <c r="E62" t="s">
        <v>87</v>
      </c>
      <c r="F62">
        <v>74</v>
      </c>
      <c r="G62">
        <v>74</v>
      </c>
      <c r="H62">
        <v>36.200000000000003</v>
      </c>
      <c r="I62">
        <v>8.9</v>
      </c>
      <c r="J62">
        <v>17.600000000000001</v>
      </c>
      <c r="K62">
        <v>0.504</v>
      </c>
      <c r="L62">
        <v>0.6</v>
      </c>
      <c r="M62">
        <v>1.9</v>
      </c>
      <c r="N62">
        <v>0.32400000000000001</v>
      </c>
      <c r="O62">
        <v>8.3000000000000007</v>
      </c>
      <c r="P62">
        <v>15.7</v>
      </c>
      <c r="Q62">
        <v>0.52600000000000002</v>
      </c>
      <c r="R62">
        <v>0.52200000000000002</v>
      </c>
      <c r="S62">
        <v>6.2</v>
      </c>
      <c r="T62">
        <v>7.1</v>
      </c>
      <c r="U62">
        <v>0.872</v>
      </c>
      <c r="V62">
        <v>0.5</v>
      </c>
      <c r="W62">
        <v>4.2</v>
      </c>
      <c r="X62">
        <v>4.5999999999999996</v>
      </c>
      <c r="Y62">
        <v>5.0999999999999996</v>
      </c>
      <c r="Z62">
        <v>1.1000000000000001</v>
      </c>
      <c r="AA62">
        <v>0.5</v>
      </c>
      <c r="AB62">
        <v>2.1</v>
      </c>
      <c r="AC62">
        <v>2.5</v>
      </c>
      <c r="AD62">
        <v>24.5</v>
      </c>
      <c r="AE62">
        <v>2682</v>
      </c>
      <c r="AF62">
        <v>20.6</v>
      </c>
      <c r="AG62">
        <v>0.59199999999999997</v>
      </c>
      <c r="AH62">
        <v>0.109</v>
      </c>
      <c r="AI62">
        <v>0.40100000000000002</v>
      </c>
      <c r="AJ62">
        <v>1.5</v>
      </c>
      <c r="AK62">
        <v>12.8</v>
      </c>
      <c r="AL62">
        <v>7.2</v>
      </c>
      <c r="AM62">
        <v>22.3</v>
      </c>
      <c r="AN62">
        <v>1.5</v>
      </c>
      <c r="AO62">
        <v>1.3</v>
      </c>
      <c r="AP62">
        <v>9.1</v>
      </c>
      <c r="AQ62">
        <v>27.8</v>
      </c>
      <c r="AR62">
        <v>5.4</v>
      </c>
      <c r="AS62">
        <v>3.2</v>
      </c>
      <c r="AT62">
        <v>8.5</v>
      </c>
      <c r="AU62">
        <v>0.153</v>
      </c>
      <c r="AV62">
        <v>1.7</v>
      </c>
      <c r="AW62">
        <v>0.3</v>
      </c>
      <c r="AX62">
        <v>2</v>
      </c>
      <c r="AY62">
        <v>2.6</v>
      </c>
      <c r="AZ62" s="8">
        <v>5.25</v>
      </c>
      <c r="BA62" s="8">
        <v>0.19230769230769232</v>
      </c>
      <c r="BB62" s="3">
        <v>0</v>
      </c>
    </row>
    <row r="63" spans="1:54" x14ac:dyDescent="0.25">
      <c r="A63" t="s">
        <v>126</v>
      </c>
      <c r="B63" s="2">
        <v>25806468</v>
      </c>
      <c r="C63" t="s">
        <v>28</v>
      </c>
      <c r="D63">
        <v>32</v>
      </c>
      <c r="E63" t="s">
        <v>53</v>
      </c>
      <c r="F63">
        <v>73</v>
      </c>
      <c r="G63">
        <v>73</v>
      </c>
      <c r="H63">
        <v>31.5</v>
      </c>
      <c r="I63">
        <v>3.4</v>
      </c>
      <c r="J63">
        <v>6.5</v>
      </c>
      <c r="K63">
        <v>0.52700000000000002</v>
      </c>
      <c r="L63">
        <v>0.5</v>
      </c>
      <c r="M63">
        <v>1.8</v>
      </c>
      <c r="N63">
        <v>0.30499999999999999</v>
      </c>
      <c r="O63">
        <v>2.9</v>
      </c>
      <c r="P63">
        <v>4.7</v>
      </c>
      <c r="Q63">
        <v>0.61199999999999999</v>
      </c>
      <c r="R63">
        <v>0.56999999999999995</v>
      </c>
      <c r="S63">
        <v>1.1000000000000001</v>
      </c>
      <c r="T63">
        <v>1.5</v>
      </c>
      <c r="U63">
        <v>0.71299999999999997</v>
      </c>
      <c r="V63">
        <v>0.9</v>
      </c>
      <c r="W63">
        <v>6.3</v>
      </c>
      <c r="X63">
        <v>7.2</v>
      </c>
      <c r="Y63">
        <v>6.8</v>
      </c>
      <c r="Z63">
        <v>1</v>
      </c>
      <c r="AA63">
        <v>0.8</v>
      </c>
      <c r="AB63">
        <v>2.8</v>
      </c>
      <c r="AC63">
        <v>3.1</v>
      </c>
      <c r="AD63">
        <v>8.5</v>
      </c>
      <c r="AE63">
        <v>2297</v>
      </c>
      <c r="AF63">
        <v>12.2</v>
      </c>
      <c r="AG63">
        <v>0.59199999999999997</v>
      </c>
      <c r="AH63">
        <v>0.27600000000000002</v>
      </c>
      <c r="AI63">
        <v>0.22800000000000001</v>
      </c>
      <c r="AJ63">
        <v>3.2</v>
      </c>
      <c r="AK63">
        <v>21.6</v>
      </c>
      <c r="AL63">
        <v>12.6</v>
      </c>
      <c r="AM63">
        <v>27.8</v>
      </c>
      <c r="AN63">
        <v>1.5</v>
      </c>
      <c r="AO63">
        <v>2.2999999999999998</v>
      </c>
      <c r="AP63">
        <v>28.1</v>
      </c>
      <c r="AQ63">
        <v>13.2</v>
      </c>
      <c r="AR63">
        <v>1.6</v>
      </c>
      <c r="AS63">
        <v>3.1</v>
      </c>
      <c r="AT63">
        <v>4.7</v>
      </c>
      <c r="AU63">
        <v>9.8000000000000004E-2</v>
      </c>
      <c r="AV63">
        <v>-1.8</v>
      </c>
      <c r="AW63">
        <v>2.6</v>
      </c>
      <c r="AX63">
        <v>0.8</v>
      </c>
      <c r="AY63">
        <v>1.6</v>
      </c>
      <c r="AZ63" s="8">
        <v>2.75</v>
      </c>
      <c r="BA63" s="8">
        <v>0.10656243233285546</v>
      </c>
      <c r="BB63" s="3">
        <v>0</v>
      </c>
    </row>
    <row r="64" spans="1:54" x14ac:dyDescent="0.25">
      <c r="A64" t="s">
        <v>127</v>
      </c>
      <c r="B64" s="2">
        <v>23760000</v>
      </c>
      <c r="C64" t="s">
        <v>28</v>
      </c>
      <c r="D64">
        <v>28</v>
      </c>
      <c r="E64" t="s">
        <v>123</v>
      </c>
      <c r="F64">
        <v>77</v>
      </c>
      <c r="G64">
        <v>77</v>
      </c>
      <c r="H64">
        <v>35.5</v>
      </c>
      <c r="I64">
        <v>8.5</v>
      </c>
      <c r="J64">
        <v>18.600000000000001</v>
      </c>
      <c r="K64">
        <v>0.45900000000000002</v>
      </c>
      <c r="L64">
        <v>2.8</v>
      </c>
      <c r="M64">
        <v>8.3000000000000007</v>
      </c>
      <c r="N64">
        <v>0.34300000000000003</v>
      </c>
      <c r="O64">
        <v>5.7</v>
      </c>
      <c r="P64">
        <v>10.3</v>
      </c>
      <c r="Q64">
        <v>0.55300000000000005</v>
      </c>
      <c r="R64">
        <v>0.53600000000000003</v>
      </c>
      <c r="S64">
        <v>5.2</v>
      </c>
      <c r="T64">
        <v>6.9</v>
      </c>
      <c r="U64">
        <v>0.75700000000000001</v>
      </c>
      <c r="V64">
        <v>1.8</v>
      </c>
      <c r="W64">
        <v>8.1</v>
      </c>
      <c r="X64">
        <v>10</v>
      </c>
      <c r="Y64">
        <v>4.0999999999999996</v>
      </c>
      <c r="Z64">
        <v>0.6</v>
      </c>
      <c r="AA64">
        <v>0.3</v>
      </c>
      <c r="AB64">
        <v>2.8</v>
      </c>
      <c r="AC64">
        <v>3</v>
      </c>
      <c r="AD64">
        <v>25.1</v>
      </c>
      <c r="AE64">
        <v>2737</v>
      </c>
      <c r="AF64">
        <v>20.3</v>
      </c>
      <c r="AG64">
        <v>0.58099999999999996</v>
      </c>
      <c r="AH64">
        <v>0.44400000000000001</v>
      </c>
      <c r="AI64">
        <v>0.371</v>
      </c>
      <c r="AJ64">
        <v>5.6</v>
      </c>
      <c r="AK64">
        <v>25.2</v>
      </c>
      <c r="AL64">
        <v>15.4</v>
      </c>
      <c r="AM64">
        <v>18.5</v>
      </c>
      <c r="AN64">
        <v>0.9</v>
      </c>
      <c r="AO64">
        <v>0.7</v>
      </c>
      <c r="AP64">
        <v>11.5</v>
      </c>
      <c r="AQ64">
        <v>29.5</v>
      </c>
      <c r="AR64">
        <v>5</v>
      </c>
      <c r="AS64">
        <v>3.1</v>
      </c>
      <c r="AT64">
        <v>8.1</v>
      </c>
      <c r="AU64">
        <v>0.14199999999999999</v>
      </c>
      <c r="AV64">
        <v>3.9</v>
      </c>
      <c r="AW64">
        <v>-0.2</v>
      </c>
      <c r="AX64">
        <v>3.7</v>
      </c>
      <c r="AY64">
        <v>3.9</v>
      </c>
      <c r="AZ64" s="8">
        <v>5.9</v>
      </c>
      <c r="BA64" s="8">
        <v>0.24831649831649832</v>
      </c>
      <c r="BB64" s="3">
        <v>0</v>
      </c>
    </row>
    <row r="65" spans="1:54" x14ac:dyDescent="0.25">
      <c r="A65" t="s">
        <v>128</v>
      </c>
      <c r="B65" s="2">
        <v>23500000</v>
      </c>
      <c r="C65" t="s">
        <v>28</v>
      </c>
      <c r="D65">
        <v>25</v>
      </c>
      <c r="E65" t="s">
        <v>85</v>
      </c>
      <c r="F65">
        <v>71</v>
      </c>
      <c r="G65">
        <v>71</v>
      </c>
      <c r="H65">
        <v>30</v>
      </c>
      <c r="I65">
        <v>5.0999999999999996</v>
      </c>
      <c r="J65">
        <v>10</v>
      </c>
      <c r="K65">
        <v>0.50800000000000001</v>
      </c>
      <c r="L65">
        <v>1</v>
      </c>
      <c r="M65">
        <v>3.4</v>
      </c>
      <c r="N65">
        <v>0.29199999999999998</v>
      </c>
      <c r="O65">
        <v>4.0999999999999996</v>
      </c>
      <c r="P65">
        <v>6.6</v>
      </c>
      <c r="Q65">
        <v>0.61899999999999999</v>
      </c>
      <c r="R65">
        <v>0.55700000000000005</v>
      </c>
      <c r="S65">
        <v>2</v>
      </c>
      <c r="T65">
        <v>2.5</v>
      </c>
      <c r="U65">
        <v>0.80300000000000005</v>
      </c>
      <c r="V65">
        <v>1.1000000000000001</v>
      </c>
      <c r="W65">
        <v>5.4</v>
      </c>
      <c r="X65">
        <v>6.5</v>
      </c>
      <c r="Y65">
        <v>1.2</v>
      </c>
      <c r="Z65">
        <v>0.6</v>
      </c>
      <c r="AA65">
        <v>1</v>
      </c>
      <c r="AB65">
        <v>1.1000000000000001</v>
      </c>
      <c r="AC65">
        <v>3.1</v>
      </c>
      <c r="AD65">
        <v>13.1</v>
      </c>
      <c r="AE65">
        <v>2130</v>
      </c>
      <c r="AF65">
        <v>13.6</v>
      </c>
      <c r="AG65">
        <v>0.59299999999999997</v>
      </c>
      <c r="AH65">
        <v>0.33900000000000002</v>
      </c>
      <c r="AI65">
        <v>0.252</v>
      </c>
      <c r="AJ65">
        <v>3.9</v>
      </c>
      <c r="AK65">
        <v>20</v>
      </c>
      <c r="AL65">
        <v>11.9</v>
      </c>
      <c r="AM65">
        <v>5.3</v>
      </c>
      <c r="AN65">
        <v>0.9</v>
      </c>
      <c r="AO65">
        <v>2.9</v>
      </c>
      <c r="AP65">
        <v>9.1</v>
      </c>
      <c r="AQ65">
        <v>17.100000000000001</v>
      </c>
      <c r="AR65">
        <v>2.1</v>
      </c>
      <c r="AS65">
        <v>2.1</v>
      </c>
      <c r="AT65">
        <v>4.2</v>
      </c>
      <c r="AU65">
        <v>9.5000000000000001E-2</v>
      </c>
      <c r="AV65">
        <v>-1.4</v>
      </c>
      <c r="AW65">
        <v>0.2</v>
      </c>
      <c r="AX65">
        <v>-1.3</v>
      </c>
      <c r="AY65">
        <v>0.4</v>
      </c>
      <c r="AZ65" s="8">
        <v>1.4500000000000002</v>
      </c>
      <c r="BA65" s="8">
        <v>6.1702127659574481E-2</v>
      </c>
      <c r="BB65" s="3">
        <v>0</v>
      </c>
    </row>
    <row r="66" spans="1:54" x14ac:dyDescent="0.25">
      <c r="A66" t="s">
        <v>129</v>
      </c>
      <c r="B66" s="2">
        <v>22680000</v>
      </c>
      <c r="C66" t="s">
        <v>52</v>
      </c>
      <c r="D66">
        <v>35</v>
      </c>
      <c r="E66" t="s">
        <v>130</v>
      </c>
      <c r="F66">
        <v>67</v>
      </c>
      <c r="G66">
        <v>66</v>
      </c>
      <c r="H66">
        <v>30.3</v>
      </c>
      <c r="I66">
        <v>3.9</v>
      </c>
      <c r="J66">
        <v>9.1</v>
      </c>
      <c r="K66">
        <v>0.42799999999999999</v>
      </c>
      <c r="L66">
        <v>2</v>
      </c>
      <c r="M66">
        <v>5.2</v>
      </c>
      <c r="N66">
        <v>0.38500000000000001</v>
      </c>
      <c r="O66">
        <v>1.9</v>
      </c>
      <c r="P66">
        <v>3.9</v>
      </c>
      <c r="Q66">
        <v>0.48599999999999999</v>
      </c>
      <c r="R66">
        <v>0.53900000000000003</v>
      </c>
      <c r="S66">
        <v>2.1</v>
      </c>
      <c r="T66">
        <v>2.5</v>
      </c>
      <c r="U66">
        <v>0.83399999999999996</v>
      </c>
      <c r="V66">
        <v>0.5</v>
      </c>
      <c r="W66">
        <v>2.2000000000000002</v>
      </c>
      <c r="X66">
        <v>2.7</v>
      </c>
      <c r="Y66">
        <v>6.7</v>
      </c>
      <c r="Z66">
        <v>1.1000000000000001</v>
      </c>
      <c r="AA66">
        <v>0.2</v>
      </c>
      <c r="AB66">
        <v>1.5</v>
      </c>
      <c r="AC66">
        <v>2.1</v>
      </c>
      <c r="AD66">
        <v>11.9</v>
      </c>
      <c r="AE66">
        <v>2029</v>
      </c>
      <c r="AF66">
        <v>14.7</v>
      </c>
      <c r="AG66">
        <v>0.58299999999999996</v>
      </c>
      <c r="AH66">
        <v>0.57499999999999996</v>
      </c>
      <c r="AI66">
        <v>0.27700000000000002</v>
      </c>
      <c r="AJ66">
        <v>1.8</v>
      </c>
      <c r="AK66">
        <v>7.9</v>
      </c>
      <c r="AL66">
        <v>4.9000000000000004</v>
      </c>
      <c r="AM66">
        <v>29.4</v>
      </c>
      <c r="AN66">
        <v>1.7</v>
      </c>
      <c r="AO66">
        <v>0.6</v>
      </c>
      <c r="AP66">
        <v>13.1</v>
      </c>
      <c r="AQ66">
        <v>16.3</v>
      </c>
      <c r="AR66">
        <v>4.0999999999999996</v>
      </c>
      <c r="AS66">
        <v>1.4</v>
      </c>
      <c r="AT66">
        <v>5.5</v>
      </c>
      <c r="AU66">
        <v>0.13</v>
      </c>
      <c r="AV66">
        <v>1</v>
      </c>
      <c r="AW66">
        <v>-0.1</v>
      </c>
      <c r="AX66">
        <v>0.9</v>
      </c>
      <c r="AY66">
        <v>1.5</v>
      </c>
      <c r="AZ66" s="8">
        <v>3.2</v>
      </c>
      <c r="BA66" s="8">
        <v>0.14109347442680775</v>
      </c>
      <c r="BB66" s="3">
        <v>0</v>
      </c>
    </row>
    <row r="67" spans="1:54" x14ac:dyDescent="0.25">
      <c r="A67" t="s">
        <v>132</v>
      </c>
      <c r="B67" s="2">
        <v>22321429</v>
      </c>
      <c r="C67" t="s">
        <v>62</v>
      </c>
      <c r="D67">
        <v>23</v>
      </c>
      <c r="E67" t="s">
        <v>70</v>
      </c>
      <c r="F67">
        <v>62</v>
      </c>
      <c r="G67">
        <v>62</v>
      </c>
      <c r="H67">
        <v>35</v>
      </c>
      <c r="I67">
        <v>7.5</v>
      </c>
      <c r="J67">
        <v>16.899999999999999</v>
      </c>
      <c r="K67">
        <v>0.44700000000000001</v>
      </c>
      <c r="L67">
        <v>3.4</v>
      </c>
      <c r="M67">
        <v>9.1</v>
      </c>
      <c r="N67">
        <v>0.377</v>
      </c>
      <c r="O67">
        <v>4.0999999999999996</v>
      </c>
      <c r="P67">
        <v>7.8</v>
      </c>
      <c r="Q67">
        <v>0.52800000000000002</v>
      </c>
      <c r="R67">
        <v>0.54800000000000004</v>
      </c>
      <c r="S67">
        <v>2.6</v>
      </c>
      <c r="T67">
        <v>2.9</v>
      </c>
      <c r="U67">
        <v>0.89400000000000002</v>
      </c>
      <c r="V67">
        <v>0.3</v>
      </c>
      <c r="W67">
        <v>2.2999999999999998</v>
      </c>
      <c r="X67">
        <v>2.6</v>
      </c>
      <c r="Y67">
        <v>4.0999999999999996</v>
      </c>
      <c r="Z67">
        <v>0.7</v>
      </c>
      <c r="AA67">
        <v>0.2</v>
      </c>
      <c r="AB67">
        <v>2.1</v>
      </c>
      <c r="AC67">
        <v>2.2999999999999998</v>
      </c>
      <c r="AD67">
        <v>21.1</v>
      </c>
      <c r="AE67">
        <v>2171</v>
      </c>
      <c r="AF67">
        <v>14.8</v>
      </c>
      <c r="AG67">
        <v>0.58099999999999996</v>
      </c>
      <c r="AH67">
        <v>0.53800000000000003</v>
      </c>
      <c r="AI67">
        <v>0.17100000000000001</v>
      </c>
      <c r="AJ67">
        <v>0.9</v>
      </c>
      <c r="AK67">
        <v>7.6</v>
      </c>
      <c r="AL67">
        <v>4.3</v>
      </c>
      <c r="AM67">
        <v>18.600000000000001</v>
      </c>
      <c r="AN67">
        <v>0.9</v>
      </c>
      <c r="AO67">
        <v>0.6</v>
      </c>
      <c r="AP67">
        <v>10.199999999999999</v>
      </c>
      <c r="AQ67">
        <v>25.1</v>
      </c>
      <c r="AR67">
        <v>2.1</v>
      </c>
      <c r="AS67">
        <v>0.3</v>
      </c>
      <c r="AT67">
        <v>2.5</v>
      </c>
      <c r="AU67">
        <v>5.3999999999999999E-2</v>
      </c>
      <c r="AV67">
        <v>1.3</v>
      </c>
      <c r="AW67">
        <v>-2.5</v>
      </c>
      <c r="AX67">
        <v>-1.1000000000000001</v>
      </c>
      <c r="AY67">
        <v>0.5</v>
      </c>
      <c r="AZ67" s="8">
        <v>0.7</v>
      </c>
      <c r="BA67" s="8">
        <v>3.1359999397888014E-2</v>
      </c>
      <c r="BB67" s="3">
        <v>0</v>
      </c>
    </row>
    <row r="68" spans="1:54" x14ac:dyDescent="0.25">
      <c r="A68" t="s">
        <v>133</v>
      </c>
      <c r="B68" s="2">
        <v>21486316</v>
      </c>
      <c r="C68" t="s">
        <v>62</v>
      </c>
      <c r="D68">
        <v>28</v>
      </c>
      <c r="E68" t="s">
        <v>118</v>
      </c>
      <c r="F68">
        <v>63</v>
      </c>
      <c r="G68">
        <v>63</v>
      </c>
      <c r="H68">
        <v>35.299999999999997</v>
      </c>
      <c r="I68">
        <v>7.8</v>
      </c>
      <c r="J68">
        <v>18.899999999999999</v>
      </c>
      <c r="K68">
        <v>0.41499999999999998</v>
      </c>
      <c r="L68">
        <v>2.6</v>
      </c>
      <c r="M68">
        <v>8</v>
      </c>
      <c r="N68">
        <v>0.32700000000000001</v>
      </c>
      <c r="O68">
        <v>5.2</v>
      </c>
      <c r="P68">
        <v>10.8</v>
      </c>
      <c r="Q68">
        <v>0.48</v>
      </c>
      <c r="R68">
        <v>0.48399999999999999</v>
      </c>
      <c r="S68">
        <v>2.8</v>
      </c>
      <c r="T68">
        <v>3.5</v>
      </c>
      <c r="U68">
        <v>0.80900000000000005</v>
      </c>
      <c r="V68">
        <v>0.8</v>
      </c>
      <c r="W68">
        <v>3.3</v>
      </c>
      <c r="X68">
        <v>4.0999999999999996</v>
      </c>
      <c r="Y68">
        <v>5.0999999999999996</v>
      </c>
      <c r="Z68">
        <v>1.2</v>
      </c>
      <c r="AA68">
        <v>0.3</v>
      </c>
      <c r="AB68">
        <v>2.1</v>
      </c>
      <c r="AC68">
        <v>1.9</v>
      </c>
      <c r="AD68">
        <v>21.1</v>
      </c>
      <c r="AE68">
        <v>2221</v>
      </c>
      <c r="AF68">
        <v>14.7</v>
      </c>
      <c r="AG68">
        <v>0.51700000000000002</v>
      </c>
      <c r="AH68">
        <v>0.42499999999999999</v>
      </c>
      <c r="AI68">
        <v>0.185</v>
      </c>
      <c r="AJ68">
        <v>2.4</v>
      </c>
      <c r="AK68">
        <v>10.199999999999999</v>
      </c>
      <c r="AL68">
        <v>6.2</v>
      </c>
      <c r="AM68">
        <v>22.7</v>
      </c>
      <c r="AN68">
        <v>1.6</v>
      </c>
      <c r="AO68">
        <v>0.6</v>
      </c>
      <c r="AP68">
        <v>9.4</v>
      </c>
      <c r="AQ68">
        <v>26.9</v>
      </c>
      <c r="AR68">
        <v>0.1</v>
      </c>
      <c r="AS68">
        <v>1.6</v>
      </c>
      <c r="AT68">
        <v>1.7</v>
      </c>
      <c r="AU68">
        <v>3.6999999999999998E-2</v>
      </c>
      <c r="AV68">
        <v>0.6</v>
      </c>
      <c r="AW68">
        <v>-1.1000000000000001</v>
      </c>
      <c r="AX68">
        <v>-0.6</v>
      </c>
      <c r="AY68">
        <v>0.8</v>
      </c>
      <c r="AZ68" s="8">
        <v>0.55000000000000004</v>
      </c>
      <c r="BA68" s="8">
        <v>2.5597687383914488E-2</v>
      </c>
      <c r="BB68" s="3">
        <v>0</v>
      </c>
    </row>
    <row r="69" spans="1:54" x14ac:dyDescent="0.25">
      <c r="A69" t="s">
        <v>134</v>
      </c>
      <c r="B69" s="2">
        <v>21250000</v>
      </c>
      <c r="C69" t="s">
        <v>52</v>
      </c>
      <c r="D69">
        <v>28</v>
      </c>
      <c r="E69" t="s">
        <v>91</v>
      </c>
      <c r="F69">
        <v>69</v>
      </c>
      <c r="G69">
        <v>69</v>
      </c>
      <c r="H69">
        <v>36.700000000000003</v>
      </c>
      <c r="I69">
        <v>6.3</v>
      </c>
      <c r="J69">
        <v>16.100000000000001</v>
      </c>
      <c r="K69">
        <v>0.39300000000000002</v>
      </c>
      <c r="L69">
        <v>3</v>
      </c>
      <c r="M69">
        <v>8.8000000000000007</v>
      </c>
      <c r="N69">
        <v>0.34200000000000003</v>
      </c>
      <c r="O69">
        <v>3.3</v>
      </c>
      <c r="P69">
        <v>7.3</v>
      </c>
      <c r="Q69">
        <v>0.45500000000000002</v>
      </c>
      <c r="R69">
        <v>0.48599999999999999</v>
      </c>
      <c r="S69">
        <v>3.7</v>
      </c>
      <c r="T69">
        <v>4.0999999999999996</v>
      </c>
      <c r="U69">
        <v>0.89800000000000002</v>
      </c>
      <c r="V69">
        <v>0.4</v>
      </c>
      <c r="W69">
        <v>3.6</v>
      </c>
      <c r="X69">
        <v>4.0999999999999996</v>
      </c>
      <c r="Y69">
        <v>7.2</v>
      </c>
      <c r="Z69">
        <v>1.8</v>
      </c>
      <c r="AA69">
        <v>0.6</v>
      </c>
      <c r="AB69">
        <v>2</v>
      </c>
      <c r="AC69">
        <v>2.8</v>
      </c>
      <c r="AD69">
        <v>19.3</v>
      </c>
      <c r="AE69">
        <v>2535</v>
      </c>
      <c r="AF69">
        <v>17</v>
      </c>
      <c r="AG69">
        <v>0.54</v>
      </c>
      <c r="AH69">
        <v>0.54500000000000004</v>
      </c>
      <c r="AI69">
        <v>0.254</v>
      </c>
      <c r="AJ69">
        <v>1.2</v>
      </c>
      <c r="AK69">
        <v>12</v>
      </c>
      <c r="AL69">
        <v>6.3</v>
      </c>
      <c r="AM69">
        <v>28.1</v>
      </c>
      <c r="AN69">
        <v>2.4</v>
      </c>
      <c r="AO69">
        <v>1.5</v>
      </c>
      <c r="AP69">
        <v>10.199999999999999</v>
      </c>
      <c r="AQ69">
        <v>23.2</v>
      </c>
      <c r="AR69">
        <v>3.7</v>
      </c>
      <c r="AS69">
        <v>2.8</v>
      </c>
      <c r="AT69">
        <v>6.5</v>
      </c>
      <c r="AU69">
        <v>0.123</v>
      </c>
      <c r="AV69">
        <v>2</v>
      </c>
      <c r="AW69">
        <v>0.5</v>
      </c>
      <c r="AX69">
        <v>2.5</v>
      </c>
      <c r="AY69">
        <v>2.9</v>
      </c>
      <c r="AZ69" s="8">
        <v>4.5</v>
      </c>
      <c r="BA69" s="8">
        <v>0.21176470588235294</v>
      </c>
      <c r="BB69" s="3">
        <v>0</v>
      </c>
    </row>
    <row r="70" spans="1:54" x14ac:dyDescent="0.25">
      <c r="A70" t="s">
        <v>135</v>
      </c>
      <c r="B70" s="2">
        <v>21177750</v>
      </c>
      <c r="C70" t="s">
        <v>65</v>
      </c>
      <c r="D70">
        <v>30</v>
      </c>
      <c r="E70" t="s">
        <v>93</v>
      </c>
      <c r="F70">
        <v>80</v>
      </c>
      <c r="G70">
        <v>73</v>
      </c>
      <c r="H70">
        <v>31</v>
      </c>
      <c r="I70">
        <v>5.9</v>
      </c>
      <c r="J70">
        <v>13</v>
      </c>
      <c r="K70">
        <v>0.45800000000000002</v>
      </c>
      <c r="L70">
        <v>3.6</v>
      </c>
      <c r="M70">
        <v>8.5</v>
      </c>
      <c r="N70">
        <v>0.42499999999999999</v>
      </c>
      <c r="O70">
        <v>2.2999999999999998</v>
      </c>
      <c r="P70">
        <v>4.5</v>
      </c>
      <c r="Q70">
        <v>0.51800000000000002</v>
      </c>
      <c r="R70">
        <v>0.59599999999999997</v>
      </c>
      <c r="S70">
        <v>1.3</v>
      </c>
      <c r="T70">
        <v>1.6</v>
      </c>
      <c r="U70">
        <v>0.82199999999999995</v>
      </c>
      <c r="V70">
        <v>0.8</v>
      </c>
      <c r="W70">
        <v>4.2</v>
      </c>
      <c r="X70">
        <v>5</v>
      </c>
      <c r="Y70">
        <v>2.8</v>
      </c>
      <c r="Z70">
        <v>1.2</v>
      </c>
      <c r="AA70">
        <v>0.3</v>
      </c>
      <c r="AB70">
        <v>1.7</v>
      </c>
      <c r="AC70">
        <v>2</v>
      </c>
      <c r="AD70">
        <v>16.8</v>
      </c>
      <c r="AE70">
        <v>2482</v>
      </c>
      <c r="AF70">
        <v>15.4</v>
      </c>
      <c r="AG70">
        <v>0.61399999999999999</v>
      </c>
      <c r="AH70">
        <v>0.65200000000000002</v>
      </c>
      <c r="AI70">
        <v>0.124</v>
      </c>
      <c r="AJ70">
        <v>3</v>
      </c>
      <c r="AK70">
        <v>14.9</v>
      </c>
      <c r="AL70">
        <v>8.9</v>
      </c>
      <c r="AM70">
        <v>13.3</v>
      </c>
      <c r="AN70">
        <v>1.8</v>
      </c>
      <c r="AO70">
        <v>0.9</v>
      </c>
      <c r="AP70">
        <v>11.3</v>
      </c>
      <c r="AQ70">
        <v>20.8</v>
      </c>
      <c r="AR70">
        <v>2.7</v>
      </c>
      <c r="AS70">
        <v>1.6</v>
      </c>
      <c r="AT70">
        <v>4.4000000000000004</v>
      </c>
      <c r="AU70">
        <v>8.5000000000000006E-2</v>
      </c>
      <c r="AV70">
        <v>2.5</v>
      </c>
      <c r="AW70">
        <v>-0.6</v>
      </c>
      <c r="AX70">
        <v>1.9</v>
      </c>
      <c r="AY70">
        <v>2.4</v>
      </c>
      <c r="AZ70" s="8">
        <v>3.1500000000000004</v>
      </c>
      <c r="BA70" s="8">
        <v>0.14874101356376387</v>
      </c>
      <c r="BB70" s="3">
        <v>0</v>
      </c>
    </row>
    <row r="71" spans="1:54" x14ac:dyDescent="0.25">
      <c r="A71" t="s">
        <v>137</v>
      </c>
      <c r="B71" s="2">
        <v>20955000</v>
      </c>
      <c r="C71" t="s">
        <v>28</v>
      </c>
      <c r="D71">
        <v>28</v>
      </c>
      <c r="E71" t="s">
        <v>70</v>
      </c>
      <c r="F71">
        <v>63</v>
      </c>
      <c r="G71">
        <v>63</v>
      </c>
      <c r="H71">
        <v>35.700000000000003</v>
      </c>
      <c r="I71">
        <v>6.9</v>
      </c>
      <c r="J71">
        <v>14.5</v>
      </c>
      <c r="K71">
        <v>0.47499999999999998</v>
      </c>
      <c r="L71">
        <v>2.2999999999999998</v>
      </c>
      <c r="M71">
        <v>5.7</v>
      </c>
      <c r="N71">
        <v>0.40100000000000002</v>
      </c>
      <c r="O71">
        <v>4.5999999999999996</v>
      </c>
      <c r="P71">
        <v>8.8000000000000007</v>
      </c>
      <c r="Q71">
        <v>0.52300000000000002</v>
      </c>
      <c r="R71">
        <v>0.55400000000000005</v>
      </c>
      <c r="S71">
        <v>4.4000000000000004</v>
      </c>
      <c r="T71">
        <v>5.4</v>
      </c>
      <c r="U71">
        <v>0.81299999999999994</v>
      </c>
      <c r="V71">
        <v>0.8</v>
      </c>
      <c r="W71">
        <v>3.7</v>
      </c>
      <c r="X71">
        <v>4.5</v>
      </c>
      <c r="Y71">
        <v>2.4</v>
      </c>
      <c r="Z71">
        <v>0.8</v>
      </c>
      <c r="AA71">
        <v>0.8</v>
      </c>
      <c r="AB71">
        <v>1.8</v>
      </c>
      <c r="AC71">
        <v>2.4</v>
      </c>
      <c r="AD71">
        <v>20.5</v>
      </c>
      <c r="AE71">
        <v>2246</v>
      </c>
      <c r="AF71">
        <v>16</v>
      </c>
      <c r="AG71">
        <v>0.60599999999999998</v>
      </c>
      <c r="AH71">
        <v>0.39300000000000002</v>
      </c>
      <c r="AI71">
        <v>0.375</v>
      </c>
      <c r="AJ71">
        <v>2.7</v>
      </c>
      <c r="AK71">
        <v>11.9</v>
      </c>
      <c r="AL71">
        <v>7.2</v>
      </c>
      <c r="AM71">
        <v>10.3</v>
      </c>
      <c r="AN71">
        <v>1.1000000000000001</v>
      </c>
      <c r="AO71">
        <v>2.1</v>
      </c>
      <c r="AP71">
        <v>9.8000000000000007</v>
      </c>
      <c r="AQ71">
        <v>22.8</v>
      </c>
      <c r="AR71">
        <v>3.1</v>
      </c>
      <c r="AS71">
        <v>1</v>
      </c>
      <c r="AT71">
        <v>4.0999999999999996</v>
      </c>
      <c r="AU71">
        <v>8.6999999999999994E-2</v>
      </c>
      <c r="AV71">
        <v>1.2</v>
      </c>
      <c r="AW71">
        <v>-1.4</v>
      </c>
      <c r="AX71">
        <v>-0.2</v>
      </c>
      <c r="AY71">
        <v>1</v>
      </c>
      <c r="AZ71" s="8">
        <v>1.9499999999999997</v>
      </c>
      <c r="BA71" s="8">
        <v>9.3056549749463119E-2</v>
      </c>
      <c r="BB71" s="3">
        <v>0</v>
      </c>
    </row>
    <row r="72" spans="1:54" x14ac:dyDescent="0.25">
      <c r="A72" t="s">
        <v>138</v>
      </c>
      <c r="B72" s="2">
        <v>20690909</v>
      </c>
      <c r="C72" t="s">
        <v>28</v>
      </c>
      <c r="D72">
        <v>27</v>
      </c>
      <c r="E72" t="s">
        <v>103</v>
      </c>
      <c r="F72">
        <v>68</v>
      </c>
      <c r="G72">
        <v>68</v>
      </c>
      <c r="H72">
        <v>30.2</v>
      </c>
      <c r="I72">
        <v>6.3</v>
      </c>
      <c r="J72">
        <v>11.2</v>
      </c>
      <c r="K72">
        <v>0.56399999999999995</v>
      </c>
      <c r="L72">
        <v>0.9</v>
      </c>
      <c r="M72">
        <v>2.5</v>
      </c>
      <c r="N72">
        <v>0.34699999999999998</v>
      </c>
      <c r="O72">
        <v>5.4</v>
      </c>
      <c r="P72">
        <v>8.6</v>
      </c>
      <c r="Q72">
        <v>0.628</v>
      </c>
      <c r="R72">
        <v>0.60299999999999998</v>
      </c>
      <c r="S72">
        <v>2.8</v>
      </c>
      <c r="T72">
        <v>4.5999999999999996</v>
      </c>
      <c r="U72">
        <v>0.60799999999999998</v>
      </c>
      <c r="V72">
        <v>2.4</v>
      </c>
      <c r="W72">
        <v>4.0999999999999996</v>
      </c>
      <c r="X72">
        <v>6.6</v>
      </c>
      <c r="Y72">
        <v>3</v>
      </c>
      <c r="Z72">
        <v>0.8</v>
      </c>
      <c r="AA72">
        <v>0.8</v>
      </c>
      <c r="AB72">
        <v>1.4</v>
      </c>
      <c r="AC72">
        <v>1.9</v>
      </c>
      <c r="AD72">
        <v>16.3</v>
      </c>
      <c r="AE72">
        <v>2055</v>
      </c>
      <c r="AF72">
        <v>19.5</v>
      </c>
      <c r="AG72">
        <v>0.61699999999999999</v>
      </c>
      <c r="AH72">
        <v>0.22700000000000001</v>
      </c>
      <c r="AI72">
        <v>0.41299999999999998</v>
      </c>
      <c r="AJ72">
        <v>9.4</v>
      </c>
      <c r="AK72">
        <v>15.4</v>
      </c>
      <c r="AL72">
        <v>12.5</v>
      </c>
      <c r="AM72">
        <v>14.2</v>
      </c>
      <c r="AN72">
        <v>1.3</v>
      </c>
      <c r="AO72">
        <v>2.2000000000000002</v>
      </c>
      <c r="AP72">
        <v>9.8000000000000007</v>
      </c>
      <c r="AQ72">
        <v>21.1</v>
      </c>
      <c r="AR72">
        <v>4.5999999999999996</v>
      </c>
      <c r="AS72">
        <v>2.2000000000000002</v>
      </c>
      <c r="AT72">
        <v>6.8</v>
      </c>
      <c r="AU72">
        <v>0.158</v>
      </c>
      <c r="AV72">
        <v>2.4</v>
      </c>
      <c r="AW72">
        <v>-0.3</v>
      </c>
      <c r="AX72">
        <v>2.1</v>
      </c>
      <c r="AY72">
        <v>2.1</v>
      </c>
      <c r="AZ72" s="8">
        <v>4.45</v>
      </c>
      <c r="BA72" s="8">
        <v>0.21507029971472011</v>
      </c>
      <c r="BB72" s="3">
        <v>0</v>
      </c>
    </row>
    <row r="73" spans="1:54" x14ac:dyDescent="0.25">
      <c r="A73" t="s">
        <v>139</v>
      </c>
      <c r="B73" s="2">
        <v>20100000</v>
      </c>
      <c r="C73" t="s">
        <v>62</v>
      </c>
      <c r="D73">
        <v>26</v>
      </c>
      <c r="E73" t="s">
        <v>60</v>
      </c>
      <c r="F73">
        <v>83</v>
      </c>
      <c r="G73">
        <v>83</v>
      </c>
      <c r="H73">
        <v>35.700000000000003</v>
      </c>
      <c r="I73">
        <v>7.1</v>
      </c>
      <c r="J73">
        <v>15.3</v>
      </c>
      <c r="K73">
        <v>0.46800000000000003</v>
      </c>
      <c r="L73">
        <v>2</v>
      </c>
      <c r="M73">
        <v>5.3</v>
      </c>
      <c r="N73">
        <v>0.38200000000000001</v>
      </c>
      <c r="O73">
        <v>5.0999999999999996</v>
      </c>
      <c r="P73">
        <v>9.9</v>
      </c>
      <c r="Q73">
        <v>0.51400000000000001</v>
      </c>
      <c r="R73">
        <v>0.53500000000000003</v>
      </c>
      <c r="S73">
        <v>3.8</v>
      </c>
      <c r="T73">
        <v>4.3</v>
      </c>
      <c r="U73">
        <v>0.89500000000000002</v>
      </c>
      <c r="V73">
        <v>1</v>
      </c>
      <c r="W73">
        <v>3.4</v>
      </c>
      <c r="X73">
        <v>4.4000000000000004</v>
      </c>
      <c r="Y73">
        <v>3.3</v>
      </c>
      <c r="Z73">
        <v>1.1000000000000001</v>
      </c>
      <c r="AA73">
        <v>0.7</v>
      </c>
      <c r="AB73">
        <v>1.5</v>
      </c>
      <c r="AC73">
        <v>1.9</v>
      </c>
      <c r="AD73">
        <v>20.100000000000001</v>
      </c>
      <c r="AE73">
        <v>2963</v>
      </c>
      <c r="AF73">
        <v>16.8</v>
      </c>
      <c r="AG73">
        <v>0.58699999999999997</v>
      </c>
      <c r="AH73">
        <v>0.34899999999999998</v>
      </c>
      <c r="AI73">
        <v>0.27900000000000003</v>
      </c>
      <c r="AJ73">
        <v>2.9</v>
      </c>
      <c r="AK73">
        <v>10.8</v>
      </c>
      <c r="AL73">
        <v>6.8</v>
      </c>
      <c r="AM73">
        <v>13.7</v>
      </c>
      <c r="AN73">
        <v>1.5</v>
      </c>
      <c r="AO73">
        <v>1.8</v>
      </c>
      <c r="AP73">
        <v>8.1999999999999993</v>
      </c>
      <c r="AQ73">
        <v>22.6</v>
      </c>
      <c r="AR73">
        <v>4.4000000000000004</v>
      </c>
      <c r="AS73">
        <v>3.1</v>
      </c>
      <c r="AT73">
        <v>7.5</v>
      </c>
      <c r="AU73">
        <v>0.121</v>
      </c>
      <c r="AV73">
        <v>1.5</v>
      </c>
      <c r="AW73">
        <v>0.2</v>
      </c>
      <c r="AX73">
        <v>1.7</v>
      </c>
      <c r="AY73">
        <v>2.8</v>
      </c>
      <c r="AZ73" s="8">
        <v>4.5999999999999996</v>
      </c>
      <c r="BA73" s="8">
        <v>0.22885572139303484</v>
      </c>
      <c r="BB73" s="3">
        <v>0</v>
      </c>
    </row>
    <row r="74" spans="1:54" x14ac:dyDescent="0.25">
      <c r="A74" t="s">
        <v>140</v>
      </c>
      <c r="B74" s="2">
        <v>20000000</v>
      </c>
      <c r="C74" t="s">
        <v>75</v>
      </c>
      <c r="D74">
        <v>24</v>
      </c>
      <c r="E74" t="s">
        <v>107</v>
      </c>
      <c r="F74">
        <v>68</v>
      </c>
      <c r="G74">
        <v>68</v>
      </c>
      <c r="H74">
        <v>32.6</v>
      </c>
      <c r="I74">
        <v>5.9</v>
      </c>
      <c r="J74">
        <v>9.1999999999999993</v>
      </c>
      <c r="K74">
        <v>0.64400000000000002</v>
      </c>
      <c r="L74">
        <v>0</v>
      </c>
      <c r="M74">
        <v>0.1</v>
      </c>
      <c r="N74">
        <v>0.1</v>
      </c>
      <c r="O74">
        <v>5.9</v>
      </c>
      <c r="P74">
        <v>9.1</v>
      </c>
      <c r="Q74">
        <v>0.65300000000000002</v>
      </c>
      <c r="R74">
        <v>0.64500000000000002</v>
      </c>
      <c r="S74">
        <v>2.4</v>
      </c>
      <c r="T74">
        <v>3.3</v>
      </c>
      <c r="U74">
        <v>0.73299999999999998</v>
      </c>
      <c r="V74">
        <v>3.3</v>
      </c>
      <c r="W74">
        <v>6.5</v>
      </c>
      <c r="X74">
        <v>9.8000000000000007</v>
      </c>
      <c r="Y74">
        <v>1.7</v>
      </c>
      <c r="Z74">
        <v>0.8</v>
      </c>
      <c r="AA74">
        <v>1.2</v>
      </c>
      <c r="AB74">
        <v>1.4</v>
      </c>
      <c r="AC74">
        <v>2.2999999999999998</v>
      </c>
      <c r="AD74">
        <v>14.3</v>
      </c>
      <c r="AE74">
        <v>2220</v>
      </c>
      <c r="AF74">
        <v>19.899999999999999</v>
      </c>
      <c r="AG74">
        <v>0.67</v>
      </c>
      <c r="AH74">
        <v>1.6E-2</v>
      </c>
      <c r="AI74">
        <v>0.35299999999999998</v>
      </c>
      <c r="AJ74">
        <v>11.7</v>
      </c>
      <c r="AK74">
        <v>23.6</v>
      </c>
      <c r="AL74">
        <v>17.7</v>
      </c>
      <c r="AM74">
        <v>7.5</v>
      </c>
      <c r="AN74">
        <v>1.2</v>
      </c>
      <c r="AO74">
        <v>3.5</v>
      </c>
      <c r="AP74">
        <v>11.4</v>
      </c>
      <c r="AQ74">
        <v>16.399999999999999</v>
      </c>
      <c r="AR74">
        <v>5.5</v>
      </c>
      <c r="AS74">
        <v>4</v>
      </c>
      <c r="AT74">
        <v>9.5</v>
      </c>
      <c r="AU74">
        <v>0.20499999999999999</v>
      </c>
      <c r="AV74">
        <v>1.3</v>
      </c>
      <c r="AW74">
        <v>1</v>
      </c>
      <c r="AX74">
        <v>2.4</v>
      </c>
      <c r="AY74">
        <v>2.4</v>
      </c>
      <c r="AZ74" s="8">
        <v>5.95</v>
      </c>
      <c r="BA74" s="8">
        <v>0.29749999999999999</v>
      </c>
      <c r="BB74" s="3">
        <v>0</v>
      </c>
    </row>
    <row r="75" spans="1:54" x14ac:dyDescent="0.25">
      <c r="A75" t="s">
        <v>141</v>
      </c>
      <c r="B75" s="2">
        <v>19700319</v>
      </c>
      <c r="C75" t="s">
        <v>28</v>
      </c>
      <c r="D75">
        <v>34</v>
      </c>
      <c r="E75" t="s">
        <v>55</v>
      </c>
      <c r="F75">
        <v>78</v>
      </c>
      <c r="G75">
        <v>19</v>
      </c>
      <c r="H75">
        <v>21.9</v>
      </c>
      <c r="I75">
        <v>2.1</v>
      </c>
      <c r="J75">
        <v>4.9000000000000004</v>
      </c>
      <c r="K75">
        <v>0.42</v>
      </c>
      <c r="L75">
        <v>1.6</v>
      </c>
      <c r="M75">
        <v>4.0999999999999996</v>
      </c>
      <c r="N75">
        <v>0.39100000000000001</v>
      </c>
      <c r="O75">
        <v>0.5</v>
      </c>
      <c r="P75">
        <v>0.8</v>
      </c>
      <c r="Q75">
        <v>0.56299999999999994</v>
      </c>
      <c r="R75">
        <v>0.58299999999999996</v>
      </c>
      <c r="S75">
        <v>0.4</v>
      </c>
      <c r="T75">
        <v>0.6</v>
      </c>
      <c r="U75">
        <v>0.70799999999999996</v>
      </c>
      <c r="V75">
        <v>0.8</v>
      </c>
      <c r="W75">
        <v>3</v>
      </c>
      <c r="X75">
        <v>3.8</v>
      </c>
      <c r="Y75">
        <v>1.6</v>
      </c>
      <c r="Z75">
        <v>0.7</v>
      </c>
      <c r="AA75">
        <v>0.6</v>
      </c>
      <c r="AB75">
        <v>0.6</v>
      </c>
      <c r="AC75">
        <v>1.9</v>
      </c>
      <c r="AD75">
        <v>6.1</v>
      </c>
      <c r="AE75">
        <v>1709</v>
      </c>
      <c r="AF75">
        <v>11</v>
      </c>
      <c r="AG75">
        <v>0.59399999999999997</v>
      </c>
      <c r="AH75">
        <v>0.83199999999999996</v>
      </c>
      <c r="AI75">
        <v>0.126</v>
      </c>
      <c r="AJ75">
        <v>4.0999999999999996</v>
      </c>
      <c r="AK75">
        <v>15.4</v>
      </c>
      <c r="AL75">
        <v>9.8000000000000007</v>
      </c>
      <c r="AM75">
        <v>9.4</v>
      </c>
      <c r="AN75">
        <v>1.5</v>
      </c>
      <c r="AO75">
        <v>2.2999999999999998</v>
      </c>
      <c r="AP75">
        <v>11.1</v>
      </c>
      <c r="AQ75">
        <v>11.5</v>
      </c>
      <c r="AR75">
        <v>1.7</v>
      </c>
      <c r="AS75">
        <v>1.9</v>
      </c>
      <c r="AT75">
        <v>3.6</v>
      </c>
      <c r="AU75">
        <v>0.10100000000000001</v>
      </c>
      <c r="AV75">
        <v>-0.8</v>
      </c>
      <c r="AW75">
        <v>1.2</v>
      </c>
      <c r="AX75">
        <v>0.5</v>
      </c>
      <c r="AY75">
        <v>1</v>
      </c>
      <c r="AZ75" s="8">
        <v>2.0499999999999998</v>
      </c>
      <c r="BA75" s="8">
        <v>0.10405922868558624</v>
      </c>
      <c r="BB75" s="3">
        <v>0</v>
      </c>
    </row>
    <row r="76" spans="1:54" x14ac:dyDescent="0.25">
      <c r="A76" t="s">
        <v>142</v>
      </c>
      <c r="B76" s="2">
        <v>19568360</v>
      </c>
      <c r="C76" t="s">
        <v>62</v>
      </c>
      <c r="D76">
        <v>34</v>
      </c>
      <c r="E76" t="s">
        <v>55</v>
      </c>
      <c r="F76">
        <v>69</v>
      </c>
      <c r="G76">
        <v>58</v>
      </c>
      <c r="H76">
        <v>28.5</v>
      </c>
      <c r="I76">
        <v>4.2</v>
      </c>
      <c r="J76">
        <v>9.5</v>
      </c>
      <c r="K76">
        <v>0.44600000000000001</v>
      </c>
      <c r="L76">
        <v>1.9</v>
      </c>
      <c r="M76">
        <v>5.2</v>
      </c>
      <c r="N76">
        <v>0.371</v>
      </c>
      <c r="O76">
        <v>2.2999999999999998</v>
      </c>
      <c r="P76">
        <v>4.3</v>
      </c>
      <c r="Q76">
        <v>0.53500000000000003</v>
      </c>
      <c r="R76">
        <v>0.54700000000000004</v>
      </c>
      <c r="S76">
        <v>2.1</v>
      </c>
      <c r="T76">
        <v>2.5</v>
      </c>
      <c r="U76">
        <v>0.82099999999999995</v>
      </c>
      <c r="V76">
        <v>0.2</v>
      </c>
      <c r="W76">
        <v>1.7</v>
      </c>
      <c r="X76">
        <v>1.9</v>
      </c>
      <c r="Y76">
        <v>2.7</v>
      </c>
      <c r="Z76">
        <v>0.6</v>
      </c>
      <c r="AA76">
        <v>0.4</v>
      </c>
      <c r="AB76">
        <v>1.5</v>
      </c>
      <c r="AC76">
        <v>1.1000000000000001</v>
      </c>
      <c r="AD76">
        <v>12.4</v>
      </c>
      <c r="AE76">
        <v>1965</v>
      </c>
      <c r="AF76">
        <v>11.8</v>
      </c>
      <c r="AG76">
        <v>0.58699999999999997</v>
      </c>
      <c r="AH76">
        <v>0.54500000000000004</v>
      </c>
      <c r="AI76">
        <v>0.26500000000000001</v>
      </c>
      <c r="AJ76">
        <v>0.9</v>
      </c>
      <c r="AK76">
        <v>6.7</v>
      </c>
      <c r="AL76">
        <v>3.8</v>
      </c>
      <c r="AM76">
        <v>13.4</v>
      </c>
      <c r="AN76">
        <v>1.1000000000000001</v>
      </c>
      <c r="AO76">
        <v>1.2</v>
      </c>
      <c r="AP76">
        <v>12.5</v>
      </c>
      <c r="AQ76">
        <v>17.8</v>
      </c>
      <c r="AR76">
        <v>1.8</v>
      </c>
      <c r="AS76">
        <v>0.5</v>
      </c>
      <c r="AT76">
        <v>2.2999999999999998</v>
      </c>
      <c r="AU76">
        <v>5.6000000000000001E-2</v>
      </c>
      <c r="AV76">
        <v>-0.5</v>
      </c>
      <c r="AW76">
        <v>-1.4</v>
      </c>
      <c r="AX76">
        <v>-1.9</v>
      </c>
      <c r="AY76">
        <v>0.1</v>
      </c>
      <c r="AZ76" s="8">
        <v>0.19999999999999996</v>
      </c>
      <c r="BA76" s="8">
        <v>1.0220580569858688E-2</v>
      </c>
      <c r="BB76" s="3">
        <v>0</v>
      </c>
    </row>
    <row r="77" spans="1:54" x14ac:dyDescent="0.25">
      <c r="A77" t="s">
        <v>143</v>
      </c>
      <c r="B77" s="2">
        <v>19500000</v>
      </c>
      <c r="C77" t="s">
        <v>52</v>
      </c>
      <c r="D77">
        <v>29</v>
      </c>
      <c r="E77" t="s">
        <v>73</v>
      </c>
      <c r="F77">
        <v>79</v>
      </c>
      <c r="G77">
        <v>79</v>
      </c>
      <c r="H77">
        <v>34.5</v>
      </c>
      <c r="I77">
        <v>5.8</v>
      </c>
      <c r="J77">
        <v>13.3</v>
      </c>
      <c r="K77">
        <v>0.438</v>
      </c>
      <c r="L77">
        <v>2.2999999999999998</v>
      </c>
      <c r="M77">
        <v>6.2</v>
      </c>
      <c r="N77">
        <v>0.36899999999999999</v>
      </c>
      <c r="O77">
        <v>3.5</v>
      </c>
      <c r="P77">
        <v>7.1</v>
      </c>
      <c r="Q77">
        <v>0.498</v>
      </c>
      <c r="R77">
        <v>0.52400000000000002</v>
      </c>
      <c r="S77">
        <v>3.4</v>
      </c>
      <c r="T77">
        <v>4.2</v>
      </c>
      <c r="U77">
        <v>0.81200000000000006</v>
      </c>
      <c r="V77">
        <v>0.4</v>
      </c>
      <c r="W77">
        <v>3.1</v>
      </c>
      <c r="X77">
        <v>3.4</v>
      </c>
      <c r="Y77">
        <v>6.5</v>
      </c>
      <c r="Z77">
        <v>0.8</v>
      </c>
      <c r="AA77">
        <v>0.3</v>
      </c>
      <c r="AB77">
        <v>1.8</v>
      </c>
      <c r="AC77">
        <v>2.4</v>
      </c>
      <c r="AD77">
        <v>17.3</v>
      </c>
      <c r="AE77">
        <v>2725</v>
      </c>
      <c r="AF77">
        <v>16</v>
      </c>
      <c r="AG77">
        <v>0.57299999999999995</v>
      </c>
      <c r="AH77">
        <v>0.46700000000000003</v>
      </c>
      <c r="AI77">
        <v>0.314</v>
      </c>
      <c r="AJ77">
        <v>1.2</v>
      </c>
      <c r="AK77">
        <v>10.199999999999999</v>
      </c>
      <c r="AL77">
        <v>5.7</v>
      </c>
      <c r="AM77">
        <v>28.1</v>
      </c>
      <c r="AN77">
        <v>1.2</v>
      </c>
      <c r="AO77">
        <v>0.8</v>
      </c>
      <c r="AP77">
        <v>10.8</v>
      </c>
      <c r="AQ77">
        <v>22.1</v>
      </c>
      <c r="AR77">
        <v>4.5</v>
      </c>
      <c r="AS77">
        <v>1.8</v>
      </c>
      <c r="AT77">
        <v>6.3</v>
      </c>
      <c r="AU77">
        <v>0.111</v>
      </c>
      <c r="AV77">
        <v>1.6</v>
      </c>
      <c r="AW77">
        <v>-0.9</v>
      </c>
      <c r="AX77">
        <v>0.7</v>
      </c>
      <c r="AY77">
        <v>1.8</v>
      </c>
      <c r="AZ77" s="8">
        <v>3.5</v>
      </c>
      <c r="BA77" s="8">
        <v>0.17948717948717949</v>
      </c>
      <c r="BB77" s="3">
        <v>0</v>
      </c>
    </row>
    <row r="78" spans="1:54" x14ac:dyDescent="0.25">
      <c r="A78" t="s">
        <v>144</v>
      </c>
      <c r="B78" s="2">
        <v>18796296</v>
      </c>
      <c r="C78" t="s">
        <v>62</v>
      </c>
      <c r="D78">
        <v>28</v>
      </c>
      <c r="E78" t="s">
        <v>107</v>
      </c>
      <c r="F78">
        <v>74</v>
      </c>
      <c r="G78">
        <v>30</v>
      </c>
      <c r="H78">
        <v>30.2</v>
      </c>
      <c r="I78">
        <v>4.3</v>
      </c>
      <c r="J78">
        <v>10</v>
      </c>
      <c r="K78">
        <v>0.43099999999999999</v>
      </c>
      <c r="L78">
        <v>1.7</v>
      </c>
      <c r="M78">
        <v>4.4000000000000004</v>
      </c>
      <c r="N78">
        <v>0.39200000000000002</v>
      </c>
      <c r="O78">
        <v>2.6</v>
      </c>
      <c r="P78">
        <v>5.6</v>
      </c>
      <c r="Q78">
        <v>0.46200000000000002</v>
      </c>
      <c r="R78">
        <v>0.51700000000000002</v>
      </c>
      <c r="S78">
        <v>1.8</v>
      </c>
      <c r="T78">
        <v>2.4</v>
      </c>
      <c r="U78">
        <v>0.72199999999999998</v>
      </c>
      <c r="V78">
        <v>0.7</v>
      </c>
      <c r="W78">
        <v>3.1</v>
      </c>
      <c r="X78">
        <v>3.8</v>
      </c>
      <c r="Y78">
        <v>3.9</v>
      </c>
      <c r="Z78">
        <v>1</v>
      </c>
      <c r="AA78">
        <v>0.3</v>
      </c>
      <c r="AB78">
        <v>1.6</v>
      </c>
      <c r="AC78">
        <v>2.2999999999999998</v>
      </c>
      <c r="AD78">
        <v>12.1</v>
      </c>
      <c r="AE78">
        <v>2237</v>
      </c>
      <c r="AF78">
        <v>12.4</v>
      </c>
      <c r="AG78">
        <v>0.54600000000000004</v>
      </c>
      <c r="AH78">
        <v>0.437</v>
      </c>
      <c r="AI78">
        <v>0.24299999999999999</v>
      </c>
      <c r="AJ78">
        <v>2.8</v>
      </c>
      <c r="AK78">
        <v>12.1</v>
      </c>
      <c r="AL78">
        <v>7.4</v>
      </c>
      <c r="AM78">
        <v>18</v>
      </c>
      <c r="AN78">
        <v>1.6</v>
      </c>
      <c r="AO78">
        <v>1</v>
      </c>
      <c r="AP78">
        <v>12.4</v>
      </c>
      <c r="AQ78">
        <v>18.7</v>
      </c>
      <c r="AR78">
        <v>1.4</v>
      </c>
      <c r="AS78">
        <v>3.1</v>
      </c>
      <c r="AT78">
        <v>4.4000000000000004</v>
      </c>
      <c r="AU78">
        <v>9.5000000000000001E-2</v>
      </c>
      <c r="AV78">
        <v>-1</v>
      </c>
      <c r="AW78">
        <v>0.8</v>
      </c>
      <c r="AX78">
        <v>-0.2</v>
      </c>
      <c r="AY78">
        <v>1</v>
      </c>
      <c r="AZ78" s="8">
        <v>2.1</v>
      </c>
      <c r="BA78" s="8">
        <v>0.11172413969220318</v>
      </c>
      <c r="BB78" s="3">
        <v>0</v>
      </c>
    </row>
    <row r="79" spans="1:54" x14ac:dyDescent="0.25">
      <c r="A79" t="s">
        <v>145</v>
      </c>
      <c r="B79" s="2">
        <v>18642857</v>
      </c>
      <c r="C79" t="s">
        <v>65</v>
      </c>
      <c r="D79">
        <v>31</v>
      </c>
      <c r="E79" t="s">
        <v>89</v>
      </c>
      <c r="F79">
        <v>74</v>
      </c>
      <c r="G79">
        <v>33</v>
      </c>
      <c r="H79">
        <v>20.6</v>
      </c>
      <c r="I79">
        <v>2.7</v>
      </c>
      <c r="J79">
        <v>5.9</v>
      </c>
      <c r="K79">
        <v>0.45700000000000002</v>
      </c>
      <c r="L79">
        <v>1.9</v>
      </c>
      <c r="M79">
        <v>4.5</v>
      </c>
      <c r="N79">
        <v>0.42599999999999999</v>
      </c>
      <c r="O79">
        <v>0.8</v>
      </c>
      <c r="P79">
        <v>1.4</v>
      </c>
      <c r="Q79">
        <v>0.55100000000000005</v>
      </c>
      <c r="R79">
        <v>0.61799999999999999</v>
      </c>
      <c r="S79">
        <v>0.2</v>
      </c>
      <c r="T79">
        <v>0.4</v>
      </c>
      <c r="U79">
        <v>0.64300000000000002</v>
      </c>
      <c r="V79">
        <v>0.3</v>
      </c>
      <c r="W79">
        <v>1.9</v>
      </c>
      <c r="X79">
        <v>2.2000000000000002</v>
      </c>
      <c r="Y79">
        <v>1.4</v>
      </c>
      <c r="Z79">
        <v>0.5</v>
      </c>
      <c r="AA79">
        <v>0.2</v>
      </c>
      <c r="AB79">
        <v>0.6</v>
      </c>
      <c r="AC79">
        <v>1.9</v>
      </c>
      <c r="AD79">
        <v>7.6</v>
      </c>
      <c r="AE79">
        <v>1527</v>
      </c>
      <c r="AF79">
        <v>10.6</v>
      </c>
      <c r="AG79">
        <v>0.621</v>
      </c>
      <c r="AH79">
        <v>0.75700000000000001</v>
      </c>
      <c r="AI79">
        <v>6.4000000000000001E-2</v>
      </c>
      <c r="AJ79">
        <v>1.7</v>
      </c>
      <c r="AK79">
        <v>10.1</v>
      </c>
      <c r="AL79">
        <v>6</v>
      </c>
      <c r="AM79">
        <v>9.1</v>
      </c>
      <c r="AN79">
        <v>1.1000000000000001</v>
      </c>
      <c r="AO79">
        <v>0.7</v>
      </c>
      <c r="AP79">
        <v>8.3000000000000007</v>
      </c>
      <c r="AQ79">
        <v>14.3</v>
      </c>
      <c r="AR79">
        <v>1.5</v>
      </c>
      <c r="AS79">
        <v>1.1000000000000001</v>
      </c>
      <c r="AT79">
        <v>2.6</v>
      </c>
      <c r="AU79">
        <v>8.3000000000000004E-2</v>
      </c>
      <c r="AV79">
        <v>-0.6</v>
      </c>
      <c r="AW79">
        <v>-0.6</v>
      </c>
      <c r="AX79">
        <v>-1.1000000000000001</v>
      </c>
      <c r="AY79">
        <v>0.3</v>
      </c>
      <c r="AZ79" s="8">
        <v>0.75</v>
      </c>
      <c r="BA79" s="8">
        <v>4.0229885365746246E-2</v>
      </c>
      <c r="BB79" s="3">
        <v>0</v>
      </c>
    </row>
    <row r="80" spans="1:54" x14ac:dyDescent="0.25">
      <c r="A80" t="s">
        <v>146</v>
      </c>
      <c r="B80" s="2">
        <v>18352273</v>
      </c>
      <c r="C80" t="s">
        <v>28</v>
      </c>
      <c r="D80">
        <v>30</v>
      </c>
      <c r="E80" t="s">
        <v>116</v>
      </c>
      <c r="F80">
        <v>82</v>
      </c>
      <c r="G80">
        <v>82</v>
      </c>
      <c r="H80">
        <v>32.5</v>
      </c>
      <c r="I80">
        <v>4.5999999999999996</v>
      </c>
      <c r="J80">
        <v>9.6</v>
      </c>
      <c r="K80">
        <v>0.47299999999999998</v>
      </c>
      <c r="L80">
        <v>1.6</v>
      </c>
      <c r="M80">
        <v>4.3</v>
      </c>
      <c r="N80">
        <v>0.374</v>
      </c>
      <c r="O80">
        <v>3</v>
      </c>
      <c r="P80">
        <v>5.3</v>
      </c>
      <c r="Q80">
        <v>0.55300000000000005</v>
      </c>
      <c r="R80">
        <v>0.55600000000000005</v>
      </c>
      <c r="S80">
        <v>4.3</v>
      </c>
      <c r="T80">
        <v>5</v>
      </c>
      <c r="U80">
        <v>0.84699999999999998</v>
      </c>
      <c r="V80">
        <v>1.1000000000000001</v>
      </c>
      <c r="W80">
        <v>3.4</v>
      </c>
      <c r="X80">
        <v>4.5</v>
      </c>
      <c r="Y80">
        <v>1.6</v>
      </c>
      <c r="Z80">
        <v>0.7</v>
      </c>
      <c r="AA80">
        <v>0.1</v>
      </c>
      <c r="AB80">
        <v>1</v>
      </c>
      <c r="AC80">
        <v>1.3</v>
      </c>
      <c r="AD80">
        <v>15</v>
      </c>
      <c r="AE80">
        <v>2662</v>
      </c>
      <c r="AF80">
        <v>14.1</v>
      </c>
      <c r="AG80">
        <v>0.63200000000000001</v>
      </c>
      <c r="AH80">
        <v>0.44600000000000001</v>
      </c>
      <c r="AI80">
        <v>0.52200000000000002</v>
      </c>
      <c r="AJ80">
        <v>3.8</v>
      </c>
      <c r="AK80">
        <v>11.9</v>
      </c>
      <c r="AL80">
        <v>7.9</v>
      </c>
      <c r="AM80">
        <v>6.3</v>
      </c>
      <c r="AN80">
        <v>1</v>
      </c>
      <c r="AO80">
        <v>0.3</v>
      </c>
      <c r="AP80">
        <v>8.1</v>
      </c>
      <c r="AQ80">
        <v>17.100000000000001</v>
      </c>
      <c r="AR80">
        <v>5.0999999999999996</v>
      </c>
      <c r="AS80">
        <v>1.4</v>
      </c>
      <c r="AT80">
        <v>6.5</v>
      </c>
      <c r="AU80">
        <v>0.11799999999999999</v>
      </c>
      <c r="AV80">
        <v>0.5</v>
      </c>
      <c r="AW80">
        <v>-1.5</v>
      </c>
      <c r="AX80">
        <v>-1</v>
      </c>
      <c r="AY80">
        <v>0.7</v>
      </c>
      <c r="AZ80" s="8">
        <v>2.75</v>
      </c>
      <c r="BA80" s="8">
        <v>0.14984519901158838</v>
      </c>
      <c r="BB80" s="3">
        <v>0</v>
      </c>
    </row>
    <row r="81" spans="1:54" x14ac:dyDescent="0.25">
      <c r="A81" t="s">
        <v>147</v>
      </c>
      <c r="B81" s="2">
        <v>18206896</v>
      </c>
      <c r="C81" t="s">
        <v>75</v>
      </c>
      <c r="D81">
        <v>28</v>
      </c>
      <c r="E81" t="s">
        <v>85</v>
      </c>
      <c r="F81">
        <v>65</v>
      </c>
      <c r="G81">
        <v>63</v>
      </c>
      <c r="H81">
        <v>26.6</v>
      </c>
      <c r="I81">
        <v>5.4</v>
      </c>
      <c r="J81">
        <v>8.1999999999999993</v>
      </c>
      <c r="K81">
        <v>0.65300000000000002</v>
      </c>
      <c r="L81">
        <v>0</v>
      </c>
      <c r="M81">
        <v>0</v>
      </c>
      <c r="N81">
        <v>0</v>
      </c>
      <c r="O81">
        <v>5.4</v>
      </c>
      <c r="P81">
        <v>8.1999999999999993</v>
      </c>
      <c r="Q81">
        <v>0.65400000000000003</v>
      </c>
      <c r="R81">
        <v>0.65300000000000002</v>
      </c>
      <c r="S81">
        <v>1.2</v>
      </c>
      <c r="T81">
        <v>2</v>
      </c>
      <c r="U81">
        <v>0.60299999999999998</v>
      </c>
      <c r="V81">
        <v>4</v>
      </c>
      <c r="W81">
        <v>7.1</v>
      </c>
      <c r="X81">
        <v>11</v>
      </c>
      <c r="Y81">
        <v>0.9</v>
      </c>
      <c r="Z81">
        <v>0.7</v>
      </c>
      <c r="AA81">
        <v>1.2</v>
      </c>
      <c r="AB81">
        <v>0.8</v>
      </c>
      <c r="AC81">
        <v>2.1</v>
      </c>
      <c r="AD81">
        <v>12</v>
      </c>
      <c r="AE81">
        <v>1730</v>
      </c>
      <c r="AF81">
        <v>22.1</v>
      </c>
      <c r="AG81">
        <v>0.65600000000000003</v>
      </c>
      <c r="AH81">
        <v>2E-3</v>
      </c>
      <c r="AI81">
        <v>0.24399999999999999</v>
      </c>
      <c r="AJ81">
        <v>16.100000000000001</v>
      </c>
      <c r="AK81">
        <v>29.4</v>
      </c>
      <c r="AL81">
        <v>22.7</v>
      </c>
      <c r="AM81">
        <v>4.7</v>
      </c>
      <c r="AN81">
        <v>1.2</v>
      </c>
      <c r="AO81">
        <v>3.9</v>
      </c>
      <c r="AP81">
        <v>8.3000000000000007</v>
      </c>
      <c r="AQ81">
        <v>15.7</v>
      </c>
      <c r="AR81">
        <v>4.9000000000000004</v>
      </c>
      <c r="AS81">
        <v>2.4</v>
      </c>
      <c r="AT81">
        <v>7.2</v>
      </c>
      <c r="AU81">
        <v>0.20100000000000001</v>
      </c>
      <c r="AV81">
        <v>2.2999999999999998</v>
      </c>
      <c r="AW81">
        <v>-0.1</v>
      </c>
      <c r="AX81">
        <v>2.2000000000000002</v>
      </c>
      <c r="AY81">
        <v>1.8</v>
      </c>
      <c r="AZ81" s="8">
        <v>4.7</v>
      </c>
      <c r="BA81" s="8">
        <v>0.25814394721648326</v>
      </c>
      <c r="BB81" s="3">
        <v>0</v>
      </c>
    </row>
    <row r="82" spans="1:54" x14ac:dyDescent="0.25">
      <c r="A82" t="s">
        <v>149</v>
      </c>
      <c r="B82" s="2">
        <v>17926829</v>
      </c>
      <c r="C82" t="s">
        <v>75</v>
      </c>
      <c r="D82">
        <v>29</v>
      </c>
      <c r="E82" t="s">
        <v>150</v>
      </c>
      <c r="F82">
        <v>42</v>
      </c>
      <c r="G82">
        <v>42</v>
      </c>
      <c r="H82">
        <v>27</v>
      </c>
      <c r="I82">
        <v>3.7</v>
      </c>
      <c r="J82">
        <v>6.3</v>
      </c>
      <c r="K82">
        <v>0.59699999999999998</v>
      </c>
      <c r="L82">
        <v>0</v>
      </c>
      <c r="M82">
        <v>0</v>
      </c>
      <c r="N82">
        <v>0</v>
      </c>
      <c r="O82">
        <v>3.7</v>
      </c>
      <c r="P82">
        <v>6.2</v>
      </c>
      <c r="Q82">
        <v>0.59899999999999998</v>
      </c>
      <c r="R82">
        <v>0.59699999999999998</v>
      </c>
      <c r="S82">
        <v>1.1000000000000001</v>
      </c>
      <c r="T82">
        <v>3.1</v>
      </c>
      <c r="U82">
        <v>0.36399999999999999</v>
      </c>
      <c r="V82">
        <v>5.0999999999999996</v>
      </c>
      <c r="W82">
        <v>6.5</v>
      </c>
      <c r="X82">
        <v>11.5</v>
      </c>
      <c r="Y82">
        <v>2.2999999999999998</v>
      </c>
      <c r="Z82">
        <v>0.9</v>
      </c>
      <c r="AA82">
        <v>1.1000000000000001</v>
      </c>
      <c r="AB82">
        <v>1.9</v>
      </c>
      <c r="AC82">
        <v>2.2999999999999998</v>
      </c>
      <c r="AD82">
        <v>8.6</v>
      </c>
      <c r="AE82">
        <v>1133</v>
      </c>
      <c r="AF82">
        <v>17.5</v>
      </c>
      <c r="AG82">
        <v>0.56399999999999995</v>
      </c>
      <c r="AH82">
        <v>4.0000000000000001E-3</v>
      </c>
      <c r="AI82">
        <v>0.49</v>
      </c>
      <c r="AJ82">
        <v>20.100000000000001</v>
      </c>
      <c r="AK82">
        <v>25.3</v>
      </c>
      <c r="AL82">
        <v>22.7</v>
      </c>
      <c r="AM82">
        <v>11.2</v>
      </c>
      <c r="AN82">
        <v>1.5</v>
      </c>
      <c r="AO82">
        <v>3.7</v>
      </c>
      <c r="AP82">
        <v>19.8</v>
      </c>
      <c r="AQ82">
        <v>14.6</v>
      </c>
      <c r="AR82">
        <v>1.3</v>
      </c>
      <c r="AS82">
        <v>2.1</v>
      </c>
      <c r="AT82">
        <v>3.4</v>
      </c>
      <c r="AU82">
        <v>0.14399999999999999</v>
      </c>
      <c r="AV82">
        <v>-0.3</v>
      </c>
      <c r="AW82">
        <v>0.9</v>
      </c>
      <c r="AX82">
        <v>0.6</v>
      </c>
      <c r="AY82">
        <v>0.7</v>
      </c>
      <c r="AZ82" s="8">
        <v>2</v>
      </c>
      <c r="BA82" s="8">
        <v>0.11156462752001484</v>
      </c>
      <c r="BB82" s="3">
        <v>0</v>
      </c>
    </row>
    <row r="83" spans="1:54" x14ac:dyDescent="0.25">
      <c r="A83" t="s">
        <v>153</v>
      </c>
      <c r="B83" s="2">
        <v>17357143</v>
      </c>
      <c r="C83" t="s">
        <v>65</v>
      </c>
      <c r="D83">
        <v>25</v>
      </c>
      <c r="E83" t="s">
        <v>91</v>
      </c>
      <c r="F83">
        <v>67</v>
      </c>
      <c r="G83">
        <v>67</v>
      </c>
      <c r="H83">
        <v>35.6</v>
      </c>
      <c r="I83">
        <v>6.3</v>
      </c>
      <c r="J83">
        <v>13.2</v>
      </c>
      <c r="K83">
        <v>0.47599999999999998</v>
      </c>
      <c r="L83">
        <v>2.1</v>
      </c>
      <c r="M83">
        <v>5.5</v>
      </c>
      <c r="N83">
        <v>0.38700000000000001</v>
      </c>
      <c r="O83">
        <v>4.2</v>
      </c>
      <c r="P83">
        <v>7.7</v>
      </c>
      <c r="Q83">
        <v>0.53900000000000003</v>
      </c>
      <c r="R83">
        <v>0.55600000000000005</v>
      </c>
      <c r="S83">
        <v>2.1</v>
      </c>
      <c r="T83">
        <v>2.5</v>
      </c>
      <c r="U83">
        <v>0.83799999999999997</v>
      </c>
      <c r="V83">
        <v>1.4</v>
      </c>
      <c r="W83">
        <v>3.5</v>
      </c>
      <c r="X83">
        <v>5</v>
      </c>
      <c r="Y83">
        <v>2</v>
      </c>
      <c r="Z83">
        <v>1.9</v>
      </c>
      <c r="AA83">
        <v>0.7</v>
      </c>
      <c r="AB83">
        <v>2</v>
      </c>
      <c r="AC83">
        <v>3</v>
      </c>
      <c r="AD83">
        <v>16.8</v>
      </c>
      <c r="AE83">
        <v>2386</v>
      </c>
      <c r="AF83">
        <v>14.6</v>
      </c>
      <c r="AG83">
        <v>0.58599999999999997</v>
      </c>
      <c r="AH83">
        <v>0.41499999999999998</v>
      </c>
      <c r="AI83">
        <v>0.189</v>
      </c>
      <c r="AJ83">
        <v>4.2</v>
      </c>
      <c r="AK83">
        <v>12.1</v>
      </c>
      <c r="AL83">
        <v>7.9</v>
      </c>
      <c r="AM83">
        <v>8</v>
      </c>
      <c r="AN83">
        <v>2.7</v>
      </c>
      <c r="AO83">
        <v>2</v>
      </c>
      <c r="AP83">
        <v>12.1</v>
      </c>
      <c r="AQ83">
        <v>19.5</v>
      </c>
      <c r="AR83">
        <v>1.8</v>
      </c>
      <c r="AS83">
        <v>2.9</v>
      </c>
      <c r="AT83">
        <v>4.7</v>
      </c>
      <c r="AU83">
        <v>9.4E-2</v>
      </c>
      <c r="AV83">
        <v>-0.3</v>
      </c>
      <c r="AW83">
        <v>0.7</v>
      </c>
      <c r="AX83">
        <v>0.4</v>
      </c>
      <c r="AY83">
        <v>1.5</v>
      </c>
      <c r="AZ83" s="8">
        <v>2.5500000000000003</v>
      </c>
      <c r="BA83" s="8">
        <v>0.14691357903774835</v>
      </c>
      <c r="BB83" s="3">
        <v>0</v>
      </c>
    </row>
    <row r="84" spans="1:54" x14ac:dyDescent="0.25">
      <c r="A84" t="s">
        <v>156</v>
      </c>
      <c r="B84" s="2">
        <v>17071120</v>
      </c>
      <c r="C84" t="s">
        <v>62</v>
      </c>
      <c r="D84">
        <v>26</v>
      </c>
      <c r="E84" t="s">
        <v>85</v>
      </c>
      <c r="F84">
        <v>74</v>
      </c>
      <c r="G84">
        <v>74</v>
      </c>
      <c r="H84">
        <v>36.4</v>
      </c>
      <c r="I84">
        <v>8.3000000000000007</v>
      </c>
      <c r="J84">
        <v>17.8</v>
      </c>
      <c r="K84">
        <v>0.46400000000000002</v>
      </c>
      <c r="L84">
        <v>1.8</v>
      </c>
      <c r="M84">
        <v>5.2</v>
      </c>
      <c r="N84">
        <v>0.34399999999999997</v>
      </c>
      <c r="O84">
        <v>6.5</v>
      </c>
      <c r="P84">
        <v>12.6</v>
      </c>
      <c r="Q84">
        <v>0.51400000000000001</v>
      </c>
      <c r="R84">
        <v>0.51400000000000001</v>
      </c>
      <c r="S84">
        <v>2.1</v>
      </c>
      <c r="T84">
        <v>2.6</v>
      </c>
      <c r="U84">
        <v>0.83199999999999996</v>
      </c>
      <c r="V84">
        <v>0.7</v>
      </c>
      <c r="W84">
        <v>4.5</v>
      </c>
      <c r="X84">
        <v>5.3</v>
      </c>
      <c r="Y84">
        <v>6.1</v>
      </c>
      <c r="Z84">
        <v>1.5</v>
      </c>
      <c r="AA84">
        <v>0.3</v>
      </c>
      <c r="AB84">
        <v>2.2000000000000002</v>
      </c>
      <c r="AC84">
        <v>1.4</v>
      </c>
      <c r="AD84">
        <v>20.5</v>
      </c>
      <c r="AE84">
        <v>2693</v>
      </c>
      <c r="AF84">
        <v>17</v>
      </c>
      <c r="AG84">
        <v>0.54</v>
      </c>
      <c r="AH84">
        <v>0.29299999999999998</v>
      </c>
      <c r="AI84">
        <v>0.14399999999999999</v>
      </c>
      <c r="AJ84">
        <v>2.1</v>
      </c>
      <c r="AK84">
        <v>13.8</v>
      </c>
      <c r="AL84">
        <v>7.9</v>
      </c>
      <c r="AM84">
        <v>24</v>
      </c>
      <c r="AN84">
        <v>2</v>
      </c>
      <c r="AO84">
        <v>0.6</v>
      </c>
      <c r="AP84">
        <v>10.199999999999999</v>
      </c>
      <c r="AQ84">
        <v>24.4</v>
      </c>
      <c r="AR84">
        <v>2.4</v>
      </c>
      <c r="AS84">
        <v>2.2999999999999998</v>
      </c>
      <c r="AT84">
        <v>4.7</v>
      </c>
      <c r="AU84">
        <v>8.4000000000000005E-2</v>
      </c>
      <c r="AV84">
        <v>1.1000000000000001</v>
      </c>
      <c r="AW84">
        <v>0</v>
      </c>
      <c r="AX84">
        <v>1</v>
      </c>
      <c r="AY84">
        <v>2.1</v>
      </c>
      <c r="AZ84" s="8">
        <v>2.85</v>
      </c>
      <c r="BA84" s="8">
        <v>0.16694862434333541</v>
      </c>
      <c r="BB84" s="3">
        <v>0</v>
      </c>
    </row>
    <row r="85" spans="1:54" x14ac:dyDescent="0.25">
      <c r="A85" t="s">
        <v>157</v>
      </c>
      <c r="B85" s="2">
        <v>17045454</v>
      </c>
      <c r="C85" t="s">
        <v>75</v>
      </c>
      <c r="D85">
        <v>24</v>
      </c>
      <c r="E85" t="s">
        <v>123</v>
      </c>
      <c r="F85">
        <v>59</v>
      </c>
      <c r="G85">
        <v>58</v>
      </c>
      <c r="H85">
        <v>27</v>
      </c>
      <c r="I85">
        <v>3.2</v>
      </c>
      <c r="J85">
        <v>4.7</v>
      </c>
      <c r="K85">
        <v>0.67100000000000004</v>
      </c>
      <c r="L85">
        <v>0</v>
      </c>
      <c r="M85">
        <v>0</v>
      </c>
      <c r="O85">
        <v>3.2</v>
      </c>
      <c r="P85">
        <v>4.7</v>
      </c>
      <c r="Q85">
        <v>0.67100000000000004</v>
      </c>
      <c r="R85">
        <v>0.67100000000000004</v>
      </c>
      <c r="S85">
        <v>1</v>
      </c>
      <c r="T85">
        <v>2.1</v>
      </c>
      <c r="U85">
        <v>0.48399999999999999</v>
      </c>
      <c r="V85">
        <v>4.5</v>
      </c>
      <c r="W85">
        <v>4.9000000000000004</v>
      </c>
      <c r="X85">
        <v>9.4</v>
      </c>
      <c r="Y85">
        <v>0.9</v>
      </c>
      <c r="Z85">
        <v>0.9</v>
      </c>
      <c r="AA85">
        <v>1.8</v>
      </c>
      <c r="AB85">
        <v>0.7</v>
      </c>
      <c r="AC85">
        <v>2.7</v>
      </c>
      <c r="AD85">
        <v>7.4</v>
      </c>
      <c r="AE85">
        <v>1591</v>
      </c>
      <c r="AF85">
        <v>18.899999999999999</v>
      </c>
      <c r="AG85">
        <v>0.65200000000000002</v>
      </c>
      <c r="AH85">
        <v>0</v>
      </c>
      <c r="AI85">
        <v>0.436</v>
      </c>
      <c r="AJ85">
        <v>18.399999999999999</v>
      </c>
      <c r="AK85">
        <v>20</v>
      </c>
      <c r="AL85">
        <v>19.2</v>
      </c>
      <c r="AM85">
        <v>4.5</v>
      </c>
      <c r="AN85">
        <v>1.7</v>
      </c>
      <c r="AO85">
        <v>6.5</v>
      </c>
      <c r="AP85">
        <v>10.9</v>
      </c>
      <c r="AQ85">
        <v>10.1</v>
      </c>
      <c r="AR85">
        <v>4</v>
      </c>
      <c r="AS85">
        <v>2.6</v>
      </c>
      <c r="AT85">
        <v>6.5</v>
      </c>
      <c r="AU85">
        <v>0.19700000000000001</v>
      </c>
      <c r="AV85">
        <v>1</v>
      </c>
      <c r="AW85">
        <v>1.4</v>
      </c>
      <c r="AX85">
        <v>2.4</v>
      </c>
      <c r="AY85">
        <v>1.7</v>
      </c>
      <c r="AZ85" s="8">
        <v>4.45</v>
      </c>
      <c r="BA85" s="8">
        <v>0.26106667502080028</v>
      </c>
      <c r="BB85" s="3">
        <v>0</v>
      </c>
    </row>
    <row r="86" spans="1:54" x14ac:dyDescent="0.25">
      <c r="A86" t="s">
        <v>159</v>
      </c>
      <c r="B86" s="2">
        <v>16758621</v>
      </c>
      <c r="C86" t="s">
        <v>62</v>
      </c>
      <c r="D86">
        <v>29</v>
      </c>
      <c r="E86" t="s">
        <v>55</v>
      </c>
      <c r="F86">
        <v>60</v>
      </c>
      <c r="G86">
        <v>8</v>
      </c>
      <c r="H86">
        <v>26.1</v>
      </c>
      <c r="I86">
        <v>5.7</v>
      </c>
      <c r="J86">
        <v>11.8</v>
      </c>
      <c r="K86">
        <v>0.47899999999999998</v>
      </c>
      <c r="L86">
        <v>1.9</v>
      </c>
      <c r="M86">
        <v>4.8</v>
      </c>
      <c r="N86">
        <v>0.39700000000000002</v>
      </c>
      <c r="O86">
        <v>3.8</v>
      </c>
      <c r="P86">
        <v>7.1</v>
      </c>
      <c r="Q86">
        <v>0.53400000000000003</v>
      </c>
      <c r="R86">
        <v>0.55900000000000005</v>
      </c>
      <c r="S86">
        <v>3.8</v>
      </c>
      <c r="T86">
        <v>4.5999999999999996</v>
      </c>
      <c r="U86">
        <v>0.81200000000000006</v>
      </c>
      <c r="V86">
        <v>0.4</v>
      </c>
      <c r="W86">
        <v>2.5</v>
      </c>
      <c r="X86">
        <v>2.9</v>
      </c>
      <c r="Y86">
        <v>1.8</v>
      </c>
      <c r="Z86">
        <v>0.8</v>
      </c>
      <c r="AA86">
        <v>0.3</v>
      </c>
      <c r="AB86">
        <v>1.7</v>
      </c>
      <c r="AC86">
        <v>2.1</v>
      </c>
      <c r="AD86">
        <v>17</v>
      </c>
      <c r="AE86">
        <v>1567</v>
      </c>
      <c r="AF86">
        <v>17.100000000000001</v>
      </c>
      <c r="AG86">
        <v>0.61199999999999999</v>
      </c>
      <c r="AH86">
        <v>0.40400000000000003</v>
      </c>
      <c r="AI86">
        <v>0.39</v>
      </c>
      <c r="AJ86">
        <v>1.7</v>
      </c>
      <c r="AK86">
        <v>10.7</v>
      </c>
      <c r="AL86">
        <v>6.3</v>
      </c>
      <c r="AM86">
        <v>11</v>
      </c>
      <c r="AN86">
        <v>1.6</v>
      </c>
      <c r="AO86">
        <v>1</v>
      </c>
      <c r="AP86">
        <v>10.8</v>
      </c>
      <c r="AQ86">
        <v>26</v>
      </c>
      <c r="AR86">
        <v>2.1</v>
      </c>
      <c r="AS86">
        <v>1.4</v>
      </c>
      <c r="AT86">
        <v>3.5</v>
      </c>
      <c r="AU86">
        <v>0.107</v>
      </c>
      <c r="AV86">
        <v>0.9</v>
      </c>
      <c r="AW86">
        <v>-0.7</v>
      </c>
      <c r="AX86">
        <v>0.3</v>
      </c>
      <c r="AY86">
        <v>0.9</v>
      </c>
      <c r="AZ86" s="8">
        <v>1.9</v>
      </c>
      <c r="BA86" s="8">
        <v>0.11337448349718035</v>
      </c>
      <c r="BB86" s="3">
        <v>0</v>
      </c>
    </row>
    <row r="87" spans="1:54" x14ac:dyDescent="0.25">
      <c r="A87" t="s">
        <v>160</v>
      </c>
      <c r="B87" s="2">
        <v>16700000</v>
      </c>
      <c r="C87" t="s">
        <v>52</v>
      </c>
      <c r="D87">
        <v>24</v>
      </c>
      <c r="E87" t="s">
        <v>130</v>
      </c>
      <c r="F87">
        <v>48</v>
      </c>
      <c r="G87">
        <v>15</v>
      </c>
      <c r="H87">
        <v>23.9</v>
      </c>
      <c r="I87">
        <v>4.9000000000000004</v>
      </c>
      <c r="J87">
        <v>9.8000000000000007</v>
      </c>
      <c r="K87">
        <v>0.50600000000000001</v>
      </c>
      <c r="L87">
        <v>1</v>
      </c>
      <c r="M87">
        <v>2.5</v>
      </c>
      <c r="N87">
        <v>0.39300000000000002</v>
      </c>
      <c r="O87">
        <v>3.9</v>
      </c>
      <c r="P87">
        <v>7.2</v>
      </c>
      <c r="Q87">
        <v>0.54600000000000004</v>
      </c>
      <c r="R87">
        <v>0.55800000000000005</v>
      </c>
      <c r="S87">
        <v>3.4</v>
      </c>
      <c r="T87">
        <v>4.0999999999999996</v>
      </c>
      <c r="U87">
        <v>0.81899999999999995</v>
      </c>
      <c r="V87">
        <v>0.8</v>
      </c>
      <c r="W87">
        <v>1.4</v>
      </c>
      <c r="X87">
        <v>2.2000000000000002</v>
      </c>
      <c r="Y87">
        <v>2.9</v>
      </c>
      <c r="Z87">
        <v>0.6</v>
      </c>
      <c r="AA87">
        <v>0.1</v>
      </c>
      <c r="AB87">
        <v>1.8</v>
      </c>
      <c r="AC87">
        <v>2.2999999999999998</v>
      </c>
      <c r="AD87">
        <v>14.3</v>
      </c>
      <c r="AE87">
        <v>1145</v>
      </c>
      <c r="AF87">
        <v>15.9</v>
      </c>
      <c r="AG87">
        <v>0.61599999999999999</v>
      </c>
      <c r="AH87">
        <v>0.26100000000000001</v>
      </c>
      <c r="AI87">
        <v>0.42499999999999999</v>
      </c>
      <c r="AJ87">
        <v>3.5</v>
      </c>
      <c r="AK87">
        <v>6.3</v>
      </c>
      <c r="AL87">
        <v>5</v>
      </c>
      <c r="AM87">
        <v>17.899999999999999</v>
      </c>
      <c r="AN87">
        <v>1.1000000000000001</v>
      </c>
      <c r="AO87">
        <v>0.4</v>
      </c>
      <c r="AP87">
        <v>13.3</v>
      </c>
      <c r="AQ87">
        <v>23.4</v>
      </c>
      <c r="AR87">
        <v>2</v>
      </c>
      <c r="AS87">
        <v>0.5</v>
      </c>
      <c r="AT87">
        <v>2.5</v>
      </c>
      <c r="AU87">
        <v>0.105</v>
      </c>
      <c r="AV87">
        <v>0.1</v>
      </c>
      <c r="AW87">
        <v>-1.5</v>
      </c>
      <c r="AX87">
        <v>-1.3</v>
      </c>
      <c r="AY87">
        <v>0.2</v>
      </c>
      <c r="AZ87" s="8">
        <v>0.6</v>
      </c>
      <c r="BA87" s="8">
        <v>3.5928143712574849E-2</v>
      </c>
      <c r="BB87" s="3">
        <v>0</v>
      </c>
    </row>
    <row r="88" spans="1:54" x14ac:dyDescent="0.25">
      <c r="A88" t="s">
        <v>161</v>
      </c>
      <c r="B88" s="2">
        <v>16500000</v>
      </c>
      <c r="C88" t="s">
        <v>52</v>
      </c>
      <c r="D88">
        <v>24</v>
      </c>
      <c r="E88" t="s">
        <v>152</v>
      </c>
      <c r="F88">
        <v>60</v>
      </c>
      <c r="G88">
        <v>60</v>
      </c>
      <c r="H88">
        <v>29.6</v>
      </c>
      <c r="I88">
        <v>5.8</v>
      </c>
      <c r="J88">
        <v>11.3</v>
      </c>
      <c r="K88">
        <v>0.51400000000000001</v>
      </c>
      <c r="L88">
        <v>0.5</v>
      </c>
      <c r="M88">
        <v>1.5</v>
      </c>
      <c r="N88">
        <v>0.31</v>
      </c>
      <c r="O88">
        <v>5.4</v>
      </c>
      <c r="P88">
        <v>9.9</v>
      </c>
      <c r="Q88">
        <v>0.54400000000000004</v>
      </c>
      <c r="R88">
        <v>0.53400000000000003</v>
      </c>
      <c r="S88">
        <v>1.9</v>
      </c>
      <c r="T88">
        <v>2.4</v>
      </c>
      <c r="U88">
        <v>0.78300000000000003</v>
      </c>
      <c r="V88">
        <v>1.2</v>
      </c>
      <c r="W88">
        <v>2.8</v>
      </c>
      <c r="X88">
        <v>3.9</v>
      </c>
      <c r="Y88">
        <v>5.7</v>
      </c>
      <c r="Z88">
        <v>1.5</v>
      </c>
      <c r="AA88">
        <v>0.4</v>
      </c>
      <c r="AB88">
        <v>2.2999999999999998</v>
      </c>
      <c r="AC88">
        <v>2.2000000000000002</v>
      </c>
      <c r="AD88">
        <v>14</v>
      </c>
      <c r="AE88">
        <v>1778</v>
      </c>
      <c r="AF88">
        <v>16.600000000000001</v>
      </c>
      <c r="AG88">
        <v>0.56399999999999995</v>
      </c>
      <c r="AH88">
        <v>0.128</v>
      </c>
      <c r="AI88">
        <v>0.21099999999999999</v>
      </c>
      <c r="AJ88">
        <v>4.4000000000000004</v>
      </c>
      <c r="AK88">
        <v>10.5</v>
      </c>
      <c r="AL88">
        <v>7.4</v>
      </c>
      <c r="AM88">
        <v>29.8</v>
      </c>
      <c r="AN88">
        <v>2.4</v>
      </c>
      <c r="AO88">
        <v>1.4</v>
      </c>
      <c r="AP88">
        <v>15.8</v>
      </c>
      <c r="AQ88">
        <v>21.3</v>
      </c>
      <c r="AR88">
        <v>1.7</v>
      </c>
      <c r="AS88">
        <v>2</v>
      </c>
      <c r="AT88">
        <v>3.7</v>
      </c>
      <c r="AU88">
        <v>0.1</v>
      </c>
      <c r="AV88">
        <v>-0.1</v>
      </c>
      <c r="AW88">
        <v>0.7</v>
      </c>
      <c r="AX88">
        <v>0.5</v>
      </c>
      <c r="AY88">
        <v>1.2</v>
      </c>
      <c r="AZ88" s="8">
        <v>2.1</v>
      </c>
      <c r="BA88" s="8">
        <v>0.12727272727272726</v>
      </c>
      <c r="BB88" s="3">
        <v>0</v>
      </c>
    </row>
    <row r="89" spans="1:54" x14ac:dyDescent="0.25">
      <c r="A89" t="s">
        <v>163</v>
      </c>
      <c r="B89" s="2">
        <v>16372093</v>
      </c>
      <c r="C89" t="s">
        <v>28</v>
      </c>
      <c r="D89">
        <v>33</v>
      </c>
      <c r="E89" t="s">
        <v>55</v>
      </c>
      <c r="F89">
        <v>65</v>
      </c>
      <c r="G89">
        <v>65</v>
      </c>
      <c r="H89">
        <v>28.1</v>
      </c>
      <c r="I89">
        <v>4.2</v>
      </c>
      <c r="J89">
        <v>9.9</v>
      </c>
      <c r="K89">
        <v>0.42599999999999999</v>
      </c>
      <c r="L89">
        <v>1.7</v>
      </c>
      <c r="M89">
        <v>4.7</v>
      </c>
      <c r="N89">
        <v>0.36399999999999999</v>
      </c>
      <c r="O89">
        <v>2.5</v>
      </c>
      <c r="P89">
        <v>5.2</v>
      </c>
      <c r="Q89">
        <v>0.48399999999999999</v>
      </c>
      <c r="R89">
        <v>0.51300000000000001</v>
      </c>
      <c r="S89">
        <v>1</v>
      </c>
      <c r="T89">
        <v>1.3</v>
      </c>
      <c r="U89">
        <v>0.78200000000000003</v>
      </c>
      <c r="V89">
        <v>0.4</v>
      </c>
      <c r="W89">
        <v>3.5</v>
      </c>
      <c r="X89">
        <v>4</v>
      </c>
      <c r="Y89">
        <v>1.8</v>
      </c>
      <c r="Z89">
        <v>0.6</v>
      </c>
      <c r="AA89">
        <v>0.3</v>
      </c>
      <c r="AB89">
        <v>0.9</v>
      </c>
      <c r="AC89">
        <v>2.1</v>
      </c>
      <c r="AD89">
        <v>11.2</v>
      </c>
      <c r="AE89">
        <v>1825</v>
      </c>
      <c r="AF89">
        <v>10.5</v>
      </c>
      <c r="AG89">
        <v>0.53400000000000003</v>
      </c>
      <c r="AH89">
        <v>0.47899999999999998</v>
      </c>
      <c r="AI89">
        <v>0.13500000000000001</v>
      </c>
      <c r="AJ89">
        <v>1.8</v>
      </c>
      <c r="AK89">
        <v>13.9</v>
      </c>
      <c r="AL89">
        <v>7.9</v>
      </c>
      <c r="AM89">
        <v>8.9</v>
      </c>
      <c r="AN89">
        <v>1.1000000000000001</v>
      </c>
      <c r="AO89">
        <v>1</v>
      </c>
      <c r="AP89">
        <v>7.6</v>
      </c>
      <c r="AQ89">
        <v>17.600000000000001</v>
      </c>
      <c r="AR89">
        <v>0.4</v>
      </c>
      <c r="AS89">
        <v>1.6</v>
      </c>
      <c r="AT89">
        <v>2</v>
      </c>
      <c r="AU89">
        <v>5.2999999999999999E-2</v>
      </c>
      <c r="AV89">
        <v>-1.8</v>
      </c>
      <c r="AW89">
        <v>-0.2</v>
      </c>
      <c r="AX89">
        <v>-1.9</v>
      </c>
      <c r="AY89">
        <v>0</v>
      </c>
      <c r="AZ89" s="8">
        <v>5.0000000000000044E-2</v>
      </c>
      <c r="BA89" s="8">
        <v>3.0539772770653115E-3</v>
      </c>
      <c r="BB89" s="3">
        <v>0</v>
      </c>
    </row>
    <row r="90" spans="1:54" x14ac:dyDescent="0.25">
      <c r="A90" t="s">
        <v>167</v>
      </c>
      <c r="B90" s="2">
        <v>15000000</v>
      </c>
      <c r="C90" t="s">
        <v>52</v>
      </c>
      <c r="D90">
        <v>26</v>
      </c>
      <c r="E90" t="s">
        <v>150</v>
      </c>
      <c r="F90">
        <v>80</v>
      </c>
      <c r="G90">
        <v>22</v>
      </c>
      <c r="H90">
        <v>24.3</v>
      </c>
      <c r="I90">
        <v>3.9</v>
      </c>
      <c r="J90">
        <v>8.9</v>
      </c>
      <c r="K90">
        <v>0.438</v>
      </c>
      <c r="L90">
        <v>1.5</v>
      </c>
      <c r="M90">
        <v>4.0999999999999996</v>
      </c>
      <c r="N90">
        <v>0.371</v>
      </c>
      <c r="O90">
        <v>2.4</v>
      </c>
      <c r="P90">
        <v>4.8</v>
      </c>
      <c r="Q90">
        <v>0.495</v>
      </c>
      <c r="R90">
        <v>0.52300000000000002</v>
      </c>
      <c r="S90">
        <v>1</v>
      </c>
      <c r="T90">
        <v>1.3</v>
      </c>
      <c r="U90">
        <v>0.8</v>
      </c>
      <c r="V90">
        <v>0.4</v>
      </c>
      <c r="W90">
        <v>2.2000000000000002</v>
      </c>
      <c r="X90">
        <v>2.5</v>
      </c>
      <c r="Y90">
        <v>5.2</v>
      </c>
      <c r="Z90">
        <v>1</v>
      </c>
      <c r="AA90">
        <v>0.1</v>
      </c>
      <c r="AB90">
        <v>0.9</v>
      </c>
      <c r="AC90">
        <v>0.4</v>
      </c>
      <c r="AD90">
        <v>10.3</v>
      </c>
      <c r="AE90">
        <v>1940</v>
      </c>
      <c r="AF90">
        <v>16</v>
      </c>
      <c r="AG90">
        <v>0.54600000000000004</v>
      </c>
      <c r="AH90">
        <v>0.45900000000000002</v>
      </c>
      <c r="AI90">
        <v>0.14099999999999999</v>
      </c>
      <c r="AJ90">
        <v>1.5</v>
      </c>
      <c r="AK90">
        <v>9.4</v>
      </c>
      <c r="AL90">
        <v>5.5</v>
      </c>
      <c r="AM90">
        <v>28.8</v>
      </c>
      <c r="AN90">
        <v>2</v>
      </c>
      <c r="AO90">
        <v>0.3</v>
      </c>
      <c r="AP90">
        <v>8.9</v>
      </c>
      <c r="AQ90">
        <v>17.7</v>
      </c>
      <c r="AR90">
        <v>3.4</v>
      </c>
      <c r="AS90">
        <v>2.2999999999999998</v>
      </c>
      <c r="AT90">
        <v>5.7</v>
      </c>
      <c r="AU90">
        <v>0.14099999999999999</v>
      </c>
      <c r="AV90">
        <v>1.2</v>
      </c>
      <c r="AW90">
        <v>0.3</v>
      </c>
      <c r="AX90">
        <v>1.6</v>
      </c>
      <c r="AY90">
        <v>1.7</v>
      </c>
      <c r="AZ90" s="8">
        <v>3.6500000000000004</v>
      </c>
      <c r="BA90" s="8">
        <v>0.24333333333333337</v>
      </c>
      <c r="BB90" s="3">
        <v>0</v>
      </c>
    </row>
    <row r="91" spans="1:54" x14ac:dyDescent="0.25">
      <c r="A91" t="s">
        <v>169</v>
      </c>
      <c r="B91" s="2">
        <v>14508929</v>
      </c>
      <c r="C91" t="s">
        <v>62</v>
      </c>
      <c r="D91">
        <v>24</v>
      </c>
      <c r="E91" t="s">
        <v>116</v>
      </c>
      <c r="F91">
        <v>75</v>
      </c>
      <c r="G91">
        <v>75</v>
      </c>
      <c r="H91">
        <v>29.4</v>
      </c>
      <c r="I91">
        <v>5.6</v>
      </c>
      <c r="J91">
        <v>11.5</v>
      </c>
      <c r="K91">
        <v>0.48499999999999999</v>
      </c>
      <c r="L91">
        <v>2.7</v>
      </c>
      <c r="M91">
        <v>6.8</v>
      </c>
      <c r="N91">
        <v>0.40200000000000002</v>
      </c>
      <c r="O91">
        <v>2.9</v>
      </c>
      <c r="P91">
        <v>4.7</v>
      </c>
      <c r="Q91">
        <v>0.60399999999999998</v>
      </c>
      <c r="R91">
        <v>0.60299999999999998</v>
      </c>
      <c r="S91">
        <v>1.3</v>
      </c>
      <c r="T91">
        <v>1.7</v>
      </c>
      <c r="U91">
        <v>0.72499999999999998</v>
      </c>
      <c r="V91">
        <v>0.6</v>
      </c>
      <c r="W91">
        <v>2.8</v>
      </c>
      <c r="X91">
        <v>3.3</v>
      </c>
      <c r="Y91">
        <v>2.9</v>
      </c>
      <c r="Z91">
        <v>1.1000000000000001</v>
      </c>
      <c r="AA91">
        <v>0.3</v>
      </c>
      <c r="AB91">
        <v>1.3</v>
      </c>
      <c r="AC91">
        <v>2.4</v>
      </c>
      <c r="AD91">
        <v>15.2</v>
      </c>
      <c r="AE91">
        <v>2203</v>
      </c>
      <c r="AF91">
        <v>15.2</v>
      </c>
      <c r="AG91">
        <v>0.61699999999999999</v>
      </c>
      <c r="AH91">
        <v>0.58899999999999997</v>
      </c>
      <c r="AI91">
        <v>0.151</v>
      </c>
      <c r="AJ91">
        <v>2.2000000000000002</v>
      </c>
      <c r="AK91">
        <v>10.8</v>
      </c>
      <c r="AL91">
        <v>6.5</v>
      </c>
      <c r="AM91">
        <v>14.1</v>
      </c>
      <c r="AN91">
        <v>1.7</v>
      </c>
      <c r="AO91">
        <v>1</v>
      </c>
      <c r="AP91">
        <v>9.5</v>
      </c>
      <c r="AQ91">
        <v>19.899999999999999</v>
      </c>
      <c r="AR91">
        <v>3.3</v>
      </c>
      <c r="AS91">
        <v>1.7</v>
      </c>
      <c r="AT91">
        <v>4.9000000000000004</v>
      </c>
      <c r="AU91">
        <v>0.107</v>
      </c>
      <c r="AV91">
        <v>1.4</v>
      </c>
      <c r="AW91">
        <v>-0.3</v>
      </c>
      <c r="AX91">
        <v>1</v>
      </c>
      <c r="AY91">
        <v>1.7</v>
      </c>
      <c r="AZ91" s="8">
        <v>2.95</v>
      </c>
      <c r="BA91" s="8">
        <v>0.20332307091722621</v>
      </c>
      <c r="BB91" s="3">
        <v>0</v>
      </c>
    </row>
    <row r="92" spans="1:54" x14ac:dyDescent="0.25">
      <c r="A92" t="s">
        <v>170</v>
      </c>
      <c r="B92" s="2">
        <v>14317459</v>
      </c>
      <c r="C92" t="s">
        <v>75</v>
      </c>
      <c r="D92">
        <v>27</v>
      </c>
      <c r="E92" t="s">
        <v>73</v>
      </c>
      <c r="F92">
        <v>67</v>
      </c>
      <c r="G92">
        <v>17</v>
      </c>
      <c r="H92">
        <v>25.9</v>
      </c>
      <c r="I92">
        <v>5.9</v>
      </c>
      <c r="J92">
        <v>11.5</v>
      </c>
      <c r="K92">
        <v>0.51500000000000001</v>
      </c>
      <c r="L92">
        <v>1.6</v>
      </c>
      <c r="M92">
        <v>4.2</v>
      </c>
      <c r="N92">
        <v>0.376</v>
      </c>
      <c r="O92">
        <v>4.3</v>
      </c>
      <c r="P92">
        <v>7.3</v>
      </c>
      <c r="Q92">
        <v>0.59399999999999997</v>
      </c>
      <c r="R92">
        <v>0.58299999999999996</v>
      </c>
      <c r="S92">
        <v>3.2</v>
      </c>
      <c r="T92">
        <v>4.2</v>
      </c>
      <c r="U92">
        <v>0.77200000000000002</v>
      </c>
      <c r="V92">
        <v>1.3</v>
      </c>
      <c r="W92">
        <v>6</v>
      </c>
      <c r="X92">
        <v>7.3</v>
      </c>
      <c r="Y92">
        <v>1.8</v>
      </c>
      <c r="Z92">
        <v>0.4</v>
      </c>
      <c r="AA92">
        <v>1.1000000000000001</v>
      </c>
      <c r="AB92">
        <v>1.8</v>
      </c>
      <c r="AC92">
        <v>2.5</v>
      </c>
      <c r="AD92">
        <v>16.600000000000001</v>
      </c>
      <c r="AE92">
        <v>1738</v>
      </c>
      <c r="AF92">
        <v>20.6</v>
      </c>
      <c r="AG92">
        <v>0.624</v>
      </c>
      <c r="AH92">
        <v>0.36299999999999999</v>
      </c>
      <c r="AI92">
        <v>0.36499999999999999</v>
      </c>
      <c r="AJ92">
        <v>5.8</v>
      </c>
      <c r="AK92">
        <v>27.4</v>
      </c>
      <c r="AL92">
        <v>16.399999999999999</v>
      </c>
      <c r="AM92">
        <v>11.7</v>
      </c>
      <c r="AN92">
        <v>0.9</v>
      </c>
      <c r="AO92">
        <v>3.7</v>
      </c>
      <c r="AP92">
        <v>11.9</v>
      </c>
      <c r="AQ92">
        <v>26.4</v>
      </c>
      <c r="AR92">
        <v>2.7</v>
      </c>
      <c r="AS92">
        <v>2.1</v>
      </c>
      <c r="AT92">
        <v>4.8</v>
      </c>
      <c r="AU92">
        <v>0.13200000000000001</v>
      </c>
      <c r="AV92">
        <v>1.9</v>
      </c>
      <c r="AW92">
        <v>-0.3</v>
      </c>
      <c r="AX92">
        <v>1.7</v>
      </c>
      <c r="AY92">
        <v>1.6</v>
      </c>
      <c r="AZ92" s="8">
        <v>3.25</v>
      </c>
      <c r="BA92" s="8">
        <v>0.22699558629782002</v>
      </c>
      <c r="BB92" s="3">
        <v>0</v>
      </c>
    </row>
    <row r="93" spans="1:54" x14ac:dyDescent="0.25">
      <c r="A93" t="s">
        <v>171</v>
      </c>
      <c r="B93" s="2">
        <v>14004703</v>
      </c>
      <c r="C93" t="s">
        <v>62</v>
      </c>
      <c r="D93">
        <v>29</v>
      </c>
      <c r="E93" t="s">
        <v>103</v>
      </c>
      <c r="F93">
        <v>76</v>
      </c>
      <c r="G93">
        <v>76</v>
      </c>
      <c r="H93">
        <v>31.3</v>
      </c>
      <c r="I93">
        <v>3.8</v>
      </c>
      <c r="J93">
        <v>8.3000000000000007</v>
      </c>
      <c r="K93">
        <v>0.46200000000000002</v>
      </c>
      <c r="L93">
        <v>1.8</v>
      </c>
      <c r="M93">
        <v>4.2</v>
      </c>
      <c r="N93">
        <v>0.42299999999999999</v>
      </c>
      <c r="O93">
        <v>2.1</v>
      </c>
      <c r="P93">
        <v>4.0999999999999996</v>
      </c>
      <c r="Q93">
        <v>0.502</v>
      </c>
      <c r="R93">
        <v>0.56899999999999995</v>
      </c>
      <c r="S93">
        <v>1.4</v>
      </c>
      <c r="T93">
        <v>1.6</v>
      </c>
      <c r="U93">
        <v>0.82399999999999995</v>
      </c>
      <c r="V93">
        <v>0.5</v>
      </c>
      <c r="W93">
        <v>2.2999999999999998</v>
      </c>
      <c r="X93">
        <v>2.7</v>
      </c>
      <c r="Y93">
        <v>2.4</v>
      </c>
      <c r="Z93">
        <v>1.5</v>
      </c>
      <c r="AA93">
        <v>0.5</v>
      </c>
      <c r="AB93">
        <v>1.1000000000000001</v>
      </c>
      <c r="AC93">
        <v>1.9</v>
      </c>
      <c r="AD93">
        <v>10.8</v>
      </c>
      <c r="AE93">
        <v>2381</v>
      </c>
      <c r="AF93">
        <v>11.5</v>
      </c>
      <c r="AG93">
        <v>0.59799999999999998</v>
      </c>
      <c r="AH93">
        <v>0.505</v>
      </c>
      <c r="AI93">
        <v>0.19800000000000001</v>
      </c>
      <c r="AJ93">
        <v>1.7</v>
      </c>
      <c r="AK93">
        <v>8.1</v>
      </c>
      <c r="AL93">
        <v>5</v>
      </c>
      <c r="AM93">
        <v>9.8000000000000007</v>
      </c>
      <c r="AN93">
        <v>2.2999999999999998</v>
      </c>
      <c r="AO93">
        <v>1.3</v>
      </c>
      <c r="AP93">
        <v>11.1</v>
      </c>
      <c r="AQ93">
        <v>14.1</v>
      </c>
      <c r="AR93">
        <v>2</v>
      </c>
      <c r="AS93">
        <v>2.5</v>
      </c>
      <c r="AT93">
        <v>4.5</v>
      </c>
      <c r="AU93">
        <v>9.0999999999999998E-2</v>
      </c>
      <c r="AV93">
        <v>-1.6</v>
      </c>
      <c r="AW93">
        <v>0.6</v>
      </c>
      <c r="AX93">
        <v>-1</v>
      </c>
      <c r="AY93">
        <v>0.6</v>
      </c>
      <c r="AZ93" s="8">
        <v>1.75</v>
      </c>
      <c r="BA93" s="8">
        <v>0.12495802302983505</v>
      </c>
      <c r="BB93" s="3">
        <v>0</v>
      </c>
    </row>
    <row r="94" spans="1:54" x14ac:dyDescent="0.25">
      <c r="A94" t="s">
        <v>172</v>
      </c>
      <c r="B94" s="2">
        <v>13906976</v>
      </c>
      <c r="C94" t="s">
        <v>75</v>
      </c>
      <c r="D94">
        <v>34</v>
      </c>
      <c r="E94" t="s">
        <v>68</v>
      </c>
      <c r="F94">
        <v>78</v>
      </c>
      <c r="G94">
        <v>78</v>
      </c>
      <c r="H94">
        <v>30.4</v>
      </c>
      <c r="I94">
        <v>6.1</v>
      </c>
      <c r="J94">
        <v>11.5</v>
      </c>
      <c r="K94">
        <v>0.53100000000000003</v>
      </c>
      <c r="L94">
        <v>1.7</v>
      </c>
      <c r="M94">
        <v>4.7</v>
      </c>
      <c r="N94">
        <v>0.374</v>
      </c>
      <c r="O94">
        <v>4.4000000000000004</v>
      </c>
      <c r="P94">
        <v>6.9</v>
      </c>
      <c r="Q94">
        <v>0.63700000000000001</v>
      </c>
      <c r="R94">
        <v>0.60599999999999998</v>
      </c>
      <c r="S94">
        <v>1.9</v>
      </c>
      <c r="T94">
        <v>2.4</v>
      </c>
      <c r="U94">
        <v>0.78400000000000003</v>
      </c>
      <c r="V94">
        <v>2</v>
      </c>
      <c r="W94">
        <v>4.7</v>
      </c>
      <c r="X94">
        <v>6.7</v>
      </c>
      <c r="Y94">
        <v>1.3</v>
      </c>
      <c r="Z94">
        <v>0.5</v>
      </c>
      <c r="AA94">
        <v>2.5</v>
      </c>
      <c r="AB94">
        <v>1.4</v>
      </c>
      <c r="AC94">
        <v>2.6</v>
      </c>
      <c r="AD94">
        <v>15.9</v>
      </c>
      <c r="AE94">
        <v>2373</v>
      </c>
      <c r="AF94">
        <v>18.399999999999999</v>
      </c>
      <c r="AG94">
        <v>0.63</v>
      </c>
      <c r="AH94">
        <v>0.40500000000000003</v>
      </c>
      <c r="AI94">
        <v>0.21099999999999999</v>
      </c>
      <c r="AJ94">
        <v>7.2</v>
      </c>
      <c r="AK94">
        <v>15.3</v>
      </c>
      <c r="AL94">
        <v>11.4</v>
      </c>
      <c r="AM94">
        <v>6.1</v>
      </c>
      <c r="AN94">
        <v>0.7</v>
      </c>
      <c r="AO94">
        <v>6.7</v>
      </c>
      <c r="AP94">
        <v>9.8000000000000007</v>
      </c>
      <c r="AQ94">
        <v>19.3</v>
      </c>
      <c r="AR94">
        <v>4.0999999999999996</v>
      </c>
      <c r="AS94">
        <v>3.9</v>
      </c>
      <c r="AT94">
        <v>8</v>
      </c>
      <c r="AU94">
        <v>0.161</v>
      </c>
      <c r="AV94">
        <v>0.8</v>
      </c>
      <c r="AW94">
        <v>1.3</v>
      </c>
      <c r="AX94">
        <v>2.1</v>
      </c>
      <c r="AY94">
        <v>2.5</v>
      </c>
      <c r="AZ94" s="8">
        <v>5.05</v>
      </c>
      <c r="BA94" s="8">
        <v>0.36312710973255435</v>
      </c>
      <c r="BB94" s="3">
        <v>0</v>
      </c>
    </row>
    <row r="95" spans="1:54" x14ac:dyDescent="0.25">
      <c r="A95" t="s">
        <v>173</v>
      </c>
      <c r="B95" s="2">
        <v>13801614</v>
      </c>
      <c r="C95" t="s">
        <v>52</v>
      </c>
      <c r="D95">
        <v>34</v>
      </c>
      <c r="E95" t="s">
        <v>87</v>
      </c>
      <c r="F95">
        <v>67</v>
      </c>
      <c r="G95">
        <v>67</v>
      </c>
      <c r="H95">
        <v>27.1</v>
      </c>
      <c r="I95">
        <v>2.1</v>
      </c>
      <c r="J95">
        <v>5.4</v>
      </c>
      <c r="K95">
        <v>0.4</v>
      </c>
      <c r="L95">
        <v>1.2</v>
      </c>
      <c r="M95">
        <v>3.6</v>
      </c>
      <c r="N95">
        <v>0.33500000000000002</v>
      </c>
      <c r="O95">
        <v>1</v>
      </c>
      <c r="P95">
        <v>1.8</v>
      </c>
      <c r="Q95">
        <v>0.52900000000000003</v>
      </c>
      <c r="R95">
        <v>0.51100000000000001</v>
      </c>
      <c r="S95">
        <v>0.7</v>
      </c>
      <c r="T95">
        <v>1</v>
      </c>
      <c r="U95">
        <v>0.72299999999999998</v>
      </c>
      <c r="V95">
        <v>0.7</v>
      </c>
      <c r="W95">
        <v>3</v>
      </c>
      <c r="X95">
        <v>3.7</v>
      </c>
      <c r="Y95">
        <v>2.9</v>
      </c>
      <c r="Z95">
        <v>0.9</v>
      </c>
      <c r="AA95">
        <v>0.6</v>
      </c>
      <c r="AB95">
        <v>0.9</v>
      </c>
      <c r="AC95">
        <v>2.8</v>
      </c>
      <c r="AD95">
        <v>6.2</v>
      </c>
      <c r="AE95">
        <v>1816</v>
      </c>
      <c r="AF95">
        <v>8.9</v>
      </c>
      <c r="AG95">
        <v>0.53400000000000003</v>
      </c>
      <c r="AH95">
        <v>0.66400000000000003</v>
      </c>
      <c r="AI95">
        <v>0.18099999999999999</v>
      </c>
      <c r="AJ95">
        <v>2.7</v>
      </c>
      <c r="AK95">
        <v>12</v>
      </c>
      <c r="AL95">
        <v>7.5</v>
      </c>
      <c r="AM95">
        <v>13.3</v>
      </c>
      <c r="AN95">
        <v>1.7</v>
      </c>
      <c r="AO95">
        <v>2</v>
      </c>
      <c r="AP95">
        <v>13.4</v>
      </c>
      <c r="AQ95">
        <v>10.6</v>
      </c>
      <c r="AR95">
        <v>0.8</v>
      </c>
      <c r="AS95">
        <v>2.1</v>
      </c>
      <c r="AT95">
        <v>3</v>
      </c>
      <c r="AU95">
        <v>7.9000000000000001E-2</v>
      </c>
      <c r="AV95">
        <v>-2.9</v>
      </c>
      <c r="AW95">
        <v>1.7</v>
      </c>
      <c r="AX95">
        <v>-1.2</v>
      </c>
      <c r="AY95">
        <v>0.3</v>
      </c>
      <c r="AZ95" s="8">
        <v>0.9</v>
      </c>
      <c r="BA95" s="8">
        <v>6.5209764597097125E-2</v>
      </c>
      <c r="BB95" s="3">
        <v>0</v>
      </c>
    </row>
    <row r="96" spans="1:54" x14ac:dyDescent="0.25">
      <c r="A96" t="s">
        <v>176</v>
      </c>
      <c r="B96" s="2">
        <v>13745455</v>
      </c>
      <c r="C96" t="s">
        <v>62</v>
      </c>
      <c r="D96">
        <v>26</v>
      </c>
      <c r="E96" t="s">
        <v>150</v>
      </c>
      <c r="F96">
        <v>59</v>
      </c>
      <c r="G96">
        <v>14</v>
      </c>
      <c r="H96">
        <v>22.3</v>
      </c>
      <c r="I96">
        <v>3.2</v>
      </c>
      <c r="J96">
        <v>6.5</v>
      </c>
      <c r="K96">
        <v>0.49199999999999999</v>
      </c>
      <c r="L96">
        <v>2.2999999999999998</v>
      </c>
      <c r="M96">
        <v>4.5999999999999996</v>
      </c>
      <c r="N96">
        <v>0.49399999999999999</v>
      </c>
      <c r="O96">
        <v>0.9</v>
      </c>
      <c r="P96">
        <v>1.9</v>
      </c>
      <c r="Q96">
        <v>0.48699999999999999</v>
      </c>
      <c r="R96">
        <v>0.66600000000000004</v>
      </c>
      <c r="S96">
        <v>0.6</v>
      </c>
      <c r="T96">
        <v>0.7</v>
      </c>
      <c r="U96">
        <v>0.94899999999999995</v>
      </c>
      <c r="V96">
        <v>0.3</v>
      </c>
      <c r="W96">
        <v>2.4</v>
      </c>
      <c r="X96">
        <v>2.7</v>
      </c>
      <c r="Y96">
        <v>1.5</v>
      </c>
      <c r="Z96">
        <v>0.5</v>
      </c>
      <c r="AA96">
        <v>0.1</v>
      </c>
      <c r="AB96">
        <v>0.8</v>
      </c>
      <c r="AC96">
        <v>1.4</v>
      </c>
      <c r="AD96">
        <v>9.3000000000000007</v>
      </c>
      <c r="AE96">
        <v>1315</v>
      </c>
      <c r="AF96">
        <v>13</v>
      </c>
      <c r="AG96">
        <v>0.68400000000000005</v>
      </c>
      <c r="AH96">
        <v>0.70399999999999996</v>
      </c>
      <c r="AI96">
        <v>0.10199999999999999</v>
      </c>
      <c r="AJ96">
        <v>1.2</v>
      </c>
      <c r="AK96">
        <v>11.8</v>
      </c>
      <c r="AL96">
        <v>6.6</v>
      </c>
      <c r="AM96">
        <v>9.4</v>
      </c>
      <c r="AN96">
        <v>1.2</v>
      </c>
      <c r="AO96">
        <v>0.3</v>
      </c>
      <c r="AP96">
        <v>10.3</v>
      </c>
      <c r="AQ96">
        <v>14.5</v>
      </c>
      <c r="AR96">
        <v>2.2000000000000002</v>
      </c>
      <c r="AS96">
        <v>1.2</v>
      </c>
      <c r="AT96">
        <v>3.4</v>
      </c>
      <c r="AU96">
        <v>0.124</v>
      </c>
      <c r="AV96">
        <v>0.6</v>
      </c>
      <c r="AW96">
        <v>-0.1</v>
      </c>
      <c r="AX96">
        <v>0.5</v>
      </c>
      <c r="AY96">
        <v>0.8</v>
      </c>
      <c r="AZ96" s="8">
        <v>1.95</v>
      </c>
      <c r="BA96" s="8">
        <v>0.14186507467377399</v>
      </c>
      <c r="BB96" s="3">
        <v>0</v>
      </c>
    </row>
    <row r="97" spans="1:54" x14ac:dyDescent="0.25">
      <c r="A97" t="s">
        <v>178</v>
      </c>
      <c r="B97" s="2">
        <v>13340000</v>
      </c>
      <c r="C97" t="s">
        <v>62</v>
      </c>
      <c r="D97">
        <v>30</v>
      </c>
      <c r="E97" t="s">
        <v>130</v>
      </c>
      <c r="F97">
        <v>61</v>
      </c>
      <c r="G97">
        <v>61</v>
      </c>
      <c r="H97">
        <v>32.6</v>
      </c>
      <c r="I97">
        <v>7.5</v>
      </c>
      <c r="J97">
        <v>16.899999999999999</v>
      </c>
      <c r="K97">
        <v>0.44400000000000001</v>
      </c>
      <c r="L97">
        <v>2.5</v>
      </c>
      <c r="M97">
        <v>7.5</v>
      </c>
      <c r="N97">
        <v>0.33800000000000002</v>
      </c>
      <c r="O97">
        <v>5</v>
      </c>
      <c r="P97">
        <v>9.4</v>
      </c>
      <c r="Q97">
        <v>0.53</v>
      </c>
      <c r="R97">
        <v>0.51900000000000002</v>
      </c>
      <c r="S97">
        <v>3.3</v>
      </c>
      <c r="T97">
        <v>4</v>
      </c>
      <c r="U97">
        <v>0.81599999999999995</v>
      </c>
      <c r="V97">
        <v>1.2</v>
      </c>
      <c r="W97">
        <v>2.9</v>
      </c>
      <c r="X97">
        <v>4</v>
      </c>
      <c r="Y97">
        <v>4.4000000000000004</v>
      </c>
      <c r="Z97">
        <v>0.5</v>
      </c>
      <c r="AA97">
        <v>0.2</v>
      </c>
      <c r="AB97">
        <v>3</v>
      </c>
      <c r="AC97">
        <v>2</v>
      </c>
      <c r="AD97">
        <v>20.8</v>
      </c>
      <c r="AE97">
        <v>1988</v>
      </c>
      <c r="AF97">
        <v>14.7</v>
      </c>
      <c r="AG97">
        <v>0.55800000000000005</v>
      </c>
      <c r="AH97">
        <v>0.44500000000000001</v>
      </c>
      <c r="AI97">
        <v>0.23799999999999999</v>
      </c>
      <c r="AJ97">
        <v>4</v>
      </c>
      <c r="AK97">
        <v>9.3000000000000007</v>
      </c>
      <c r="AL97">
        <v>6.7</v>
      </c>
      <c r="AM97">
        <v>20.9</v>
      </c>
      <c r="AN97">
        <v>0.8</v>
      </c>
      <c r="AO97">
        <v>0.6</v>
      </c>
      <c r="AP97">
        <v>14</v>
      </c>
      <c r="AQ97">
        <v>27.8</v>
      </c>
      <c r="AR97">
        <v>0.9</v>
      </c>
      <c r="AS97">
        <v>0.8</v>
      </c>
      <c r="AT97">
        <v>1.7</v>
      </c>
      <c r="AU97">
        <v>4.2000000000000003E-2</v>
      </c>
      <c r="AV97">
        <v>1</v>
      </c>
      <c r="AW97">
        <v>-2.4</v>
      </c>
      <c r="AX97">
        <v>-1.4</v>
      </c>
      <c r="AY97">
        <v>0.3</v>
      </c>
      <c r="AZ97" s="8">
        <v>0.15000000000000002</v>
      </c>
      <c r="BA97" s="8">
        <v>1.1244377811094455E-2</v>
      </c>
      <c r="BB97" s="3">
        <v>0</v>
      </c>
    </row>
    <row r="98" spans="1:54" x14ac:dyDescent="0.25">
      <c r="A98" t="s">
        <v>179</v>
      </c>
      <c r="B98" s="2">
        <v>13000000</v>
      </c>
      <c r="C98" t="s">
        <v>62</v>
      </c>
      <c r="D98">
        <v>28</v>
      </c>
      <c r="E98" t="s">
        <v>152</v>
      </c>
      <c r="F98">
        <v>48</v>
      </c>
      <c r="G98">
        <v>42</v>
      </c>
      <c r="H98">
        <v>24.7</v>
      </c>
      <c r="I98">
        <v>2.9</v>
      </c>
      <c r="J98">
        <v>6.4</v>
      </c>
      <c r="K98">
        <v>0.45</v>
      </c>
      <c r="L98">
        <v>2</v>
      </c>
      <c r="M98">
        <v>4.5</v>
      </c>
      <c r="N98">
        <v>0.43099999999999999</v>
      </c>
      <c r="O98">
        <v>0.9</v>
      </c>
      <c r="P98">
        <v>1.9</v>
      </c>
      <c r="Q98">
        <v>0.49399999999999999</v>
      </c>
      <c r="R98">
        <v>0.60299999999999998</v>
      </c>
      <c r="S98">
        <v>0.6</v>
      </c>
      <c r="T98">
        <v>0.6</v>
      </c>
      <c r="U98">
        <v>0.9</v>
      </c>
      <c r="V98">
        <v>0.4</v>
      </c>
      <c r="W98">
        <v>1.6</v>
      </c>
      <c r="X98">
        <v>2</v>
      </c>
      <c r="Y98">
        <v>1.2</v>
      </c>
      <c r="Z98">
        <v>0.9</v>
      </c>
      <c r="AA98">
        <v>0.3</v>
      </c>
      <c r="AB98">
        <v>0.6</v>
      </c>
      <c r="AC98">
        <v>1.9</v>
      </c>
      <c r="AD98">
        <v>8.3000000000000007</v>
      </c>
      <c r="AE98">
        <v>1184</v>
      </c>
      <c r="AF98">
        <v>10.5</v>
      </c>
      <c r="AG98">
        <v>0.62</v>
      </c>
      <c r="AH98">
        <v>0.71</v>
      </c>
      <c r="AI98">
        <v>9.8000000000000004E-2</v>
      </c>
      <c r="AJ98">
        <v>2</v>
      </c>
      <c r="AK98">
        <v>7.4</v>
      </c>
      <c r="AL98">
        <v>4.7</v>
      </c>
      <c r="AM98">
        <v>6.9</v>
      </c>
      <c r="AN98">
        <v>1.8</v>
      </c>
      <c r="AO98">
        <v>1</v>
      </c>
      <c r="AP98">
        <v>8</v>
      </c>
      <c r="AQ98">
        <v>12.6</v>
      </c>
      <c r="AR98">
        <v>1.3</v>
      </c>
      <c r="AS98">
        <v>1.1000000000000001</v>
      </c>
      <c r="AT98">
        <v>2.2999999999999998</v>
      </c>
      <c r="AU98">
        <v>9.5000000000000001E-2</v>
      </c>
      <c r="AV98">
        <v>-1.4</v>
      </c>
      <c r="AW98">
        <v>0.7</v>
      </c>
      <c r="AX98">
        <v>-0.7</v>
      </c>
      <c r="AY98">
        <v>0.4</v>
      </c>
      <c r="AZ98" s="8">
        <v>0.79999999999999993</v>
      </c>
      <c r="BA98" s="8">
        <v>6.1538461538461528E-2</v>
      </c>
      <c r="BB98" s="3">
        <v>0</v>
      </c>
    </row>
    <row r="99" spans="1:54" x14ac:dyDescent="0.25">
      <c r="A99" t="s">
        <v>181</v>
      </c>
      <c r="B99" s="2">
        <v>12960000</v>
      </c>
      <c r="C99" t="s">
        <v>65</v>
      </c>
      <c r="D99">
        <v>27</v>
      </c>
      <c r="E99" t="s">
        <v>70</v>
      </c>
      <c r="F99">
        <v>76</v>
      </c>
      <c r="G99">
        <v>52</v>
      </c>
      <c r="H99">
        <v>32.299999999999997</v>
      </c>
      <c r="I99">
        <v>3.6</v>
      </c>
      <c r="J99">
        <v>6.8</v>
      </c>
      <c r="K99">
        <v>0.52900000000000003</v>
      </c>
      <c r="L99">
        <v>0.8</v>
      </c>
      <c r="M99">
        <v>2.2000000000000002</v>
      </c>
      <c r="N99">
        <v>0.372</v>
      </c>
      <c r="O99">
        <v>2.8</v>
      </c>
      <c r="P99">
        <v>4.7</v>
      </c>
      <c r="Q99">
        <v>0.60099999999999998</v>
      </c>
      <c r="R99">
        <v>0.58799999999999997</v>
      </c>
      <c r="S99">
        <v>1.7</v>
      </c>
      <c r="T99">
        <v>2.2999999999999998</v>
      </c>
      <c r="U99">
        <v>0.75</v>
      </c>
      <c r="V99">
        <v>1.9</v>
      </c>
      <c r="W99">
        <v>5.9</v>
      </c>
      <c r="X99">
        <v>7.8</v>
      </c>
      <c r="Y99">
        <v>3.8</v>
      </c>
      <c r="Z99">
        <v>1.2</v>
      </c>
      <c r="AA99">
        <v>0.3</v>
      </c>
      <c r="AB99">
        <v>1.5</v>
      </c>
      <c r="AC99">
        <v>2.6</v>
      </c>
      <c r="AD99">
        <v>9.8000000000000007</v>
      </c>
      <c r="AE99">
        <v>2454</v>
      </c>
      <c r="AF99">
        <v>14.1</v>
      </c>
      <c r="AG99">
        <v>0.622</v>
      </c>
      <c r="AH99">
        <v>0.315</v>
      </c>
      <c r="AI99">
        <v>0.33800000000000002</v>
      </c>
      <c r="AJ99">
        <v>6.5</v>
      </c>
      <c r="AK99">
        <v>21</v>
      </c>
      <c r="AL99">
        <v>13.7</v>
      </c>
      <c r="AM99">
        <v>16.100000000000001</v>
      </c>
      <c r="AN99">
        <v>1.8</v>
      </c>
      <c r="AO99">
        <v>0.8</v>
      </c>
      <c r="AP99">
        <v>16.399999999999999</v>
      </c>
      <c r="AQ99">
        <v>12.6</v>
      </c>
      <c r="AR99">
        <v>3.8</v>
      </c>
      <c r="AS99">
        <v>2.2000000000000002</v>
      </c>
      <c r="AT99">
        <v>6</v>
      </c>
      <c r="AU99">
        <v>0.11799999999999999</v>
      </c>
      <c r="AV99">
        <v>-0.2</v>
      </c>
      <c r="AW99">
        <v>1.1000000000000001</v>
      </c>
      <c r="AX99">
        <v>0.9</v>
      </c>
      <c r="AY99">
        <v>1.8</v>
      </c>
      <c r="AZ99" s="8">
        <v>3.45</v>
      </c>
      <c r="BA99" s="8">
        <v>0.26620370370370372</v>
      </c>
      <c r="BB99" s="3">
        <v>0</v>
      </c>
    </row>
    <row r="100" spans="1:54" x14ac:dyDescent="0.25">
      <c r="A100" t="s">
        <v>182</v>
      </c>
      <c r="B100" s="2">
        <v>12939848</v>
      </c>
      <c r="C100" t="s">
        <v>28</v>
      </c>
      <c r="D100">
        <v>29</v>
      </c>
      <c r="E100" t="s">
        <v>73</v>
      </c>
      <c r="F100">
        <v>66</v>
      </c>
      <c r="G100">
        <v>66</v>
      </c>
      <c r="H100">
        <v>30.4</v>
      </c>
      <c r="I100">
        <v>3</v>
      </c>
      <c r="J100">
        <v>7.6</v>
      </c>
      <c r="K100">
        <v>0.39100000000000001</v>
      </c>
      <c r="L100">
        <v>1.7</v>
      </c>
      <c r="M100">
        <v>5.0999999999999996</v>
      </c>
      <c r="N100">
        <v>0.33700000000000002</v>
      </c>
      <c r="O100">
        <v>1.2</v>
      </c>
      <c r="P100">
        <v>2.5</v>
      </c>
      <c r="Q100">
        <v>0.503</v>
      </c>
      <c r="R100">
        <v>0.505</v>
      </c>
      <c r="S100">
        <v>0.7</v>
      </c>
      <c r="T100">
        <v>0.9</v>
      </c>
      <c r="U100">
        <v>0.76300000000000001</v>
      </c>
      <c r="V100">
        <v>1.7</v>
      </c>
      <c r="W100">
        <v>3.1</v>
      </c>
      <c r="X100">
        <v>4.8</v>
      </c>
      <c r="Y100">
        <v>1.5</v>
      </c>
      <c r="Z100">
        <v>0.8</v>
      </c>
      <c r="AA100">
        <v>0.5</v>
      </c>
      <c r="AB100">
        <v>0.9</v>
      </c>
      <c r="AC100">
        <v>2.2000000000000002</v>
      </c>
      <c r="AD100">
        <v>8.3000000000000007</v>
      </c>
      <c r="AE100">
        <v>2009</v>
      </c>
      <c r="AF100">
        <v>9.1999999999999993</v>
      </c>
      <c r="AG100">
        <v>0.52300000000000002</v>
      </c>
      <c r="AH100">
        <v>0.67500000000000004</v>
      </c>
      <c r="AI100">
        <v>0.11799999999999999</v>
      </c>
      <c r="AJ100">
        <v>6.5</v>
      </c>
      <c r="AK100">
        <v>11.5</v>
      </c>
      <c r="AL100">
        <v>9</v>
      </c>
      <c r="AM100">
        <v>6.7</v>
      </c>
      <c r="AN100">
        <v>1.4</v>
      </c>
      <c r="AO100">
        <v>1.6</v>
      </c>
      <c r="AP100">
        <v>10.5</v>
      </c>
      <c r="AQ100">
        <v>13.2</v>
      </c>
      <c r="AR100">
        <v>0.6</v>
      </c>
      <c r="AS100">
        <v>1.6</v>
      </c>
      <c r="AT100">
        <v>2.1</v>
      </c>
      <c r="AU100">
        <v>5.0999999999999997E-2</v>
      </c>
      <c r="AV100">
        <v>-1.7</v>
      </c>
      <c r="AW100">
        <v>-0.3</v>
      </c>
      <c r="AX100">
        <v>-2</v>
      </c>
      <c r="AY100">
        <v>0</v>
      </c>
      <c r="AZ100" s="8">
        <v>5.0000000000000044E-2</v>
      </c>
      <c r="BA100" s="8">
        <v>3.8640330241900868E-3</v>
      </c>
      <c r="BB100" s="3">
        <v>0</v>
      </c>
    </row>
    <row r="101" spans="1:54" x14ac:dyDescent="0.25">
      <c r="A101" t="s">
        <v>183</v>
      </c>
      <c r="B101" s="2">
        <v>12804878</v>
      </c>
      <c r="C101" t="s">
        <v>75</v>
      </c>
      <c r="D101">
        <v>31</v>
      </c>
      <c r="E101" t="s">
        <v>130</v>
      </c>
      <c r="F101">
        <v>68</v>
      </c>
      <c r="G101">
        <v>68</v>
      </c>
      <c r="H101">
        <v>28.6</v>
      </c>
      <c r="I101">
        <v>4.0999999999999996</v>
      </c>
      <c r="J101">
        <v>8.1999999999999993</v>
      </c>
      <c r="K101">
        <v>0.499</v>
      </c>
      <c r="L101">
        <v>1.4</v>
      </c>
      <c r="M101">
        <v>3.5</v>
      </c>
      <c r="N101">
        <v>0.39400000000000002</v>
      </c>
      <c r="O101">
        <v>2.7</v>
      </c>
      <c r="P101">
        <v>4.7</v>
      </c>
      <c r="Q101">
        <v>0.57599999999999996</v>
      </c>
      <c r="R101">
        <v>0.58299999999999996</v>
      </c>
      <c r="S101">
        <v>2.9</v>
      </c>
      <c r="T101">
        <v>3.4</v>
      </c>
      <c r="U101">
        <v>0.85299999999999998</v>
      </c>
      <c r="V101">
        <v>1.2</v>
      </c>
      <c r="W101">
        <v>5</v>
      </c>
      <c r="X101">
        <v>6.2</v>
      </c>
      <c r="Y101">
        <v>3.7</v>
      </c>
      <c r="Z101">
        <v>0.9</v>
      </c>
      <c r="AA101">
        <v>0.5</v>
      </c>
      <c r="AB101">
        <v>2.5</v>
      </c>
      <c r="AC101">
        <v>3.4</v>
      </c>
      <c r="AD101">
        <v>12.5</v>
      </c>
      <c r="AE101">
        <v>1942</v>
      </c>
      <c r="AF101">
        <v>14.4</v>
      </c>
      <c r="AG101">
        <v>0.64300000000000002</v>
      </c>
      <c r="AH101">
        <v>0.42399999999999999</v>
      </c>
      <c r="AI101">
        <v>0.41699999999999998</v>
      </c>
      <c r="AJ101">
        <v>4.5999999999999996</v>
      </c>
      <c r="AK101">
        <v>18.600000000000001</v>
      </c>
      <c r="AL101">
        <v>11.7</v>
      </c>
      <c r="AM101">
        <v>17.600000000000001</v>
      </c>
      <c r="AN101">
        <v>1.5</v>
      </c>
      <c r="AO101">
        <v>1.6</v>
      </c>
      <c r="AP101">
        <v>20.3</v>
      </c>
      <c r="AQ101">
        <v>17.8</v>
      </c>
      <c r="AR101">
        <v>2.4</v>
      </c>
      <c r="AS101">
        <v>1.9</v>
      </c>
      <c r="AT101">
        <v>4.3</v>
      </c>
      <c r="AU101">
        <v>0.106</v>
      </c>
      <c r="AV101">
        <v>-0.4</v>
      </c>
      <c r="AW101">
        <v>0.9</v>
      </c>
      <c r="AX101">
        <v>0.4</v>
      </c>
      <c r="AY101">
        <v>1.2</v>
      </c>
      <c r="AZ101" s="8">
        <v>2.35</v>
      </c>
      <c r="BA101" s="8">
        <v>0.18352381022294784</v>
      </c>
      <c r="BB101" s="3">
        <v>0</v>
      </c>
    </row>
    <row r="102" spans="1:54" x14ac:dyDescent="0.25">
      <c r="A102" t="s">
        <v>184</v>
      </c>
      <c r="B102" s="2">
        <v>12690000</v>
      </c>
      <c r="C102" t="s">
        <v>28</v>
      </c>
      <c r="D102">
        <v>30</v>
      </c>
      <c r="E102" t="s">
        <v>91</v>
      </c>
      <c r="F102">
        <v>76</v>
      </c>
      <c r="G102">
        <v>0</v>
      </c>
      <c r="H102">
        <v>20</v>
      </c>
      <c r="I102">
        <v>3.4</v>
      </c>
      <c r="J102">
        <v>7</v>
      </c>
      <c r="K102">
        <v>0.49299999999999999</v>
      </c>
      <c r="L102">
        <v>0.8</v>
      </c>
      <c r="M102">
        <v>2.5</v>
      </c>
      <c r="N102">
        <v>0.32800000000000001</v>
      </c>
      <c r="O102">
        <v>2.6</v>
      </c>
      <c r="P102">
        <v>4.5</v>
      </c>
      <c r="Q102">
        <v>0.58499999999999996</v>
      </c>
      <c r="R102">
        <v>0.55200000000000005</v>
      </c>
      <c r="S102">
        <v>1.7</v>
      </c>
      <c r="T102">
        <v>2.2000000000000002</v>
      </c>
      <c r="U102">
        <v>0.76200000000000001</v>
      </c>
      <c r="V102">
        <v>2.1</v>
      </c>
      <c r="W102">
        <v>3.5</v>
      </c>
      <c r="X102">
        <v>5.5</v>
      </c>
      <c r="Y102">
        <v>0.4</v>
      </c>
      <c r="Z102">
        <v>0.6</v>
      </c>
      <c r="AA102">
        <v>0.8</v>
      </c>
      <c r="AB102">
        <v>0.5</v>
      </c>
      <c r="AC102">
        <v>1.9</v>
      </c>
      <c r="AD102">
        <v>9.4</v>
      </c>
      <c r="AE102">
        <v>1523</v>
      </c>
      <c r="AF102">
        <v>18</v>
      </c>
      <c r="AG102">
        <v>0.59</v>
      </c>
      <c r="AH102">
        <v>0.35699999999999998</v>
      </c>
      <c r="AI102">
        <v>0.318</v>
      </c>
      <c r="AJ102">
        <v>10.9</v>
      </c>
      <c r="AK102">
        <v>21.2</v>
      </c>
      <c r="AL102">
        <v>15.7</v>
      </c>
      <c r="AM102">
        <v>2.7</v>
      </c>
      <c r="AN102">
        <v>1.5</v>
      </c>
      <c r="AO102">
        <v>4.0999999999999996</v>
      </c>
      <c r="AP102">
        <v>6.4</v>
      </c>
      <c r="AQ102">
        <v>18</v>
      </c>
      <c r="AR102">
        <v>3</v>
      </c>
      <c r="AS102">
        <v>2</v>
      </c>
      <c r="AT102">
        <v>5</v>
      </c>
      <c r="AU102">
        <v>0.156</v>
      </c>
      <c r="AV102">
        <v>0.7</v>
      </c>
      <c r="AW102">
        <v>-0.8</v>
      </c>
      <c r="AX102">
        <v>-0.1</v>
      </c>
      <c r="AY102">
        <v>0.7</v>
      </c>
      <c r="AZ102" s="8">
        <v>2.4500000000000002</v>
      </c>
      <c r="BA102" s="8">
        <v>0.19306540583136328</v>
      </c>
      <c r="BB102" s="3">
        <v>0</v>
      </c>
    </row>
    <row r="103" spans="1:54" x14ac:dyDescent="0.25">
      <c r="A103" t="s">
        <v>186</v>
      </c>
      <c r="B103" s="2">
        <v>12196094</v>
      </c>
      <c r="C103" t="s">
        <v>62</v>
      </c>
      <c r="D103">
        <v>29</v>
      </c>
      <c r="E103" t="s">
        <v>175</v>
      </c>
      <c r="F103">
        <v>65</v>
      </c>
      <c r="G103">
        <v>10</v>
      </c>
      <c r="H103">
        <v>23.5</v>
      </c>
      <c r="I103">
        <v>3.7</v>
      </c>
      <c r="J103">
        <v>8.5</v>
      </c>
      <c r="K103">
        <v>0.43099999999999999</v>
      </c>
      <c r="L103">
        <v>1.6</v>
      </c>
      <c r="M103">
        <v>4.5</v>
      </c>
      <c r="N103">
        <v>0.36499999999999999</v>
      </c>
      <c r="O103">
        <v>2</v>
      </c>
      <c r="P103">
        <v>4</v>
      </c>
      <c r="Q103">
        <v>0.50600000000000001</v>
      </c>
      <c r="R103">
        <v>0.52800000000000002</v>
      </c>
      <c r="S103">
        <v>1.1000000000000001</v>
      </c>
      <c r="T103">
        <v>1.2</v>
      </c>
      <c r="U103">
        <v>0.85199999999999998</v>
      </c>
      <c r="V103">
        <v>0.6</v>
      </c>
      <c r="W103">
        <v>2.1</v>
      </c>
      <c r="X103">
        <v>2.7</v>
      </c>
      <c r="Y103">
        <v>2.7</v>
      </c>
      <c r="Z103">
        <v>1.1000000000000001</v>
      </c>
      <c r="AA103">
        <v>0.3</v>
      </c>
      <c r="AB103">
        <v>1.3</v>
      </c>
      <c r="AC103">
        <v>1.8</v>
      </c>
      <c r="AD103">
        <v>10.1</v>
      </c>
      <c r="AE103">
        <v>1530</v>
      </c>
      <c r="AF103">
        <v>12.3</v>
      </c>
      <c r="AG103">
        <v>0.55500000000000005</v>
      </c>
      <c r="AH103">
        <v>0.52900000000000003</v>
      </c>
      <c r="AI103">
        <v>0.14599999999999999</v>
      </c>
      <c r="AJ103">
        <v>2.9</v>
      </c>
      <c r="AK103">
        <v>9.9</v>
      </c>
      <c r="AL103">
        <v>6.3</v>
      </c>
      <c r="AM103">
        <v>15.8</v>
      </c>
      <c r="AN103">
        <v>2.2000000000000002</v>
      </c>
      <c r="AO103">
        <v>1.2</v>
      </c>
      <c r="AP103">
        <v>12.7</v>
      </c>
      <c r="AQ103">
        <v>18.399999999999999</v>
      </c>
      <c r="AR103">
        <v>0.6</v>
      </c>
      <c r="AS103">
        <v>1.1000000000000001</v>
      </c>
      <c r="AT103">
        <v>1.8</v>
      </c>
      <c r="AU103">
        <v>5.5E-2</v>
      </c>
      <c r="AV103">
        <v>-1</v>
      </c>
      <c r="AW103">
        <v>-0.1</v>
      </c>
      <c r="AX103">
        <v>-1.2</v>
      </c>
      <c r="AY103">
        <v>0.3</v>
      </c>
      <c r="AZ103" s="8">
        <v>0.30000000000000004</v>
      </c>
      <c r="BA103" s="8">
        <v>2.4598039339480335E-2</v>
      </c>
      <c r="BB103" s="3">
        <v>0</v>
      </c>
    </row>
    <row r="104" spans="1:54" x14ac:dyDescent="0.25">
      <c r="A104" t="s">
        <v>187</v>
      </c>
      <c r="B104" s="2">
        <v>12119440</v>
      </c>
      <c r="C104" t="s">
        <v>52</v>
      </c>
      <c r="D104">
        <v>23</v>
      </c>
      <c r="E104" t="s">
        <v>150</v>
      </c>
      <c r="F104">
        <v>61</v>
      </c>
      <c r="G104">
        <v>59</v>
      </c>
      <c r="H104">
        <v>31.9</v>
      </c>
      <c r="I104">
        <v>9.3000000000000007</v>
      </c>
      <c r="J104">
        <v>19.899999999999999</v>
      </c>
      <c r="K104">
        <v>0.46600000000000003</v>
      </c>
      <c r="L104">
        <v>1.5</v>
      </c>
      <c r="M104">
        <v>4.9000000000000004</v>
      </c>
      <c r="N104">
        <v>0.307</v>
      </c>
      <c r="O104">
        <v>7.8</v>
      </c>
      <c r="P104">
        <v>15</v>
      </c>
      <c r="Q104">
        <v>0.51900000000000002</v>
      </c>
      <c r="R104">
        <v>0.504</v>
      </c>
      <c r="S104">
        <v>6.1</v>
      </c>
      <c r="T104">
        <v>8.1</v>
      </c>
      <c r="U104">
        <v>0.748</v>
      </c>
      <c r="V104">
        <v>1</v>
      </c>
      <c r="W104">
        <v>4.9000000000000004</v>
      </c>
      <c r="X104">
        <v>5.9</v>
      </c>
      <c r="Y104">
        <v>8.1</v>
      </c>
      <c r="Z104">
        <v>1.1000000000000001</v>
      </c>
      <c r="AA104">
        <v>0.3</v>
      </c>
      <c r="AB104">
        <v>3.4</v>
      </c>
      <c r="AC104">
        <v>1.6</v>
      </c>
      <c r="AD104">
        <v>26.2</v>
      </c>
      <c r="AE104">
        <v>1948</v>
      </c>
      <c r="AF104">
        <v>23.3</v>
      </c>
      <c r="AG104">
        <v>0.55700000000000005</v>
      </c>
      <c r="AH104">
        <v>0.247</v>
      </c>
      <c r="AI104">
        <v>0.40899999999999997</v>
      </c>
      <c r="AJ104">
        <v>3.3</v>
      </c>
      <c r="AK104">
        <v>16.100000000000001</v>
      </c>
      <c r="AL104">
        <v>9.6999999999999993</v>
      </c>
      <c r="AM104">
        <v>41.1</v>
      </c>
      <c r="AN104">
        <v>1.6</v>
      </c>
      <c r="AO104">
        <v>0.7</v>
      </c>
      <c r="AP104">
        <v>12.6</v>
      </c>
      <c r="AQ104">
        <v>34.9</v>
      </c>
      <c r="AR104">
        <v>3.4</v>
      </c>
      <c r="AS104">
        <v>2.6</v>
      </c>
      <c r="AT104">
        <v>6</v>
      </c>
      <c r="AU104">
        <v>0.14799999999999999</v>
      </c>
      <c r="AV104">
        <v>5.2</v>
      </c>
      <c r="AW104">
        <v>0.5</v>
      </c>
      <c r="AX104">
        <v>5.7</v>
      </c>
      <c r="AY104">
        <v>3.8</v>
      </c>
      <c r="AZ104" s="8">
        <v>5.85</v>
      </c>
      <c r="BA104" s="8">
        <v>0.48269557009234748</v>
      </c>
      <c r="BB104" s="3">
        <v>0</v>
      </c>
    </row>
    <row r="105" spans="1:54" x14ac:dyDescent="0.25">
      <c r="A105" t="s">
        <v>193</v>
      </c>
      <c r="B105" s="2">
        <v>11080125</v>
      </c>
      <c r="C105" t="s">
        <v>75</v>
      </c>
      <c r="D105">
        <v>31</v>
      </c>
      <c r="E105" t="s">
        <v>73</v>
      </c>
      <c r="F105">
        <v>76</v>
      </c>
      <c r="G105">
        <v>64</v>
      </c>
      <c r="H105">
        <v>19.2</v>
      </c>
      <c r="I105">
        <v>2.6</v>
      </c>
      <c r="J105">
        <v>3.5</v>
      </c>
      <c r="K105">
        <v>0.73199999999999998</v>
      </c>
      <c r="L105">
        <v>0</v>
      </c>
      <c r="M105">
        <v>0.1</v>
      </c>
      <c r="N105">
        <v>0</v>
      </c>
      <c r="O105">
        <v>2.6</v>
      </c>
      <c r="P105">
        <v>3.5</v>
      </c>
      <c r="Q105">
        <v>0.746</v>
      </c>
      <c r="R105">
        <v>0.73199999999999998</v>
      </c>
      <c r="S105">
        <v>1.5</v>
      </c>
      <c r="T105">
        <v>2.2000000000000002</v>
      </c>
      <c r="U105">
        <v>0.66700000000000004</v>
      </c>
      <c r="V105">
        <v>2</v>
      </c>
      <c r="W105">
        <v>2.2000000000000002</v>
      </c>
      <c r="X105">
        <v>4.0999999999999996</v>
      </c>
      <c r="Y105">
        <v>0.9</v>
      </c>
      <c r="Z105">
        <v>0.6</v>
      </c>
      <c r="AA105">
        <v>0.3</v>
      </c>
      <c r="AB105">
        <v>0.9</v>
      </c>
      <c r="AC105">
        <v>2.8</v>
      </c>
      <c r="AD105">
        <v>6.7</v>
      </c>
      <c r="AE105">
        <v>1458</v>
      </c>
      <c r="AF105">
        <v>15.5</v>
      </c>
      <c r="AG105">
        <v>0.73799999999999999</v>
      </c>
      <c r="AH105">
        <v>1.9E-2</v>
      </c>
      <c r="AI105">
        <v>0.625</v>
      </c>
      <c r="AJ105">
        <v>11.8</v>
      </c>
      <c r="AK105">
        <v>13.3</v>
      </c>
      <c r="AL105">
        <v>12.5</v>
      </c>
      <c r="AM105">
        <v>6.9</v>
      </c>
      <c r="AN105">
        <v>1.6</v>
      </c>
      <c r="AO105">
        <v>1.6</v>
      </c>
      <c r="AP105">
        <v>15.9</v>
      </c>
      <c r="AQ105">
        <v>12.6</v>
      </c>
      <c r="AR105">
        <v>3.8</v>
      </c>
      <c r="AS105">
        <v>1.3</v>
      </c>
      <c r="AT105">
        <v>5.0999999999999996</v>
      </c>
      <c r="AU105">
        <v>0.16800000000000001</v>
      </c>
      <c r="AV105">
        <v>-1.2</v>
      </c>
      <c r="AW105">
        <v>0</v>
      </c>
      <c r="AX105">
        <v>-1.2</v>
      </c>
      <c r="AY105">
        <v>0.3</v>
      </c>
      <c r="AZ105" s="8">
        <v>1.9499999999999997</v>
      </c>
      <c r="BA105" s="8">
        <v>0.1759907943276813</v>
      </c>
      <c r="BB105" s="3">
        <v>0</v>
      </c>
    </row>
    <row r="106" spans="1:54" x14ac:dyDescent="0.25">
      <c r="A106" t="s">
        <v>194</v>
      </c>
      <c r="B106" s="2">
        <v>11055120</v>
      </c>
      <c r="C106" t="s">
        <v>28</v>
      </c>
      <c r="D106">
        <v>20</v>
      </c>
      <c r="E106" t="s">
        <v>152</v>
      </c>
      <c r="F106">
        <v>72</v>
      </c>
      <c r="G106">
        <v>72</v>
      </c>
      <c r="H106">
        <v>33.799999999999997</v>
      </c>
      <c r="I106">
        <v>6.7</v>
      </c>
      <c r="J106">
        <v>15.6</v>
      </c>
      <c r="K106">
        <v>0.42699999999999999</v>
      </c>
      <c r="L106">
        <v>1.2</v>
      </c>
      <c r="M106">
        <v>4</v>
      </c>
      <c r="N106">
        <v>0.29799999999999999</v>
      </c>
      <c r="O106">
        <v>5.5</v>
      </c>
      <c r="P106">
        <v>11.6</v>
      </c>
      <c r="Q106">
        <v>0.47099999999999997</v>
      </c>
      <c r="R106">
        <v>0.46500000000000002</v>
      </c>
      <c r="S106">
        <v>5.5</v>
      </c>
      <c r="T106">
        <v>7.4</v>
      </c>
      <c r="U106">
        <v>0.73799999999999999</v>
      </c>
      <c r="V106">
        <v>1.2</v>
      </c>
      <c r="W106">
        <v>5.7</v>
      </c>
      <c r="X106">
        <v>6.9</v>
      </c>
      <c r="Y106">
        <v>3.7</v>
      </c>
      <c r="Z106">
        <v>0.8</v>
      </c>
      <c r="AA106">
        <v>0.5</v>
      </c>
      <c r="AB106">
        <v>2.8</v>
      </c>
      <c r="AC106">
        <v>2.2000000000000002</v>
      </c>
      <c r="AD106">
        <v>20</v>
      </c>
      <c r="AE106">
        <v>2430</v>
      </c>
      <c r="AF106">
        <v>14.9</v>
      </c>
      <c r="AG106">
        <v>0.52900000000000003</v>
      </c>
      <c r="AH106">
        <v>0.254</v>
      </c>
      <c r="AI106">
        <v>0.47599999999999998</v>
      </c>
      <c r="AJ106">
        <v>3.9</v>
      </c>
      <c r="AK106">
        <v>19.3</v>
      </c>
      <c r="AL106">
        <v>11.6</v>
      </c>
      <c r="AM106">
        <v>17.2</v>
      </c>
      <c r="AN106">
        <v>1.2</v>
      </c>
      <c r="AO106">
        <v>1.5</v>
      </c>
      <c r="AP106">
        <v>12.8</v>
      </c>
      <c r="AQ106">
        <v>27.5</v>
      </c>
      <c r="AR106">
        <v>-0.3</v>
      </c>
      <c r="AS106">
        <v>2.6</v>
      </c>
      <c r="AT106">
        <v>2.4</v>
      </c>
      <c r="AU106">
        <v>4.7E-2</v>
      </c>
      <c r="AV106">
        <v>-0.7</v>
      </c>
      <c r="AW106">
        <v>-0.7</v>
      </c>
      <c r="AX106">
        <v>-1.5</v>
      </c>
      <c r="AY106">
        <v>0.3</v>
      </c>
      <c r="AZ106" s="8">
        <v>0.44999999999999996</v>
      </c>
      <c r="BA106" s="8">
        <v>4.0705121246987816E-2</v>
      </c>
      <c r="BB106" s="3">
        <v>0</v>
      </c>
    </row>
    <row r="107" spans="1:54" x14ac:dyDescent="0.25">
      <c r="A107" t="s">
        <v>196</v>
      </c>
      <c r="B107" s="2">
        <v>10843350</v>
      </c>
      <c r="C107" t="s">
        <v>28</v>
      </c>
      <c r="D107">
        <v>27</v>
      </c>
      <c r="E107" t="s">
        <v>68</v>
      </c>
      <c r="F107">
        <v>70</v>
      </c>
      <c r="G107">
        <v>22</v>
      </c>
      <c r="H107">
        <v>26</v>
      </c>
      <c r="I107">
        <v>5.7</v>
      </c>
      <c r="J107">
        <v>11.5</v>
      </c>
      <c r="K107">
        <v>0.496</v>
      </c>
      <c r="L107">
        <v>1.4</v>
      </c>
      <c r="M107">
        <v>3.7</v>
      </c>
      <c r="N107">
        <v>0.37</v>
      </c>
      <c r="O107">
        <v>4.3</v>
      </c>
      <c r="P107">
        <v>7.8</v>
      </c>
      <c r="Q107">
        <v>0.55500000000000005</v>
      </c>
      <c r="R107">
        <v>0.55500000000000005</v>
      </c>
      <c r="S107">
        <v>1.4</v>
      </c>
      <c r="T107">
        <v>1.8</v>
      </c>
      <c r="U107">
        <v>0.76800000000000002</v>
      </c>
      <c r="V107">
        <v>2.2000000000000002</v>
      </c>
      <c r="W107">
        <v>7.4</v>
      </c>
      <c r="X107">
        <v>9.6</v>
      </c>
      <c r="Y107">
        <v>1.5</v>
      </c>
      <c r="Z107">
        <v>0.4</v>
      </c>
      <c r="AA107">
        <v>0.2</v>
      </c>
      <c r="AB107">
        <v>1.2</v>
      </c>
      <c r="AC107">
        <v>1.6</v>
      </c>
      <c r="AD107">
        <v>14.1</v>
      </c>
      <c r="AE107">
        <v>1818</v>
      </c>
      <c r="AF107">
        <v>17.8</v>
      </c>
      <c r="AG107">
        <v>0.57499999999999996</v>
      </c>
      <c r="AH107">
        <v>0.32</v>
      </c>
      <c r="AI107">
        <v>0.156</v>
      </c>
      <c r="AJ107">
        <v>9.1999999999999993</v>
      </c>
      <c r="AK107">
        <v>28.6</v>
      </c>
      <c r="AL107">
        <v>19.3</v>
      </c>
      <c r="AM107">
        <v>8.6999999999999993</v>
      </c>
      <c r="AN107">
        <v>0.8</v>
      </c>
      <c r="AO107">
        <v>0.7</v>
      </c>
      <c r="AP107">
        <v>8.6</v>
      </c>
      <c r="AQ107">
        <v>21.7</v>
      </c>
      <c r="AR107">
        <v>2.5</v>
      </c>
      <c r="AS107">
        <v>2.8</v>
      </c>
      <c r="AT107">
        <v>5.3</v>
      </c>
      <c r="AU107">
        <v>0.13900000000000001</v>
      </c>
      <c r="AV107">
        <v>1.2</v>
      </c>
      <c r="AW107">
        <v>-0.6</v>
      </c>
      <c r="AX107">
        <v>0.7</v>
      </c>
      <c r="AY107">
        <v>1.2</v>
      </c>
      <c r="AZ107" s="8">
        <v>3</v>
      </c>
      <c r="BA107" s="8">
        <v>0.27666726611240994</v>
      </c>
      <c r="BB107" s="3">
        <v>0</v>
      </c>
    </row>
    <row r="108" spans="1:54" x14ac:dyDescent="0.25">
      <c r="A108" t="s">
        <v>198</v>
      </c>
      <c r="B108" s="2">
        <v>10733400</v>
      </c>
      <c r="C108" t="s">
        <v>62</v>
      </c>
      <c r="D108">
        <v>21</v>
      </c>
      <c r="E108" t="s">
        <v>76</v>
      </c>
      <c r="F108">
        <v>79</v>
      </c>
      <c r="G108">
        <v>79</v>
      </c>
      <c r="H108">
        <v>36</v>
      </c>
      <c r="I108">
        <v>8.9</v>
      </c>
      <c r="J108">
        <v>19.5</v>
      </c>
      <c r="K108">
        <v>0.45900000000000002</v>
      </c>
      <c r="L108">
        <v>2.7</v>
      </c>
      <c r="M108">
        <v>7.3</v>
      </c>
      <c r="N108">
        <v>0.36899999999999999</v>
      </c>
      <c r="O108">
        <v>6.3</v>
      </c>
      <c r="P108">
        <v>12.2</v>
      </c>
      <c r="Q108">
        <v>0.51300000000000001</v>
      </c>
      <c r="R108">
        <v>0.52800000000000002</v>
      </c>
      <c r="S108">
        <v>4</v>
      </c>
      <c r="T108">
        <v>5.3</v>
      </c>
      <c r="U108">
        <v>0.75600000000000001</v>
      </c>
      <c r="V108">
        <v>0.6</v>
      </c>
      <c r="W108">
        <v>5.2</v>
      </c>
      <c r="X108">
        <v>5.8</v>
      </c>
      <c r="Y108">
        <v>4.4000000000000004</v>
      </c>
      <c r="Z108">
        <v>1.6</v>
      </c>
      <c r="AA108">
        <v>0.7</v>
      </c>
      <c r="AB108">
        <v>3.3</v>
      </c>
      <c r="AC108">
        <v>2.4</v>
      </c>
      <c r="AD108">
        <v>24.6</v>
      </c>
      <c r="AE108">
        <v>2842</v>
      </c>
      <c r="AF108">
        <v>17.399999999999999</v>
      </c>
      <c r="AG108">
        <v>0.56399999999999995</v>
      </c>
      <c r="AH108">
        <v>0.375</v>
      </c>
      <c r="AI108">
        <v>0.27400000000000002</v>
      </c>
      <c r="AJ108">
        <v>1.9</v>
      </c>
      <c r="AK108">
        <v>15.9</v>
      </c>
      <c r="AL108">
        <v>9</v>
      </c>
      <c r="AM108">
        <v>19.3</v>
      </c>
      <c r="AN108">
        <v>2.1</v>
      </c>
      <c r="AO108">
        <v>1.8</v>
      </c>
      <c r="AP108">
        <v>13</v>
      </c>
      <c r="AQ108">
        <v>29.9</v>
      </c>
      <c r="AR108">
        <v>0.2</v>
      </c>
      <c r="AS108">
        <v>3.6</v>
      </c>
      <c r="AT108">
        <v>3.8</v>
      </c>
      <c r="AU108">
        <v>6.4000000000000001E-2</v>
      </c>
      <c r="AV108">
        <v>1</v>
      </c>
      <c r="AW108">
        <v>0</v>
      </c>
      <c r="AX108">
        <v>1</v>
      </c>
      <c r="AY108">
        <v>2.1</v>
      </c>
      <c r="AZ108" s="8">
        <v>2.4</v>
      </c>
      <c r="BA108" s="8">
        <v>0.22360109564536867</v>
      </c>
      <c r="BB108" s="3">
        <v>0</v>
      </c>
    </row>
    <row r="109" spans="1:54" x14ac:dyDescent="0.25">
      <c r="A109" t="s">
        <v>205</v>
      </c>
      <c r="B109" s="2">
        <v>10123457</v>
      </c>
      <c r="C109" t="s">
        <v>75</v>
      </c>
      <c r="D109">
        <v>25</v>
      </c>
      <c r="E109" t="s">
        <v>55</v>
      </c>
      <c r="F109">
        <v>76</v>
      </c>
      <c r="G109">
        <v>76</v>
      </c>
      <c r="H109">
        <v>28.6</v>
      </c>
      <c r="I109">
        <v>4.3</v>
      </c>
      <c r="J109">
        <v>6.8</v>
      </c>
      <c r="K109">
        <v>0.63400000000000001</v>
      </c>
      <c r="L109">
        <v>0</v>
      </c>
      <c r="M109">
        <v>0</v>
      </c>
      <c r="N109">
        <v>0</v>
      </c>
      <c r="O109">
        <v>4.3</v>
      </c>
      <c r="P109">
        <v>6.7</v>
      </c>
      <c r="Q109">
        <v>0.63700000000000001</v>
      </c>
      <c r="R109">
        <v>0.63400000000000001</v>
      </c>
      <c r="S109">
        <v>2.2000000000000002</v>
      </c>
      <c r="T109">
        <v>3.1</v>
      </c>
      <c r="U109">
        <v>0.69699999999999995</v>
      </c>
      <c r="V109">
        <v>3.1</v>
      </c>
      <c r="W109">
        <v>6.8</v>
      </c>
      <c r="X109">
        <v>9.9</v>
      </c>
      <c r="Y109">
        <v>1</v>
      </c>
      <c r="Z109">
        <v>0.4</v>
      </c>
      <c r="AA109">
        <v>1.3</v>
      </c>
      <c r="AB109">
        <v>1.5</v>
      </c>
      <c r="AC109">
        <v>2.9</v>
      </c>
      <c r="AD109">
        <v>10.8</v>
      </c>
      <c r="AE109">
        <v>2170</v>
      </c>
      <c r="AF109">
        <v>16.7</v>
      </c>
      <c r="AG109">
        <v>0.66100000000000003</v>
      </c>
      <c r="AH109">
        <v>4.0000000000000001E-3</v>
      </c>
      <c r="AI109">
        <v>0.46300000000000002</v>
      </c>
      <c r="AJ109">
        <v>12.3</v>
      </c>
      <c r="AK109">
        <v>26.5</v>
      </c>
      <c r="AL109">
        <v>19.5</v>
      </c>
      <c r="AM109">
        <v>5.0999999999999996</v>
      </c>
      <c r="AN109">
        <v>0.7</v>
      </c>
      <c r="AO109">
        <v>4</v>
      </c>
      <c r="AP109">
        <v>15.9</v>
      </c>
      <c r="AQ109">
        <v>14.8</v>
      </c>
      <c r="AR109">
        <v>3.8</v>
      </c>
      <c r="AS109">
        <v>2.9</v>
      </c>
      <c r="AT109">
        <v>6.7</v>
      </c>
      <c r="AU109">
        <v>0.14899999999999999</v>
      </c>
      <c r="AV109">
        <v>-1.1000000000000001</v>
      </c>
      <c r="AW109">
        <v>0.2</v>
      </c>
      <c r="AX109">
        <v>-0.9</v>
      </c>
      <c r="AY109">
        <v>0.6</v>
      </c>
      <c r="AZ109" s="8">
        <v>2.9</v>
      </c>
      <c r="BA109" s="8">
        <v>0.28646340869527082</v>
      </c>
      <c r="BB109" s="3">
        <v>0</v>
      </c>
    </row>
    <row r="110" spans="1:54" x14ac:dyDescent="0.25">
      <c r="A110" t="s">
        <v>206</v>
      </c>
      <c r="B110" s="2">
        <v>10012800</v>
      </c>
      <c r="C110" t="s">
        <v>65</v>
      </c>
      <c r="D110">
        <v>31</v>
      </c>
      <c r="E110" t="s">
        <v>73</v>
      </c>
      <c r="F110">
        <v>78</v>
      </c>
      <c r="G110">
        <v>55</v>
      </c>
      <c r="H110">
        <v>30.3</v>
      </c>
      <c r="I110">
        <v>2.5</v>
      </c>
      <c r="J110">
        <v>6</v>
      </c>
      <c r="K110">
        <v>0.40899999999999997</v>
      </c>
      <c r="L110">
        <v>1.9</v>
      </c>
      <c r="M110">
        <v>5.0999999999999996</v>
      </c>
      <c r="N110">
        <v>0.38</v>
      </c>
      <c r="O110">
        <v>0.5</v>
      </c>
      <c r="P110">
        <v>0.9</v>
      </c>
      <c r="Q110">
        <v>0.56200000000000006</v>
      </c>
      <c r="R110">
        <v>0.56899999999999995</v>
      </c>
      <c r="S110">
        <v>0.3</v>
      </c>
      <c r="T110">
        <v>0.5</v>
      </c>
      <c r="U110">
        <v>0.70299999999999996</v>
      </c>
      <c r="V110">
        <v>0.4</v>
      </c>
      <c r="W110">
        <v>3.2</v>
      </c>
      <c r="X110">
        <v>3.6</v>
      </c>
      <c r="Y110">
        <v>1.4</v>
      </c>
      <c r="Z110">
        <v>0.7</v>
      </c>
      <c r="AA110">
        <v>0.2</v>
      </c>
      <c r="AB110">
        <v>0.5</v>
      </c>
      <c r="AC110">
        <v>2.1</v>
      </c>
      <c r="AD110">
        <v>7.2</v>
      </c>
      <c r="AE110">
        <v>2364</v>
      </c>
      <c r="AF110">
        <v>7.7</v>
      </c>
      <c r="AG110">
        <v>0.57699999999999996</v>
      </c>
      <c r="AH110">
        <v>0.84499999999999997</v>
      </c>
      <c r="AI110">
        <v>7.9000000000000001E-2</v>
      </c>
      <c r="AJ110">
        <v>1.6</v>
      </c>
      <c r="AK110">
        <v>12.5</v>
      </c>
      <c r="AL110">
        <v>7</v>
      </c>
      <c r="AM110">
        <v>6.2</v>
      </c>
      <c r="AN110">
        <v>1.1000000000000001</v>
      </c>
      <c r="AO110">
        <v>0.5</v>
      </c>
      <c r="AP110">
        <v>6.9</v>
      </c>
      <c r="AQ110">
        <v>10</v>
      </c>
      <c r="AR110">
        <v>1.3</v>
      </c>
      <c r="AS110">
        <v>1.4</v>
      </c>
      <c r="AT110">
        <v>2.8</v>
      </c>
      <c r="AU110">
        <v>5.6000000000000001E-2</v>
      </c>
      <c r="AV110">
        <v>-2.2999999999999998</v>
      </c>
      <c r="AW110">
        <v>-0.3</v>
      </c>
      <c r="AX110">
        <v>-2.6</v>
      </c>
      <c r="AY110">
        <v>-0.4</v>
      </c>
      <c r="AZ110" s="8">
        <v>9.9999999999999867E-2</v>
      </c>
      <c r="BA110" s="8">
        <v>9.987216363055277E-3</v>
      </c>
      <c r="BB110" s="3">
        <v>0</v>
      </c>
    </row>
    <row r="111" spans="1:54" x14ac:dyDescent="0.25">
      <c r="A111" t="s">
        <v>207</v>
      </c>
      <c r="B111" s="2">
        <v>10012800</v>
      </c>
      <c r="C111" t="s">
        <v>62</v>
      </c>
      <c r="D111">
        <v>31</v>
      </c>
      <c r="E111" t="s">
        <v>201</v>
      </c>
      <c r="F111">
        <v>51</v>
      </c>
      <c r="G111">
        <v>8</v>
      </c>
      <c r="H111">
        <v>22</v>
      </c>
      <c r="I111">
        <v>3.9</v>
      </c>
      <c r="J111">
        <v>9</v>
      </c>
      <c r="K111">
        <v>0.436</v>
      </c>
      <c r="L111">
        <v>1.9</v>
      </c>
      <c r="M111">
        <v>4.7</v>
      </c>
      <c r="N111">
        <v>0.41399999999999998</v>
      </c>
      <c r="O111">
        <v>2</v>
      </c>
      <c r="P111">
        <v>4.3</v>
      </c>
      <c r="Q111">
        <v>0.45900000000000002</v>
      </c>
      <c r="R111">
        <v>0.54400000000000004</v>
      </c>
      <c r="S111">
        <v>3</v>
      </c>
      <c r="T111">
        <v>3.7</v>
      </c>
      <c r="U111">
        <v>0.81399999999999995</v>
      </c>
      <c r="V111">
        <v>0.4</v>
      </c>
      <c r="W111">
        <v>2.7</v>
      </c>
      <c r="X111">
        <v>3.1</v>
      </c>
      <c r="Y111">
        <v>2.2000000000000002</v>
      </c>
      <c r="Z111">
        <v>0.7</v>
      </c>
      <c r="AA111">
        <v>0.2</v>
      </c>
      <c r="AB111">
        <v>1.1000000000000001</v>
      </c>
      <c r="AC111">
        <v>1.9</v>
      </c>
      <c r="AD111">
        <v>12.8</v>
      </c>
      <c r="AE111">
        <v>1122</v>
      </c>
      <c r="AF111">
        <v>16.5</v>
      </c>
      <c r="AG111">
        <v>0.60199999999999998</v>
      </c>
      <c r="AH111">
        <v>0.52100000000000002</v>
      </c>
      <c r="AI111">
        <v>0.41</v>
      </c>
      <c r="AJ111">
        <v>1.8</v>
      </c>
      <c r="AK111">
        <v>14.2</v>
      </c>
      <c r="AL111">
        <v>7.8</v>
      </c>
      <c r="AM111">
        <v>15.9</v>
      </c>
      <c r="AN111">
        <v>1.6</v>
      </c>
      <c r="AO111">
        <v>0.6</v>
      </c>
      <c r="AP111">
        <v>9.6999999999999993</v>
      </c>
      <c r="AQ111">
        <v>22.8</v>
      </c>
      <c r="AR111">
        <v>1.9</v>
      </c>
      <c r="AS111">
        <v>0.6</v>
      </c>
      <c r="AT111">
        <v>2.5</v>
      </c>
      <c r="AU111">
        <v>0.109</v>
      </c>
      <c r="AV111">
        <v>1.8</v>
      </c>
      <c r="AW111">
        <v>-0.5</v>
      </c>
      <c r="AX111">
        <v>1.2</v>
      </c>
      <c r="AY111">
        <v>0.9</v>
      </c>
      <c r="AZ111" s="8">
        <v>1.85</v>
      </c>
      <c r="BA111" s="8">
        <v>0.18476350271652284</v>
      </c>
      <c r="BB111" s="3">
        <v>0</v>
      </c>
    </row>
    <row r="112" spans="1:54" x14ac:dyDescent="0.25">
      <c r="A112" t="s">
        <v>211</v>
      </c>
      <c r="B112" s="2">
        <v>9472219</v>
      </c>
      <c r="C112" t="s">
        <v>62</v>
      </c>
      <c r="D112">
        <v>24</v>
      </c>
      <c r="E112" t="s">
        <v>116</v>
      </c>
      <c r="F112">
        <v>77</v>
      </c>
      <c r="G112">
        <v>0</v>
      </c>
      <c r="H112">
        <v>22.3</v>
      </c>
      <c r="I112">
        <v>4.5999999999999996</v>
      </c>
      <c r="J112">
        <v>10.3</v>
      </c>
      <c r="K112">
        <v>0.44800000000000001</v>
      </c>
      <c r="L112">
        <v>1.9</v>
      </c>
      <c r="M112">
        <v>5.2</v>
      </c>
      <c r="N112">
        <v>0.35899999999999999</v>
      </c>
      <c r="O112">
        <v>2.8</v>
      </c>
      <c r="P112">
        <v>5.2</v>
      </c>
      <c r="Q112">
        <v>0.53800000000000003</v>
      </c>
      <c r="R112">
        <v>0.53800000000000003</v>
      </c>
      <c r="S112">
        <v>2.4</v>
      </c>
      <c r="T112">
        <v>2.7</v>
      </c>
      <c r="U112">
        <v>0.88900000000000001</v>
      </c>
      <c r="V112">
        <v>0.4</v>
      </c>
      <c r="W112">
        <v>2.2000000000000002</v>
      </c>
      <c r="X112">
        <v>2.6</v>
      </c>
      <c r="Y112">
        <v>3.9</v>
      </c>
      <c r="Z112">
        <v>0.6</v>
      </c>
      <c r="AA112">
        <v>0.3</v>
      </c>
      <c r="AB112">
        <v>1.9</v>
      </c>
      <c r="AC112">
        <v>1.6</v>
      </c>
      <c r="AD112">
        <v>13.5</v>
      </c>
      <c r="AE112">
        <v>1719</v>
      </c>
      <c r="AF112">
        <v>16.600000000000001</v>
      </c>
      <c r="AG112">
        <v>0.58699999999999997</v>
      </c>
      <c r="AH112">
        <v>0.5</v>
      </c>
      <c r="AI112">
        <v>0.26</v>
      </c>
      <c r="AJ112">
        <v>2.1</v>
      </c>
      <c r="AK112">
        <v>11.3</v>
      </c>
      <c r="AL112">
        <v>6.7</v>
      </c>
      <c r="AM112">
        <v>25</v>
      </c>
      <c r="AN112">
        <v>1.4</v>
      </c>
      <c r="AO112">
        <v>1</v>
      </c>
      <c r="AP112">
        <v>14.1</v>
      </c>
      <c r="AQ112">
        <v>25.8</v>
      </c>
      <c r="AR112">
        <v>2.1</v>
      </c>
      <c r="AS112">
        <v>1.2</v>
      </c>
      <c r="AT112">
        <v>3.2</v>
      </c>
      <c r="AU112">
        <v>9.0999999999999998E-2</v>
      </c>
      <c r="AV112">
        <v>1.6</v>
      </c>
      <c r="AW112">
        <v>-1.4</v>
      </c>
      <c r="AX112">
        <v>0.3</v>
      </c>
      <c r="AY112">
        <v>1</v>
      </c>
      <c r="AZ112" s="8">
        <v>1.75</v>
      </c>
      <c r="BA112" s="8">
        <v>0.18475079598560801</v>
      </c>
      <c r="BB112" s="3">
        <v>0</v>
      </c>
    </row>
    <row r="113" spans="1:54" x14ac:dyDescent="0.25">
      <c r="A113" t="s">
        <v>214</v>
      </c>
      <c r="B113" s="2">
        <v>9398148</v>
      </c>
      <c r="C113" t="s">
        <v>75</v>
      </c>
      <c r="D113">
        <v>27</v>
      </c>
      <c r="E113" t="s">
        <v>91</v>
      </c>
      <c r="F113">
        <v>72</v>
      </c>
      <c r="G113">
        <v>71</v>
      </c>
      <c r="H113">
        <v>26.5</v>
      </c>
      <c r="I113">
        <v>5.4</v>
      </c>
      <c r="J113">
        <v>8.6</v>
      </c>
      <c r="K113">
        <v>0.629</v>
      </c>
      <c r="L113">
        <v>0</v>
      </c>
      <c r="M113">
        <v>0</v>
      </c>
      <c r="N113">
        <v>0</v>
      </c>
      <c r="O113">
        <v>5.4</v>
      </c>
      <c r="P113">
        <v>8.6</v>
      </c>
      <c r="Q113">
        <v>0.63</v>
      </c>
      <c r="R113">
        <v>0.629</v>
      </c>
      <c r="S113">
        <v>1.7</v>
      </c>
      <c r="T113">
        <v>2.8</v>
      </c>
      <c r="U113">
        <v>0.59199999999999997</v>
      </c>
      <c r="V113">
        <v>3.3</v>
      </c>
      <c r="W113">
        <v>5.8</v>
      </c>
      <c r="X113">
        <v>9.1</v>
      </c>
      <c r="Y113">
        <v>2.7</v>
      </c>
      <c r="Z113">
        <v>0.9</v>
      </c>
      <c r="AA113">
        <v>1.2</v>
      </c>
      <c r="AB113">
        <v>1.7</v>
      </c>
      <c r="AC113">
        <v>2.7</v>
      </c>
      <c r="AD113">
        <v>12.5</v>
      </c>
      <c r="AE113">
        <v>1906</v>
      </c>
      <c r="AF113">
        <v>21</v>
      </c>
      <c r="AG113">
        <v>0.63500000000000001</v>
      </c>
      <c r="AH113">
        <v>2E-3</v>
      </c>
      <c r="AI113">
        <v>0.32500000000000001</v>
      </c>
      <c r="AJ113">
        <v>13</v>
      </c>
      <c r="AK113">
        <v>25.5</v>
      </c>
      <c r="AL113">
        <v>19</v>
      </c>
      <c r="AM113">
        <v>15.2</v>
      </c>
      <c r="AN113">
        <v>1.7</v>
      </c>
      <c r="AO113">
        <v>4</v>
      </c>
      <c r="AP113">
        <v>15</v>
      </c>
      <c r="AQ113">
        <v>18.2</v>
      </c>
      <c r="AR113">
        <v>3.7</v>
      </c>
      <c r="AS113">
        <v>2.2000000000000002</v>
      </c>
      <c r="AT113">
        <v>6</v>
      </c>
      <c r="AU113">
        <v>0.15</v>
      </c>
      <c r="AV113">
        <v>1.1000000000000001</v>
      </c>
      <c r="AW113">
        <v>0.8</v>
      </c>
      <c r="AX113">
        <v>1.9</v>
      </c>
      <c r="AY113">
        <v>1.9</v>
      </c>
      <c r="AZ113" s="8">
        <v>3.95</v>
      </c>
      <c r="BA113" s="8">
        <v>0.42029557312781202</v>
      </c>
      <c r="BB113" s="3">
        <v>0</v>
      </c>
    </row>
    <row r="114" spans="1:54" x14ac:dyDescent="0.25">
      <c r="A114" t="s">
        <v>216</v>
      </c>
      <c r="B114" s="2">
        <v>9200000</v>
      </c>
      <c r="C114" t="s">
        <v>65</v>
      </c>
      <c r="D114">
        <v>29</v>
      </c>
      <c r="E114" t="s">
        <v>89</v>
      </c>
      <c r="F114">
        <v>76</v>
      </c>
      <c r="G114">
        <v>53</v>
      </c>
      <c r="H114">
        <v>31.7</v>
      </c>
      <c r="I114">
        <v>3</v>
      </c>
      <c r="J114">
        <v>7.8</v>
      </c>
      <c r="K114">
        <v>0.38600000000000001</v>
      </c>
      <c r="L114">
        <v>2.1</v>
      </c>
      <c r="M114">
        <v>5.5</v>
      </c>
      <c r="N114">
        <v>0.38900000000000001</v>
      </c>
      <c r="O114">
        <v>0.9</v>
      </c>
      <c r="P114">
        <v>2.2999999999999998</v>
      </c>
      <c r="Q114">
        <v>0.379</v>
      </c>
      <c r="R114">
        <v>0.52400000000000002</v>
      </c>
      <c r="S114">
        <v>0.7</v>
      </c>
      <c r="T114">
        <v>0.9</v>
      </c>
      <c r="U114">
        <v>0.72499999999999998</v>
      </c>
      <c r="V114">
        <v>0.7</v>
      </c>
      <c r="W114">
        <v>4.3</v>
      </c>
      <c r="X114">
        <v>5.0999999999999996</v>
      </c>
      <c r="Y114">
        <v>3.7</v>
      </c>
      <c r="Z114">
        <v>0.9</v>
      </c>
      <c r="AA114">
        <v>0.6</v>
      </c>
      <c r="AB114">
        <v>1.5</v>
      </c>
      <c r="AC114">
        <v>3.1</v>
      </c>
      <c r="AD114">
        <v>8.8000000000000007</v>
      </c>
      <c r="AE114">
        <v>2409</v>
      </c>
      <c r="AF114">
        <v>9.1999999999999993</v>
      </c>
      <c r="AG114">
        <v>0.53800000000000003</v>
      </c>
      <c r="AH114">
        <v>0.70699999999999996</v>
      </c>
      <c r="AI114">
        <v>0.11600000000000001</v>
      </c>
      <c r="AJ114">
        <v>2.6</v>
      </c>
      <c r="AK114">
        <v>15</v>
      </c>
      <c r="AL114">
        <v>9</v>
      </c>
      <c r="AM114">
        <v>15.3</v>
      </c>
      <c r="AN114">
        <v>1.3</v>
      </c>
      <c r="AO114">
        <v>1.7</v>
      </c>
      <c r="AP114">
        <v>15.5</v>
      </c>
      <c r="AQ114">
        <v>13.6</v>
      </c>
      <c r="AR114">
        <v>0.4</v>
      </c>
      <c r="AS114">
        <v>2.5</v>
      </c>
      <c r="AT114">
        <v>2.9</v>
      </c>
      <c r="AU114">
        <v>5.7000000000000002E-2</v>
      </c>
      <c r="AV114">
        <v>-1.7</v>
      </c>
      <c r="AW114">
        <v>0.6</v>
      </c>
      <c r="AX114">
        <v>-1.1000000000000001</v>
      </c>
      <c r="AY114">
        <v>0.5</v>
      </c>
      <c r="AZ114" s="8">
        <v>0.89999999999999991</v>
      </c>
      <c r="BA114" s="8">
        <v>9.7826086956521729E-2</v>
      </c>
      <c r="BB114" s="3">
        <v>0</v>
      </c>
    </row>
    <row r="115" spans="1:54" x14ac:dyDescent="0.25">
      <c r="A115" t="s">
        <v>217</v>
      </c>
      <c r="B115" s="2">
        <v>9125000</v>
      </c>
      <c r="C115" t="s">
        <v>52</v>
      </c>
      <c r="D115">
        <v>27</v>
      </c>
      <c r="E115" t="s">
        <v>63</v>
      </c>
      <c r="F115">
        <v>62</v>
      </c>
      <c r="G115">
        <v>61</v>
      </c>
      <c r="H115">
        <v>27.3</v>
      </c>
      <c r="I115">
        <v>4</v>
      </c>
      <c r="J115">
        <v>8.3000000000000007</v>
      </c>
      <c r="K115">
        <v>0.48</v>
      </c>
      <c r="L115">
        <v>1.3</v>
      </c>
      <c r="M115">
        <v>3.3</v>
      </c>
      <c r="N115">
        <v>0.38200000000000001</v>
      </c>
      <c r="O115">
        <v>2.7</v>
      </c>
      <c r="P115">
        <v>5</v>
      </c>
      <c r="Q115">
        <v>0.54300000000000004</v>
      </c>
      <c r="R115">
        <v>0.55500000000000005</v>
      </c>
      <c r="S115">
        <v>1</v>
      </c>
      <c r="T115">
        <v>1.2</v>
      </c>
      <c r="U115">
        <v>0.83099999999999996</v>
      </c>
      <c r="V115">
        <v>0.4</v>
      </c>
      <c r="W115">
        <v>3</v>
      </c>
      <c r="X115">
        <v>3.4</v>
      </c>
      <c r="Y115">
        <v>5.3</v>
      </c>
      <c r="Z115">
        <v>0.7</v>
      </c>
      <c r="AA115">
        <v>0.2</v>
      </c>
      <c r="AB115">
        <v>1</v>
      </c>
      <c r="AC115">
        <v>1.2</v>
      </c>
      <c r="AD115">
        <v>10.3</v>
      </c>
      <c r="AE115">
        <v>1695</v>
      </c>
      <c r="AF115">
        <v>15</v>
      </c>
      <c r="AG115">
        <v>0.57899999999999996</v>
      </c>
      <c r="AH115">
        <v>0.39600000000000002</v>
      </c>
      <c r="AI115">
        <v>0.15</v>
      </c>
      <c r="AJ115">
        <v>1.8</v>
      </c>
      <c r="AK115">
        <v>11.6</v>
      </c>
      <c r="AL115">
        <v>6.9</v>
      </c>
      <c r="AM115">
        <v>26.4</v>
      </c>
      <c r="AN115">
        <v>1.2</v>
      </c>
      <c r="AO115">
        <v>0.6</v>
      </c>
      <c r="AP115">
        <v>9.9</v>
      </c>
      <c r="AQ115">
        <v>15.6</v>
      </c>
      <c r="AR115">
        <v>3.1</v>
      </c>
      <c r="AS115">
        <v>1.1000000000000001</v>
      </c>
      <c r="AT115">
        <v>4.2</v>
      </c>
      <c r="AU115">
        <v>0.12</v>
      </c>
      <c r="AV115">
        <v>0.8</v>
      </c>
      <c r="AW115">
        <v>-0.4</v>
      </c>
      <c r="AX115">
        <v>0.5</v>
      </c>
      <c r="AY115">
        <v>1.1000000000000001</v>
      </c>
      <c r="AZ115" s="8">
        <v>2.35</v>
      </c>
      <c r="BA115" s="8">
        <v>0.25753424657534246</v>
      </c>
      <c r="BB115" s="3">
        <v>0</v>
      </c>
    </row>
    <row r="116" spans="1:54" x14ac:dyDescent="0.25">
      <c r="A116" t="s">
        <v>218</v>
      </c>
      <c r="B116" s="2">
        <v>9080417</v>
      </c>
      <c r="C116" t="s">
        <v>75</v>
      </c>
      <c r="D116">
        <v>32</v>
      </c>
      <c r="E116" t="s">
        <v>118</v>
      </c>
      <c r="F116">
        <v>79</v>
      </c>
      <c r="G116">
        <v>60</v>
      </c>
      <c r="H116">
        <v>26</v>
      </c>
      <c r="I116">
        <v>4.2</v>
      </c>
      <c r="J116">
        <v>6.1</v>
      </c>
      <c r="K116">
        <v>0.68</v>
      </c>
      <c r="L116">
        <v>0</v>
      </c>
      <c r="M116">
        <v>0</v>
      </c>
      <c r="O116">
        <v>4.2</v>
      </c>
      <c r="P116">
        <v>6.1</v>
      </c>
      <c r="Q116">
        <v>0.68</v>
      </c>
      <c r="R116">
        <v>0.68</v>
      </c>
      <c r="S116">
        <v>2.5</v>
      </c>
      <c r="T116">
        <v>4</v>
      </c>
      <c r="U116">
        <v>0.63600000000000001</v>
      </c>
      <c r="V116">
        <v>2.9</v>
      </c>
      <c r="W116">
        <v>6</v>
      </c>
      <c r="X116">
        <v>8.9</v>
      </c>
      <c r="Y116">
        <v>3.1</v>
      </c>
      <c r="Z116">
        <v>0.6</v>
      </c>
      <c r="AA116">
        <v>0.6</v>
      </c>
      <c r="AB116">
        <v>1.5</v>
      </c>
      <c r="AC116">
        <v>2.7</v>
      </c>
      <c r="AD116">
        <v>10.8</v>
      </c>
      <c r="AE116">
        <v>2054</v>
      </c>
      <c r="AF116">
        <v>19.600000000000001</v>
      </c>
      <c r="AG116">
        <v>0.68899999999999995</v>
      </c>
      <c r="AH116">
        <v>0</v>
      </c>
      <c r="AI116">
        <v>0.64700000000000002</v>
      </c>
      <c r="AJ116">
        <v>11.8</v>
      </c>
      <c r="AK116">
        <v>25.1</v>
      </c>
      <c r="AL116">
        <v>18.399999999999999</v>
      </c>
      <c r="AM116">
        <v>17.3</v>
      </c>
      <c r="AN116">
        <v>1.1000000000000001</v>
      </c>
      <c r="AO116">
        <v>2</v>
      </c>
      <c r="AP116">
        <v>15.8</v>
      </c>
      <c r="AQ116">
        <v>15.2</v>
      </c>
      <c r="AR116">
        <v>5.5</v>
      </c>
      <c r="AS116">
        <v>2.4</v>
      </c>
      <c r="AT116">
        <v>7.9</v>
      </c>
      <c r="AU116">
        <v>0.185</v>
      </c>
      <c r="AV116">
        <v>1.2</v>
      </c>
      <c r="AW116">
        <v>1</v>
      </c>
      <c r="AX116">
        <v>2.2000000000000002</v>
      </c>
      <c r="AY116">
        <v>2.2000000000000002</v>
      </c>
      <c r="AZ116" s="8">
        <v>5.0500000000000007</v>
      </c>
      <c r="BA116" s="8">
        <v>0.55614186000488752</v>
      </c>
      <c r="BB116" s="3">
        <v>0</v>
      </c>
    </row>
    <row r="117" spans="1:54" x14ac:dyDescent="0.25">
      <c r="A117" t="s">
        <v>219</v>
      </c>
      <c r="B117" s="2">
        <v>9030000</v>
      </c>
      <c r="C117" t="s">
        <v>52</v>
      </c>
      <c r="D117">
        <v>28</v>
      </c>
      <c r="E117" t="s">
        <v>87</v>
      </c>
      <c r="F117">
        <v>67</v>
      </c>
      <c r="G117">
        <v>36</v>
      </c>
      <c r="H117">
        <v>23.5</v>
      </c>
      <c r="I117">
        <v>1.9</v>
      </c>
      <c r="J117">
        <v>4.3</v>
      </c>
      <c r="K117">
        <v>0.45500000000000002</v>
      </c>
      <c r="L117">
        <v>0.8</v>
      </c>
      <c r="M117">
        <v>2.2999999999999998</v>
      </c>
      <c r="N117">
        <v>0.36399999999999999</v>
      </c>
      <c r="O117">
        <v>1.1000000000000001</v>
      </c>
      <c r="P117">
        <v>2</v>
      </c>
      <c r="Q117">
        <v>0.55600000000000005</v>
      </c>
      <c r="R117">
        <v>0.55100000000000005</v>
      </c>
      <c r="S117">
        <v>0.9</v>
      </c>
      <c r="T117">
        <v>1.1000000000000001</v>
      </c>
      <c r="U117">
        <v>0.80800000000000005</v>
      </c>
      <c r="V117">
        <v>0.6</v>
      </c>
      <c r="W117">
        <v>2.2999999999999998</v>
      </c>
      <c r="X117">
        <v>2.9</v>
      </c>
      <c r="Y117">
        <v>2.9</v>
      </c>
      <c r="Z117">
        <v>1.5</v>
      </c>
      <c r="AA117">
        <v>0.7</v>
      </c>
      <c r="AB117">
        <v>1.1000000000000001</v>
      </c>
      <c r="AC117">
        <v>2.4</v>
      </c>
      <c r="AD117">
        <v>5.6</v>
      </c>
      <c r="AE117">
        <v>1575</v>
      </c>
      <c r="AF117">
        <v>11.5</v>
      </c>
      <c r="AG117">
        <v>0.58799999999999997</v>
      </c>
      <c r="AH117">
        <v>0.52800000000000002</v>
      </c>
      <c r="AI117">
        <v>0.255</v>
      </c>
      <c r="AJ117">
        <v>3.1</v>
      </c>
      <c r="AK117">
        <v>10.9</v>
      </c>
      <c r="AL117">
        <v>7.1</v>
      </c>
      <c r="AM117">
        <v>15.4</v>
      </c>
      <c r="AN117">
        <v>3</v>
      </c>
      <c r="AO117">
        <v>2.8</v>
      </c>
      <c r="AP117">
        <v>19.5</v>
      </c>
      <c r="AQ117">
        <v>11.1</v>
      </c>
      <c r="AR117">
        <v>1</v>
      </c>
      <c r="AS117">
        <v>2.6</v>
      </c>
      <c r="AT117">
        <v>3.6</v>
      </c>
      <c r="AU117">
        <v>0.109</v>
      </c>
      <c r="AV117">
        <v>-2.2000000000000002</v>
      </c>
      <c r="AW117">
        <v>3.3</v>
      </c>
      <c r="AX117">
        <v>1.1000000000000001</v>
      </c>
      <c r="AY117">
        <v>1.2</v>
      </c>
      <c r="AZ117" s="8">
        <v>2.35</v>
      </c>
      <c r="BA117" s="8">
        <v>0.26024363233665559</v>
      </c>
      <c r="BB117" s="3">
        <v>0</v>
      </c>
    </row>
    <row r="118" spans="1:54" x14ac:dyDescent="0.25">
      <c r="A118" t="s">
        <v>221</v>
      </c>
      <c r="B118" s="2">
        <v>8925000</v>
      </c>
      <c r="C118" t="s">
        <v>62</v>
      </c>
      <c r="D118">
        <v>27</v>
      </c>
      <c r="E118" t="s">
        <v>68</v>
      </c>
      <c r="F118">
        <v>72</v>
      </c>
      <c r="G118">
        <v>70</v>
      </c>
      <c r="H118">
        <v>27.4</v>
      </c>
      <c r="I118">
        <v>3.4</v>
      </c>
      <c r="J118">
        <v>7.7</v>
      </c>
      <c r="K118">
        <v>0.44</v>
      </c>
      <c r="L118">
        <v>2</v>
      </c>
      <c r="M118">
        <v>5.0999999999999996</v>
      </c>
      <c r="N118">
        <v>0.39900000000000002</v>
      </c>
      <c r="O118">
        <v>1.4</v>
      </c>
      <c r="P118">
        <v>2.7</v>
      </c>
      <c r="Q118">
        <v>0.51800000000000002</v>
      </c>
      <c r="R118">
        <v>0.57099999999999995</v>
      </c>
      <c r="S118">
        <v>1.6</v>
      </c>
      <c r="T118">
        <v>1.8</v>
      </c>
      <c r="U118">
        <v>0.90500000000000003</v>
      </c>
      <c r="V118">
        <v>0.8</v>
      </c>
      <c r="W118">
        <v>2.4</v>
      </c>
      <c r="X118">
        <v>3.3</v>
      </c>
      <c r="Y118">
        <v>2.2999999999999998</v>
      </c>
      <c r="Z118">
        <v>0.9</v>
      </c>
      <c r="AA118">
        <v>0.2</v>
      </c>
      <c r="AB118">
        <v>1</v>
      </c>
      <c r="AC118">
        <v>1.6</v>
      </c>
      <c r="AD118">
        <v>10.4</v>
      </c>
      <c r="AE118">
        <v>1972</v>
      </c>
      <c r="AF118">
        <v>12.3</v>
      </c>
      <c r="AG118">
        <v>0.61199999999999999</v>
      </c>
      <c r="AH118">
        <v>0.65700000000000003</v>
      </c>
      <c r="AI118">
        <v>0.22600000000000001</v>
      </c>
      <c r="AJ118">
        <v>3.4</v>
      </c>
      <c r="AK118">
        <v>9</v>
      </c>
      <c r="AL118">
        <v>6.3</v>
      </c>
      <c r="AM118">
        <v>10.9</v>
      </c>
      <c r="AN118">
        <v>1.5</v>
      </c>
      <c r="AO118">
        <v>0.6</v>
      </c>
      <c r="AP118">
        <v>10.5</v>
      </c>
      <c r="AQ118">
        <v>14.6</v>
      </c>
      <c r="AR118">
        <v>2.8</v>
      </c>
      <c r="AS118">
        <v>2.2000000000000002</v>
      </c>
      <c r="AT118">
        <v>5.0999999999999996</v>
      </c>
      <c r="AU118">
        <v>0.123</v>
      </c>
      <c r="AV118">
        <v>-0.6</v>
      </c>
      <c r="AW118">
        <v>0.7</v>
      </c>
      <c r="AX118">
        <v>0.1</v>
      </c>
      <c r="AY118">
        <v>1</v>
      </c>
      <c r="AZ118" s="8">
        <v>2.5999999999999996</v>
      </c>
      <c r="BA118" s="8">
        <v>0.29131652661064422</v>
      </c>
      <c r="BB118" s="3">
        <v>0</v>
      </c>
    </row>
    <row r="119" spans="1:54" x14ac:dyDescent="0.25">
      <c r="A119" t="s">
        <v>222</v>
      </c>
      <c r="B119" s="2">
        <v>8920794</v>
      </c>
      <c r="C119" t="s">
        <v>52</v>
      </c>
      <c r="D119">
        <v>23</v>
      </c>
      <c r="E119" t="s">
        <v>107</v>
      </c>
      <c r="F119">
        <v>69</v>
      </c>
      <c r="G119">
        <v>69</v>
      </c>
      <c r="H119">
        <v>35.5</v>
      </c>
      <c r="I119">
        <v>7.6</v>
      </c>
      <c r="J119">
        <v>16.399999999999999</v>
      </c>
      <c r="K119">
        <v>0.46200000000000002</v>
      </c>
      <c r="L119">
        <v>2.4</v>
      </c>
      <c r="M119">
        <v>6</v>
      </c>
      <c r="N119">
        <v>0.41</v>
      </c>
      <c r="O119">
        <v>5.0999999999999996</v>
      </c>
      <c r="P119">
        <v>10.4</v>
      </c>
      <c r="Q119">
        <v>0.49199999999999999</v>
      </c>
      <c r="R119">
        <v>0.53700000000000003</v>
      </c>
      <c r="S119">
        <v>4</v>
      </c>
      <c r="T119">
        <v>4.7</v>
      </c>
      <c r="U119">
        <v>0.86299999999999999</v>
      </c>
      <c r="V119">
        <v>0.4</v>
      </c>
      <c r="W119">
        <v>2.2999999999999998</v>
      </c>
      <c r="X119">
        <v>2.7</v>
      </c>
      <c r="Y119">
        <v>7.8</v>
      </c>
      <c r="Z119">
        <v>1.2</v>
      </c>
      <c r="AA119">
        <v>0.1</v>
      </c>
      <c r="AB119">
        <v>2.9</v>
      </c>
      <c r="AC119">
        <v>2.1</v>
      </c>
      <c r="AD119">
        <v>21.6</v>
      </c>
      <c r="AE119">
        <v>2447</v>
      </c>
      <c r="AF119">
        <v>18.8</v>
      </c>
      <c r="AG119">
        <v>0.58699999999999997</v>
      </c>
      <c r="AH119">
        <v>0.36499999999999999</v>
      </c>
      <c r="AI119">
        <v>0.28399999999999997</v>
      </c>
      <c r="AJ119">
        <v>1.3</v>
      </c>
      <c r="AK119">
        <v>7.6</v>
      </c>
      <c r="AL119">
        <v>4.5</v>
      </c>
      <c r="AM119">
        <v>34.1</v>
      </c>
      <c r="AN119">
        <v>1.7</v>
      </c>
      <c r="AO119">
        <v>0.3</v>
      </c>
      <c r="AP119">
        <v>13.5</v>
      </c>
      <c r="AQ119">
        <v>26.9</v>
      </c>
      <c r="AR119">
        <v>4.5</v>
      </c>
      <c r="AS119">
        <v>3</v>
      </c>
      <c r="AT119">
        <v>7.6</v>
      </c>
      <c r="AU119">
        <v>0.14799999999999999</v>
      </c>
      <c r="AV119">
        <v>3.2</v>
      </c>
      <c r="AW119">
        <v>-0.7</v>
      </c>
      <c r="AX119">
        <v>2.4</v>
      </c>
      <c r="AY119">
        <v>2.7</v>
      </c>
      <c r="AZ119" s="8">
        <v>5</v>
      </c>
      <c r="BA119" s="8">
        <v>0.5604882255996495</v>
      </c>
      <c r="BB119" s="3">
        <v>0</v>
      </c>
    </row>
    <row r="120" spans="1:54" x14ac:dyDescent="0.25">
      <c r="A120" t="s">
        <v>223</v>
      </c>
      <c r="B120" s="2">
        <v>8854879</v>
      </c>
      <c r="C120" t="s">
        <v>75</v>
      </c>
      <c r="D120">
        <v>24</v>
      </c>
      <c r="E120" t="s">
        <v>123</v>
      </c>
      <c r="F120">
        <v>82</v>
      </c>
      <c r="G120">
        <v>8</v>
      </c>
      <c r="H120">
        <v>19.8</v>
      </c>
      <c r="I120">
        <v>2.1</v>
      </c>
      <c r="J120">
        <v>4</v>
      </c>
      <c r="K120">
        <v>0.53500000000000003</v>
      </c>
      <c r="L120">
        <v>0.1</v>
      </c>
      <c r="M120">
        <v>0.5</v>
      </c>
      <c r="N120">
        <v>0.216</v>
      </c>
      <c r="O120">
        <v>2</v>
      </c>
      <c r="P120">
        <v>3.5</v>
      </c>
      <c r="Q120">
        <v>0.57599999999999996</v>
      </c>
      <c r="R120">
        <v>0.54700000000000004</v>
      </c>
      <c r="S120">
        <v>0.6</v>
      </c>
      <c r="T120">
        <v>0.9</v>
      </c>
      <c r="U120">
        <v>0.67600000000000005</v>
      </c>
      <c r="V120">
        <v>2.5</v>
      </c>
      <c r="W120">
        <v>4</v>
      </c>
      <c r="X120">
        <v>6.5</v>
      </c>
      <c r="Y120">
        <v>1.2</v>
      </c>
      <c r="Z120">
        <v>0.6</v>
      </c>
      <c r="AA120">
        <v>0.8</v>
      </c>
      <c r="AB120">
        <v>0.8</v>
      </c>
      <c r="AC120">
        <v>2.6</v>
      </c>
      <c r="AD120">
        <v>5</v>
      </c>
      <c r="AE120">
        <v>1626</v>
      </c>
      <c r="AF120">
        <v>14.2</v>
      </c>
      <c r="AG120">
        <v>0.56699999999999995</v>
      </c>
      <c r="AH120">
        <v>0.113</v>
      </c>
      <c r="AI120">
        <v>0.217</v>
      </c>
      <c r="AJ120">
        <v>14.1</v>
      </c>
      <c r="AK120">
        <v>22.2</v>
      </c>
      <c r="AL120">
        <v>18.100000000000001</v>
      </c>
      <c r="AM120">
        <v>8.3000000000000007</v>
      </c>
      <c r="AN120">
        <v>1.6</v>
      </c>
      <c r="AO120">
        <v>3.7</v>
      </c>
      <c r="AP120">
        <v>15.6</v>
      </c>
      <c r="AQ120">
        <v>11.2</v>
      </c>
      <c r="AR120">
        <v>2.2000000000000002</v>
      </c>
      <c r="AS120">
        <v>2.4</v>
      </c>
      <c r="AT120">
        <v>4.5999999999999996</v>
      </c>
      <c r="AU120">
        <v>0.13600000000000001</v>
      </c>
      <c r="AV120">
        <v>-1.5</v>
      </c>
      <c r="AW120">
        <v>1.2</v>
      </c>
      <c r="AX120">
        <v>-0.3</v>
      </c>
      <c r="AY120">
        <v>0.7</v>
      </c>
      <c r="AZ120" s="8">
        <v>2.15</v>
      </c>
      <c r="BA120" s="8">
        <v>0.24280399540185699</v>
      </c>
      <c r="BB120" s="3">
        <v>0</v>
      </c>
    </row>
    <row r="121" spans="1:54" x14ac:dyDescent="0.25">
      <c r="A121" t="s">
        <v>224</v>
      </c>
      <c r="B121" s="2">
        <v>8780488</v>
      </c>
      <c r="C121" t="s">
        <v>28</v>
      </c>
      <c r="D121">
        <v>29</v>
      </c>
      <c r="E121" t="s">
        <v>76</v>
      </c>
      <c r="F121">
        <v>69</v>
      </c>
      <c r="G121">
        <v>46</v>
      </c>
      <c r="H121">
        <v>28.4</v>
      </c>
      <c r="I121">
        <v>3.7</v>
      </c>
      <c r="J121">
        <v>7.2</v>
      </c>
      <c r="K121">
        <v>0.50900000000000001</v>
      </c>
      <c r="L121">
        <v>0.6</v>
      </c>
      <c r="M121">
        <v>1.5</v>
      </c>
      <c r="N121">
        <v>0.41</v>
      </c>
      <c r="O121">
        <v>3</v>
      </c>
      <c r="P121">
        <v>5.7</v>
      </c>
      <c r="Q121">
        <v>0.53600000000000003</v>
      </c>
      <c r="R121">
        <v>0.55300000000000005</v>
      </c>
      <c r="S121">
        <v>1.4</v>
      </c>
      <c r="T121">
        <v>2</v>
      </c>
      <c r="U121">
        <v>0.73499999999999999</v>
      </c>
      <c r="V121">
        <v>1</v>
      </c>
      <c r="W121">
        <v>4.4000000000000004</v>
      </c>
      <c r="X121">
        <v>5.3</v>
      </c>
      <c r="Y121">
        <v>4.9000000000000004</v>
      </c>
      <c r="Z121">
        <v>1.1000000000000001</v>
      </c>
      <c r="AA121">
        <v>0.9</v>
      </c>
      <c r="AB121">
        <v>1.5</v>
      </c>
      <c r="AC121">
        <v>2.1</v>
      </c>
      <c r="AD121">
        <v>9.4</v>
      </c>
      <c r="AE121">
        <v>1957</v>
      </c>
      <c r="AF121">
        <v>14.8</v>
      </c>
      <c r="AG121">
        <v>0.58299999999999996</v>
      </c>
      <c r="AH121">
        <v>0.21199999999999999</v>
      </c>
      <c r="AI121">
        <v>0.27500000000000002</v>
      </c>
      <c r="AJ121">
        <v>3.8</v>
      </c>
      <c r="AK121">
        <v>16.899999999999999</v>
      </c>
      <c r="AL121">
        <v>10.5</v>
      </c>
      <c r="AM121">
        <v>22.6</v>
      </c>
      <c r="AN121">
        <v>1.9</v>
      </c>
      <c r="AO121">
        <v>2.8</v>
      </c>
      <c r="AP121">
        <v>15.7</v>
      </c>
      <c r="AQ121">
        <v>14.4</v>
      </c>
      <c r="AR121">
        <v>2.5</v>
      </c>
      <c r="AS121">
        <v>2.6</v>
      </c>
      <c r="AT121">
        <v>5.0999999999999996</v>
      </c>
      <c r="AU121">
        <v>0.125</v>
      </c>
      <c r="AV121">
        <v>0.2</v>
      </c>
      <c r="AW121">
        <v>2.2999999999999998</v>
      </c>
      <c r="AX121">
        <v>2.5</v>
      </c>
      <c r="AY121">
        <v>2.2000000000000002</v>
      </c>
      <c r="AZ121" s="8">
        <v>3.8</v>
      </c>
      <c r="BA121" s="8">
        <v>0.43277776816049401</v>
      </c>
      <c r="BB121" s="3">
        <v>0</v>
      </c>
    </row>
    <row r="122" spans="1:54" x14ac:dyDescent="0.25">
      <c r="A122" t="s">
        <v>227</v>
      </c>
      <c r="B122" s="2">
        <v>8623920</v>
      </c>
      <c r="C122" t="s">
        <v>52</v>
      </c>
      <c r="D122">
        <v>21</v>
      </c>
      <c r="E122" t="s">
        <v>118</v>
      </c>
      <c r="F122">
        <v>36</v>
      </c>
      <c r="G122">
        <v>36</v>
      </c>
      <c r="H122">
        <v>35.200000000000003</v>
      </c>
      <c r="I122">
        <v>8.1999999999999993</v>
      </c>
      <c r="J122">
        <v>20</v>
      </c>
      <c r="K122">
        <v>0.41099999999999998</v>
      </c>
      <c r="L122">
        <v>4</v>
      </c>
      <c r="M122">
        <v>10.6</v>
      </c>
      <c r="N122">
        <v>0.376</v>
      </c>
      <c r="O122">
        <v>4.2</v>
      </c>
      <c r="P122">
        <v>9.4</v>
      </c>
      <c r="Q122">
        <v>0.45</v>
      </c>
      <c r="R122">
        <v>0.51</v>
      </c>
      <c r="S122">
        <v>2.8</v>
      </c>
      <c r="T122">
        <v>3.4</v>
      </c>
      <c r="U122">
        <v>0.83599999999999997</v>
      </c>
      <c r="V122">
        <v>1.2</v>
      </c>
      <c r="W122">
        <v>5.3</v>
      </c>
      <c r="X122">
        <v>6.4</v>
      </c>
      <c r="Y122">
        <v>8.4</v>
      </c>
      <c r="Z122">
        <v>1.3</v>
      </c>
      <c r="AA122">
        <v>0.3</v>
      </c>
      <c r="AB122">
        <v>3.6</v>
      </c>
      <c r="AC122">
        <v>3.3</v>
      </c>
      <c r="AD122">
        <v>23.3</v>
      </c>
      <c r="AE122">
        <v>1268</v>
      </c>
      <c r="AF122">
        <v>17.899999999999999</v>
      </c>
      <c r="AG122">
        <v>0.54100000000000004</v>
      </c>
      <c r="AH122">
        <v>0.53100000000000003</v>
      </c>
      <c r="AI122">
        <v>0.16900000000000001</v>
      </c>
      <c r="AJ122">
        <v>3.5</v>
      </c>
      <c r="AK122">
        <v>16.2</v>
      </c>
      <c r="AL122">
        <v>9.6999999999999993</v>
      </c>
      <c r="AM122">
        <v>38.700000000000003</v>
      </c>
      <c r="AN122">
        <v>1.7</v>
      </c>
      <c r="AO122">
        <v>0.8</v>
      </c>
      <c r="AP122">
        <v>14.3</v>
      </c>
      <c r="AQ122">
        <v>30</v>
      </c>
      <c r="AR122">
        <v>0.6</v>
      </c>
      <c r="AS122">
        <v>1.2</v>
      </c>
      <c r="AT122">
        <v>1.8</v>
      </c>
      <c r="AU122">
        <v>6.8000000000000005E-2</v>
      </c>
      <c r="AV122">
        <v>3.2</v>
      </c>
      <c r="AW122">
        <v>-0.8</v>
      </c>
      <c r="AX122">
        <v>2.4</v>
      </c>
      <c r="AY122">
        <v>1.4</v>
      </c>
      <c r="AZ122" s="8">
        <v>2.1</v>
      </c>
      <c r="BA122" s="8">
        <v>0.24350875240030057</v>
      </c>
      <c r="BB122" s="3">
        <v>0</v>
      </c>
    </row>
    <row r="123" spans="1:54" x14ac:dyDescent="0.25">
      <c r="A123" t="s">
        <v>232</v>
      </c>
      <c r="B123" s="2">
        <v>8250000</v>
      </c>
      <c r="C123" t="s">
        <v>62</v>
      </c>
      <c r="D123">
        <v>24</v>
      </c>
      <c r="E123" t="s">
        <v>82</v>
      </c>
      <c r="F123">
        <v>77</v>
      </c>
      <c r="G123">
        <v>58</v>
      </c>
      <c r="H123">
        <v>27.9</v>
      </c>
      <c r="I123">
        <v>3.6</v>
      </c>
      <c r="J123">
        <v>8.5</v>
      </c>
      <c r="K123">
        <v>0.42499999999999999</v>
      </c>
      <c r="L123">
        <v>2</v>
      </c>
      <c r="M123">
        <v>5.2</v>
      </c>
      <c r="N123">
        <v>0.39</v>
      </c>
      <c r="O123">
        <v>1.6</v>
      </c>
      <c r="P123">
        <v>3.2</v>
      </c>
      <c r="Q123">
        <v>0.48399999999999999</v>
      </c>
      <c r="R123">
        <v>0.54600000000000004</v>
      </c>
      <c r="S123">
        <v>0.9</v>
      </c>
      <c r="T123">
        <v>1.1000000000000001</v>
      </c>
      <c r="U123">
        <v>0.79300000000000004</v>
      </c>
      <c r="V123">
        <v>0.9</v>
      </c>
      <c r="W123">
        <v>3.2</v>
      </c>
      <c r="X123">
        <v>4.0999999999999996</v>
      </c>
      <c r="Y123">
        <v>2.6</v>
      </c>
      <c r="Z123">
        <v>1.6</v>
      </c>
      <c r="AA123">
        <v>0.5</v>
      </c>
      <c r="AB123">
        <v>1.3</v>
      </c>
      <c r="AC123">
        <v>2.5</v>
      </c>
      <c r="AD123">
        <v>10.1</v>
      </c>
      <c r="AE123">
        <v>2150</v>
      </c>
      <c r="AF123">
        <v>12.7</v>
      </c>
      <c r="AG123">
        <v>0.56599999999999995</v>
      </c>
      <c r="AH123">
        <v>0.61899999999999999</v>
      </c>
      <c r="AI123">
        <v>0.13400000000000001</v>
      </c>
      <c r="AJ123">
        <v>3.9</v>
      </c>
      <c r="AK123">
        <v>13.1</v>
      </c>
      <c r="AL123">
        <v>8.6</v>
      </c>
      <c r="AM123">
        <v>12.9</v>
      </c>
      <c r="AN123">
        <v>2.9</v>
      </c>
      <c r="AO123">
        <v>1.8</v>
      </c>
      <c r="AP123">
        <v>12.9</v>
      </c>
      <c r="AQ123">
        <v>16.399999999999999</v>
      </c>
      <c r="AR123">
        <v>1.1000000000000001</v>
      </c>
      <c r="AS123">
        <v>3.1</v>
      </c>
      <c r="AT123">
        <v>4.2</v>
      </c>
      <c r="AU123">
        <v>9.5000000000000001E-2</v>
      </c>
      <c r="AV123">
        <v>-0.7</v>
      </c>
      <c r="AW123">
        <v>1.6</v>
      </c>
      <c r="AX123">
        <v>0.9</v>
      </c>
      <c r="AY123">
        <v>1.6</v>
      </c>
      <c r="AZ123" s="8">
        <v>2.5500000000000003</v>
      </c>
      <c r="BA123" s="8">
        <v>0.30909090909090914</v>
      </c>
      <c r="BB123" s="3">
        <v>0</v>
      </c>
    </row>
    <row r="124" spans="1:54" x14ac:dyDescent="0.25">
      <c r="A124" t="s">
        <v>234</v>
      </c>
      <c r="B124" s="2">
        <v>8008440</v>
      </c>
      <c r="C124" t="s">
        <v>65</v>
      </c>
      <c r="D124">
        <v>22</v>
      </c>
      <c r="E124" t="s">
        <v>116</v>
      </c>
      <c r="F124">
        <v>80</v>
      </c>
      <c r="G124">
        <v>78</v>
      </c>
      <c r="H124">
        <v>29.8</v>
      </c>
      <c r="I124">
        <v>4.4000000000000004</v>
      </c>
      <c r="J124">
        <v>9.8000000000000007</v>
      </c>
      <c r="K124">
        <v>0.45300000000000001</v>
      </c>
      <c r="L124">
        <v>2.6</v>
      </c>
      <c r="M124">
        <v>6.3</v>
      </c>
      <c r="N124">
        <v>0.41099999999999998</v>
      </c>
      <c r="O124">
        <v>1.9</v>
      </c>
      <c r="P124">
        <v>3.5</v>
      </c>
      <c r="Q124">
        <v>0.52700000000000002</v>
      </c>
      <c r="R124">
        <v>0.58399999999999996</v>
      </c>
      <c r="S124">
        <v>0.8</v>
      </c>
      <c r="T124">
        <v>1</v>
      </c>
      <c r="U124">
        <v>0.76500000000000001</v>
      </c>
      <c r="V124">
        <v>1.1000000000000001</v>
      </c>
      <c r="W124">
        <v>3.5</v>
      </c>
      <c r="X124">
        <v>4.5999999999999996</v>
      </c>
      <c r="Y124">
        <v>1.2</v>
      </c>
      <c r="Z124">
        <v>0.8</v>
      </c>
      <c r="AA124">
        <v>0.5</v>
      </c>
      <c r="AB124">
        <v>0.8</v>
      </c>
      <c r="AC124">
        <v>2</v>
      </c>
      <c r="AD124">
        <v>12.2</v>
      </c>
      <c r="AE124">
        <v>2382</v>
      </c>
      <c r="AF124">
        <v>12.3</v>
      </c>
      <c r="AG124">
        <v>0.59699999999999998</v>
      </c>
      <c r="AH124">
        <v>0.64100000000000001</v>
      </c>
      <c r="AI124">
        <v>0.104</v>
      </c>
      <c r="AJ124">
        <v>4.3</v>
      </c>
      <c r="AK124">
        <v>13.4</v>
      </c>
      <c r="AL124">
        <v>8.9</v>
      </c>
      <c r="AM124">
        <v>5.5</v>
      </c>
      <c r="AN124">
        <v>1.2</v>
      </c>
      <c r="AO124">
        <v>1.5</v>
      </c>
      <c r="AP124">
        <v>6.8</v>
      </c>
      <c r="AQ124">
        <v>15.8</v>
      </c>
      <c r="AR124">
        <v>2.6</v>
      </c>
      <c r="AS124">
        <v>1.7</v>
      </c>
      <c r="AT124">
        <v>4.3</v>
      </c>
      <c r="AU124">
        <v>8.6999999999999994E-2</v>
      </c>
      <c r="AV124">
        <v>0.4</v>
      </c>
      <c r="AW124">
        <v>-1</v>
      </c>
      <c r="AX124">
        <v>-0.6</v>
      </c>
      <c r="AY124">
        <v>0.8</v>
      </c>
      <c r="AZ124" s="8">
        <v>1.8499999999999999</v>
      </c>
      <c r="BA124" s="8">
        <v>0.23100628836577408</v>
      </c>
      <c r="BB124" s="3">
        <v>0</v>
      </c>
    </row>
    <row r="125" spans="1:54" x14ac:dyDescent="0.25">
      <c r="A125" t="s">
        <v>237</v>
      </c>
      <c r="B125" s="2">
        <v>7804878</v>
      </c>
      <c r="C125" t="s">
        <v>52</v>
      </c>
      <c r="D125">
        <v>30</v>
      </c>
      <c r="E125" t="s">
        <v>63</v>
      </c>
      <c r="F125">
        <v>50</v>
      </c>
      <c r="G125">
        <v>14</v>
      </c>
      <c r="H125">
        <v>24.4</v>
      </c>
      <c r="I125">
        <v>2.8</v>
      </c>
      <c r="J125">
        <v>5.8</v>
      </c>
      <c r="K125">
        <v>0.47399999999999998</v>
      </c>
      <c r="L125">
        <v>0.8</v>
      </c>
      <c r="M125">
        <v>2.4</v>
      </c>
      <c r="N125">
        <v>0.34499999999999997</v>
      </c>
      <c r="O125">
        <v>1.9</v>
      </c>
      <c r="P125">
        <v>3.4</v>
      </c>
      <c r="Q125">
        <v>0.56399999999999995</v>
      </c>
      <c r="R125">
        <v>0.54500000000000004</v>
      </c>
      <c r="S125">
        <v>1</v>
      </c>
      <c r="T125">
        <v>1.2</v>
      </c>
      <c r="U125">
        <v>0.86699999999999999</v>
      </c>
      <c r="V125">
        <v>1.2</v>
      </c>
      <c r="W125">
        <v>2.4</v>
      </c>
      <c r="X125">
        <v>3.6</v>
      </c>
      <c r="Y125">
        <v>3.9</v>
      </c>
      <c r="Z125">
        <v>1.8</v>
      </c>
      <c r="AA125">
        <v>0.3</v>
      </c>
      <c r="AB125">
        <v>0.9</v>
      </c>
      <c r="AC125">
        <v>1.2</v>
      </c>
      <c r="AD125">
        <v>7.4</v>
      </c>
      <c r="AE125">
        <v>1221</v>
      </c>
      <c r="AF125">
        <v>16.3</v>
      </c>
      <c r="AG125">
        <v>0.58099999999999996</v>
      </c>
      <c r="AH125">
        <v>0.40899999999999997</v>
      </c>
      <c r="AI125">
        <v>0.20599999999999999</v>
      </c>
      <c r="AJ125">
        <v>5.5</v>
      </c>
      <c r="AK125">
        <v>10.7</v>
      </c>
      <c r="AL125">
        <v>8.1999999999999993</v>
      </c>
      <c r="AM125">
        <v>20.9</v>
      </c>
      <c r="AN125">
        <v>3.7</v>
      </c>
      <c r="AO125">
        <v>1.2</v>
      </c>
      <c r="AP125">
        <v>12.2</v>
      </c>
      <c r="AQ125">
        <v>12.9</v>
      </c>
      <c r="AR125">
        <v>2.1</v>
      </c>
      <c r="AS125">
        <v>1.6</v>
      </c>
      <c r="AT125">
        <v>3.7</v>
      </c>
      <c r="AU125">
        <v>0.14599999999999999</v>
      </c>
      <c r="AV125">
        <v>0.4</v>
      </c>
      <c r="AW125">
        <v>3.1</v>
      </c>
      <c r="AX125">
        <v>3.4</v>
      </c>
      <c r="AY125">
        <v>1.7</v>
      </c>
      <c r="AZ125" s="8">
        <v>3.55</v>
      </c>
      <c r="BA125" s="8">
        <v>0.45484375284277345</v>
      </c>
      <c r="BB125" s="3">
        <v>0</v>
      </c>
    </row>
    <row r="126" spans="1:54" x14ac:dyDescent="0.25">
      <c r="A126" t="s">
        <v>238</v>
      </c>
      <c r="B126" s="2">
        <v>7775400</v>
      </c>
      <c r="C126" t="s">
        <v>28</v>
      </c>
      <c r="D126">
        <v>21</v>
      </c>
      <c r="E126" t="s">
        <v>87</v>
      </c>
      <c r="F126">
        <v>82</v>
      </c>
      <c r="G126">
        <v>65</v>
      </c>
      <c r="H126">
        <v>28.3</v>
      </c>
      <c r="I126">
        <v>3.8</v>
      </c>
      <c r="J126">
        <v>8.3000000000000007</v>
      </c>
      <c r="K126">
        <v>0.46400000000000002</v>
      </c>
      <c r="L126">
        <v>1.4</v>
      </c>
      <c r="M126">
        <v>3.4</v>
      </c>
      <c r="N126">
        <v>0.41499999999999998</v>
      </c>
      <c r="O126">
        <v>2.4</v>
      </c>
      <c r="P126">
        <v>4.9000000000000004</v>
      </c>
      <c r="Q126">
        <v>0.498</v>
      </c>
      <c r="R126">
        <v>0.54900000000000004</v>
      </c>
      <c r="S126">
        <v>1.1000000000000001</v>
      </c>
      <c r="T126">
        <v>1.3</v>
      </c>
      <c r="U126">
        <v>0.85699999999999998</v>
      </c>
      <c r="V126">
        <v>1</v>
      </c>
      <c r="W126">
        <v>3</v>
      </c>
      <c r="X126">
        <v>4</v>
      </c>
      <c r="Y126">
        <v>1.2</v>
      </c>
      <c r="Z126">
        <v>0.9</v>
      </c>
      <c r="AA126">
        <v>0.9</v>
      </c>
      <c r="AB126">
        <v>1.2</v>
      </c>
      <c r="AC126">
        <v>1.8</v>
      </c>
      <c r="AD126">
        <v>10.199999999999999</v>
      </c>
      <c r="AE126">
        <v>2323</v>
      </c>
      <c r="AF126">
        <v>11.2</v>
      </c>
      <c r="AG126">
        <v>0.57599999999999996</v>
      </c>
      <c r="AH126">
        <v>0.40899999999999997</v>
      </c>
      <c r="AI126">
        <v>0.155</v>
      </c>
      <c r="AJ126">
        <v>3.9</v>
      </c>
      <c r="AK126">
        <v>12</v>
      </c>
      <c r="AL126">
        <v>8</v>
      </c>
      <c r="AM126">
        <v>5.8</v>
      </c>
      <c r="AN126">
        <v>1.5</v>
      </c>
      <c r="AO126">
        <v>2.9</v>
      </c>
      <c r="AP126">
        <v>12.3</v>
      </c>
      <c r="AQ126">
        <v>15.7</v>
      </c>
      <c r="AR126">
        <v>0.5</v>
      </c>
      <c r="AS126">
        <v>3</v>
      </c>
      <c r="AT126">
        <v>3.5</v>
      </c>
      <c r="AU126">
        <v>7.1999999999999995E-2</v>
      </c>
      <c r="AV126">
        <v>-1.7</v>
      </c>
      <c r="AW126">
        <v>0.4</v>
      </c>
      <c r="AX126">
        <v>-1.3</v>
      </c>
      <c r="AY126">
        <v>0.4</v>
      </c>
      <c r="AZ126" s="8">
        <v>1.1000000000000001</v>
      </c>
      <c r="BA126" s="8">
        <v>0.14147182138539496</v>
      </c>
      <c r="BB126" s="3">
        <v>0</v>
      </c>
    </row>
    <row r="127" spans="1:54" x14ac:dyDescent="0.25">
      <c r="A127" t="s">
        <v>240</v>
      </c>
      <c r="B127" s="2">
        <v>7426088</v>
      </c>
      <c r="C127" t="s">
        <v>65</v>
      </c>
      <c r="D127">
        <v>27</v>
      </c>
      <c r="E127" t="s">
        <v>107</v>
      </c>
      <c r="F127">
        <v>77</v>
      </c>
      <c r="G127">
        <v>2</v>
      </c>
      <c r="H127">
        <v>20.100000000000001</v>
      </c>
      <c r="I127">
        <v>3.1</v>
      </c>
      <c r="J127">
        <v>6.9</v>
      </c>
      <c r="K127">
        <v>0.45100000000000001</v>
      </c>
      <c r="L127">
        <v>1.5</v>
      </c>
      <c r="M127">
        <v>4.0999999999999996</v>
      </c>
      <c r="N127">
        <v>0.372</v>
      </c>
      <c r="O127">
        <v>1.6</v>
      </c>
      <c r="P127">
        <v>2.8</v>
      </c>
      <c r="Q127">
        <v>0.56399999999999995</v>
      </c>
      <c r="R127">
        <v>0.56000000000000005</v>
      </c>
      <c r="S127">
        <v>1</v>
      </c>
      <c r="T127">
        <v>1.4</v>
      </c>
      <c r="U127">
        <v>0.69399999999999995</v>
      </c>
      <c r="V127">
        <v>0.3</v>
      </c>
      <c r="W127">
        <v>2</v>
      </c>
      <c r="X127">
        <v>2.2999999999999998</v>
      </c>
      <c r="Y127">
        <v>1.5</v>
      </c>
      <c r="Z127">
        <v>0.5</v>
      </c>
      <c r="AA127">
        <v>0.1</v>
      </c>
      <c r="AB127">
        <v>0.7</v>
      </c>
      <c r="AC127">
        <v>1.6</v>
      </c>
      <c r="AD127">
        <v>8.6999999999999993</v>
      </c>
      <c r="AE127">
        <v>1548</v>
      </c>
      <c r="AF127">
        <v>12</v>
      </c>
      <c r="AG127">
        <v>0.57899999999999996</v>
      </c>
      <c r="AH127">
        <v>0.58899999999999997</v>
      </c>
      <c r="AI127">
        <v>0.20399999999999999</v>
      </c>
      <c r="AJ127">
        <v>1.9</v>
      </c>
      <c r="AK127">
        <v>11.5</v>
      </c>
      <c r="AL127">
        <v>6.7</v>
      </c>
      <c r="AM127">
        <v>10.6</v>
      </c>
      <c r="AN127">
        <v>1.1000000000000001</v>
      </c>
      <c r="AO127">
        <v>0.7</v>
      </c>
      <c r="AP127">
        <v>8.3000000000000007</v>
      </c>
      <c r="AQ127">
        <v>18.2</v>
      </c>
      <c r="AR127">
        <v>1.4</v>
      </c>
      <c r="AS127">
        <v>1.9</v>
      </c>
      <c r="AT127">
        <v>3.3</v>
      </c>
      <c r="AU127">
        <v>0.10299999999999999</v>
      </c>
      <c r="AV127">
        <v>-0.8</v>
      </c>
      <c r="AW127">
        <v>0.2</v>
      </c>
      <c r="AX127">
        <v>-0.7</v>
      </c>
      <c r="AY127">
        <v>0.5</v>
      </c>
      <c r="AZ127" s="8">
        <v>1.2999999999999998</v>
      </c>
      <c r="BA127" s="8">
        <v>0.1750585234109803</v>
      </c>
      <c r="BB127" s="3">
        <v>0</v>
      </c>
    </row>
    <row r="128" spans="1:54" x14ac:dyDescent="0.25">
      <c r="A128" t="s">
        <v>241</v>
      </c>
      <c r="B128" s="2">
        <v>7413955</v>
      </c>
      <c r="C128" t="s">
        <v>62</v>
      </c>
      <c r="D128">
        <v>22</v>
      </c>
      <c r="E128" t="s">
        <v>87</v>
      </c>
      <c r="F128">
        <v>74</v>
      </c>
      <c r="G128">
        <v>2</v>
      </c>
      <c r="H128">
        <v>23.4</v>
      </c>
      <c r="I128">
        <v>3.6</v>
      </c>
      <c r="J128">
        <v>8</v>
      </c>
      <c r="K128">
        <v>0.443</v>
      </c>
      <c r="L128">
        <v>1.7</v>
      </c>
      <c r="M128">
        <v>4.5999999999999996</v>
      </c>
      <c r="N128">
        <v>0.372</v>
      </c>
      <c r="O128">
        <v>1.8</v>
      </c>
      <c r="P128">
        <v>3.4</v>
      </c>
      <c r="Q128">
        <v>0.54</v>
      </c>
      <c r="R128">
        <v>0.55100000000000005</v>
      </c>
      <c r="S128">
        <v>0.8</v>
      </c>
      <c r="T128">
        <v>0.9</v>
      </c>
      <c r="U128">
        <v>0.871</v>
      </c>
      <c r="V128">
        <v>0.2</v>
      </c>
      <c r="W128">
        <v>2.6</v>
      </c>
      <c r="X128">
        <v>2.9</v>
      </c>
      <c r="Y128">
        <v>2.8</v>
      </c>
      <c r="Z128">
        <v>0.7</v>
      </c>
      <c r="AA128">
        <v>0.1</v>
      </c>
      <c r="AB128">
        <v>1</v>
      </c>
      <c r="AC128">
        <v>1.6</v>
      </c>
      <c r="AD128">
        <v>9.6999999999999993</v>
      </c>
      <c r="AE128">
        <v>1730</v>
      </c>
      <c r="AF128">
        <v>12.5</v>
      </c>
      <c r="AG128">
        <v>0.57199999999999995</v>
      </c>
      <c r="AH128">
        <v>0.57899999999999996</v>
      </c>
      <c r="AI128">
        <v>0.11799999999999999</v>
      </c>
      <c r="AJ128">
        <v>1.1000000000000001</v>
      </c>
      <c r="AK128">
        <v>12.6</v>
      </c>
      <c r="AL128">
        <v>6.9</v>
      </c>
      <c r="AM128">
        <v>16.3</v>
      </c>
      <c r="AN128">
        <v>1.5</v>
      </c>
      <c r="AO128">
        <v>0.3</v>
      </c>
      <c r="AP128">
        <v>10.6</v>
      </c>
      <c r="AQ128">
        <v>17.899999999999999</v>
      </c>
      <c r="AR128">
        <v>1.2</v>
      </c>
      <c r="AS128">
        <v>1.9</v>
      </c>
      <c r="AT128">
        <v>3.1</v>
      </c>
      <c r="AU128">
        <v>8.6999999999999994E-2</v>
      </c>
      <c r="AV128">
        <v>-1</v>
      </c>
      <c r="AW128">
        <v>0.2</v>
      </c>
      <c r="AX128">
        <v>-0.8</v>
      </c>
      <c r="AY128">
        <v>0.5</v>
      </c>
      <c r="AZ128" s="8">
        <v>1.1499999999999999</v>
      </c>
      <c r="BA128" s="8">
        <v>0.15511289183708291</v>
      </c>
      <c r="BB128" s="3">
        <v>0</v>
      </c>
    </row>
    <row r="129" spans="1:54" x14ac:dyDescent="0.25">
      <c r="A129" t="s">
        <v>242</v>
      </c>
      <c r="B129" s="2">
        <v>7350000</v>
      </c>
      <c r="C129" t="s">
        <v>75</v>
      </c>
      <c r="D129">
        <v>25</v>
      </c>
      <c r="E129" t="s">
        <v>175</v>
      </c>
      <c r="F129">
        <v>63</v>
      </c>
      <c r="G129">
        <v>26</v>
      </c>
      <c r="H129">
        <v>22.9</v>
      </c>
      <c r="I129">
        <v>4.5</v>
      </c>
      <c r="J129">
        <v>8.6999999999999993</v>
      </c>
      <c r="K129">
        <v>0.51800000000000002</v>
      </c>
      <c r="L129">
        <v>0.9</v>
      </c>
      <c r="M129">
        <v>2.2999999999999998</v>
      </c>
      <c r="N129">
        <v>0.374</v>
      </c>
      <c r="O129">
        <v>3.6</v>
      </c>
      <c r="P129">
        <v>6.4</v>
      </c>
      <c r="Q129">
        <v>0.57099999999999995</v>
      </c>
      <c r="R129">
        <v>0.56799999999999995</v>
      </c>
      <c r="S129">
        <v>1.7</v>
      </c>
      <c r="T129">
        <v>2.2999999999999998</v>
      </c>
      <c r="U129">
        <v>0.76100000000000001</v>
      </c>
      <c r="V129">
        <v>1.8</v>
      </c>
      <c r="W129">
        <v>4.5</v>
      </c>
      <c r="X129">
        <v>6.4</v>
      </c>
      <c r="Y129">
        <v>2.9</v>
      </c>
      <c r="Z129">
        <v>0.6</v>
      </c>
      <c r="AA129">
        <v>0.8</v>
      </c>
      <c r="AB129">
        <v>2</v>
      </c>
      <c r="AC129">
        <v>3.2</v>
      </c>
      <c r="AD129">
        <v>11.6</v>
      </c>
      <c r="AE129">
        <v>1441</v>
      </c>
      <c r="AF129">
        <v>16.399999999999999</v>
      </c>
      <c r="AG129">
        <v>0.59899999999999998</v>
      </c>
      <c r="AH129">
        <v>0.26800000000000002</v>
      </c>
      <c r="AI129">
        <v>0.25900000000000001</v>
      </c>
      <c r="AJ129">
        <v>8.5</v>
      </c>
      <c r="AK129">
        <v>22.5</v>
      </c>
      <c r="AL129">
        <v>15.2</v>
      </c>
      <c r="AM129">
        <v>18</v>
      </c>
      <c r="AN129">
        <v>1.2</v>
      </c>
      <c r="AO129">
        <v>2.8</v>
      </c>
      <c r="AP129">
        <v>17.399999999999999</v>
      </c>
      <c r="AQ129">
        <v>21.2</v>
      </c>
      <c r="AR129">
        <v>1.2</v>
      </c>
      <c r="AS129">
        <v>1</v>
      </c>
      <c r="AT129">
        <v>2.2000000000000002</v>
      </c>
      <c r="AU129">
        <v>7.3999999999999996E-2</v>
      </c>
      <c r="AV129">
        <v>-0.5</v>
      </c>
      <c r="AW129">
        <v>0.3</v>
      </c>
      <c r="AX129">
        <v>-0.2</v>
      </c>
      <c r="AY129">
        <v>0.6</v>
      </c>
      <c r="AZ129" s="8">
        <v>1</v>
      </c>
      <c r="BA129" s="8">
        <v>0.1360544217687075</v>
      </c>
      <c r="BB129" s="3">
        <v>0</v>
      </c>
    </row>
    <row r="130" spans="1:54" x14ac:dyDescent="0.25">
      <c r="A130" t="s">
        <v>246</v>
      </c>
      <c r="B130" s="2">
        <v>7040880</v>
      </c>
      <c r="C130" t="s">
        <v>65</v>
      </c>
      <c r="D130">
        <v>22</v>
      </c>
      <c r="E130" t="s">
        <v>107</v>
      </c>
      <c r="F130">
        <v>76</v>
      </c>
      <c r="G130">
        <v>46</v>
      </c>
      <c r="H130">
        <v>21.7</v>
      </c>
      <c r="I130">
        <v>2.2999999999999998</v>
      </c>
      <c r="J130">
        <v>4.7</v>
      </c>
      <c r="K130">
        <v>0.49399999999999999</v>
      </c>
      <c r="L130">
        <v>0.8</v>
      </c>
      <c r="M130">
        <v>2.2999999999999998</v>
      </c>
      <c r="N130">
        <v>0.36299999999999999</v>
      </c>
      <c r="O130">
        <v>1.5</v>
      </c>
      <c r="P130">
        <v>2.4</v>
      </c>
      <c r="Q130">
        <v>0.61699999999999999</v>
      </c>
      <c r="R130">
        <v>0.58199999999999996</v>
      </c>
      <c r="S130">
        <v>1</v>
      </c>
      <c r="T130">
        <v>1.4</v>
      </c>
      <c r="U130">
        <v>0.75700000000000001</v>
      </c>
      <c r="V130">
        <v>0.7</v>
      </c>
      <c r="W130">
        <v>1.8</v>
      </c>
      <c r="X130">
        <v>2.5</v>
      </c>
      <c r="Y130">
        <v>1.1000000000000001</v>
      </c>
      <c r="Z130">
        <v>0.7</v>
      </c>
      <c r="AA130">
        <v>0.4</v>
      </c>
      <c r="AB130">
        <v>0.6</v>
      </c>
      <c r="AC130">
        <v>2.1</v>
      </c>
      <c r="AD130">
        <v>6.4</v>
      </c>
      <c r="AE130">
        <v>1652</v>
      </c>
      <c r="AF130">
        <v>10.7</v>
      </c>
      <c r="AG130">
        <v>0.61399999999999999</v>
      </c>
      <c r="AH130">
        <v>0.48299999999999998</v>
      </c>
      <c r="AI130">
        <v>0.29099999999999998</v>
      </c>
      <c r="AJ130">
        <v>3.7</v>
      </c>
      <c r="AK130">
        <v>9.6</v>
      </c>
      <c r="AL130">
        <v>6.7</v>
      </c>
      <c r="AM130">
        <v>7</v>
      </c>
      <c r="AN130">
        <v>1.7</v>
      </c>
      <c r="AO130">
        <v>1.7</v>
      </c>
      <c r="AP130">
        <v>9.5</v>
      </c>
      <c r="AQ130">
        <v>11.9</v>
      </c>
      <c r="AR130">
        <v>1.9</v>
      </c>
      <c r="AS130">
        <v>2.2999999999999998</v>
      </c>
      <c r="AT130">
        <v>4.2</v>
      </c>
      <c r="AU130">
        <v>0.122</v>
      </c>
      <c r="AV130">
        <v>-1.9</v>
      </c>
      <c r="AW130">
        <v>1.6</v>
      </c>
      <c r="AX130">
        <v>-0.3</v>
      </c>
      <c r="AY130">
        <v>0.7</v>
      </c>
      <c r="AZ130" s="8">
        <v>1.9500000000000002</v>
      </c>
      <c r="BA130" s="8">
        <v>0.27695401711149747</v>
      </c>
      <c r="BB130" s="3">
        <v>0</v>
      </c>
    </row>
    <row r="131" spans="1:54" x14ac:dyDescent="0.25">
      <c r="A131" t="s">
        <v>248</v>
      </c>
      <c r="B131" s="2">
        <v>6922320</v>
      </c>
      <c r="C131" t="s">
        <v>62</v>
      </c>
      <c r="D131">
        <v>21</v>
      </c>
      <c r="E131" t="s">
        <v>152</v>
      </c>
      <c r="F131">
        <v>53</v>
      </c>
      <c r="G131">
        <v>19</v>
      </c>
      <c r="H131">
        <v>23.5</v>
      </c>
      <c r="I131">
        <v>3.5</v>
      </c>
      <c r="J131">
        <v>8.4</v>
      </c>
      <c r="K131">
        <v>0.41899999999999998</v>
      </c>
      <c r="L131">
        <v>1.2</v>
      </c>
      <c r="M131">
        <v>3.8</v>
      </c>
      <c r="N131">
        <v>0.32700000000000001</v>
      </c>
      <c r="O131">
        <v>2.2999999999999998</v>
      </c>
      <c r="P131">
        <v>4.5999999999999996</v>
      </c>
      <c r="Q131">
        <v>0.496</v>
      </c>
      <c r="R131">
        <v>0.49299999999999999</v>
      </c>
      <c r="S131">
        <v>1.6</v>
      </c>
      <c r="T131">
        <v>2.2000000000000002</v>
      </c>
      <c r="U131">
        <v>0.72299999999999998</v>
      </c>
      <c r="V131">
        <v>1</v>
      </c>
      <c r="W131">
        <v>2</v>
      </c>
      <c r="X131">
        <v>3</v>
      </c>
      <c r="Y131">
        <v>2.9</v>
      </c>
      <c r="Z131">
        <v>1.3</v>
      </c>
      <c r="AA131">
        <v>0.5</v>
      </c>
      <c r="AB131">
        <v>1.8</v>
      </c>
      <c r="AC131">
        <v>2.2999999999999998</v>
      </c>
      <c r="AD131">
        <v>9.9</v>
      </c>
      <c r="AE131">
        <v>1246</v>
      </c>
      <c r="AF131">
        <v>12.5</v>
      </c>
      <c r="AG131">
        <v>0.52800000000000002</v>
      </c>
      <c r="AH131">
        <v>0.45500000000000002</v>
      </c>
      <c r="AI131">
        <v>0.26800000000000002</v>
      </c>
      <c r="AJ131">
        <v>5</v>
      </c>
      <c r="AK131">
        <v>9.6</v>
      </c>
      <c r="AL131">
        <v>7.3</v>
      </c>
      <c r="AM131">
        <v>18</v>
      </c>
      <c r="AN131">
        <v>2.6</v>
      </c>
      <c r="AO131">
        <v>2.1</v>
      </c>
      <c r="AP131">
        <v>15.9</v>
      </c>
      <c r="AQ131">
        <v>20.3</v>
      </c>
      <c r="AR131">
        <v>-0.2</v>
      </c>
      <c r="AS131">
        <v>1.5</v>
      </c>
      <c r="AT131">
        <v>1.4</v>
      </c>
      <c r="AU131">
        <v>5.2999999999999999E-2</v>
      </c>
      <c r="AV131">
        <v>-1.8</v>
      </c>
      <c r="AW131">
        <v>0.8</v>
      </c>
      <c r="AX131">
        <v>-1</v>
      </c>
      <c r="AY131">
        <v>0.3</v>
      </c>
      <c r="AZ131" s="8">
        <v>0.19999999999999996</v>
      </c>
      <c r="BA131" s="8">
        <v>2.8892047752776519E-2</v>
      </c>
      <c r="BB131" s="3">
        <v>0</v>
      </c>
    </row>
    <row r="132" spans="1:54" x14ac:dyDescent="0.25">
      <c r="A132" t="s">
        <v>252</v>
      </c>
      <c r="B132" s="2">
        <v>6479000</v>
      </c>
      <c r="C132" t="s">
        <v>65</v>
      </c>
      <c r="D132">
        <v>26</v>
      </c>
      <c r="E132" t="s">
        <v>103</v>
      </c>
      <c r="F132">
        <v>80</v>
      </c>
      <c r="G132">
        <v>31</v>
      </c>
      <c r="H132">
        <v>28.5</v>
      </c>
      <c r="I132">
        <v>4.5</v>
      </c>
      <c r="J132">
        <v>9.3000000000000007</v>
      </c>
      <c r="K132">
        <v>0.48299999999999998</v>
      </c>
      <c r="L132">
        <v>1.1000000000000001</v>
      </c>
      <c r="M132">
        <v>3.2</v>
      </c>
      <c r="N132">
        <v>0.35799999999999998</v>
      </c>
      <c r="O132">
        <v>3.3</v>
      </c>
      <c r="P132">
        <v>6.1</v>
      </c>
      <c r="Q132">
        <v>0.54800000000000004</v>
      </c>
      <c r="R132">
        <v>0.54500000000000004</v>
      </c>
      <c r="S132">
        <v>1.5</v>
      </c>
      <c r="T132">
        <v>1.9</v>
      </c>
      <c r="U132">
        <v>0.75800000000000001</v>
      </c>
      <c r="V132">
        <v>0.8</v>
      </c>
      <c r="W132">
        <v>3.3</v>
      </c>
      <c r="X132">
        <v>4.0999999999999996</v>
      </c>
      <c r="Y132">
        <v>3.4</v>
      </c>
      <c r="Z132">
        <v>1.1000000000000001</v>
      </c>
      <c r="AA132">
        <v>0.6</v>
      </c>
      <c r="AB132">
        <v>1.5</v>
      </c>
      <c r="AC132">
        <v>2.4</v>
      </c>
      <c r="AD132">
        <v>11.5</v>
      </c>
      <c r="AE132">
        <v>2280</v>
      </c>
      <c r="AF132">
        <v>13.3</v>
      </c>
      <c r="AG132">
        <v>0.57099999999999995</v>
      </c>
      <c r="AH132">
        <v>0.34300000000000003</v>
      </c>
      <c r="AI132">
        <v>0.20599999999999999</v>
      </c>
      <c r="AJ132">
        <v>3.3</v>
      </c>
      <c r="AK132">
        <v>13</v>
      </c>
      <c r="AL132">
        <v>8.3000000000000007</v>
      </c>
      <c r="AM132">
        <v>15.7</v>
      </c>
      <c r="AN132">
        <v>1.9</v>
      </c>
      <c r="AO132">
        <v>2</v>
      </c>
      <c r="AP132">
        <v>13.2</v>
      </c>
      <c r="AQ132">
        <v>17.8</v>
      </c>
      <c r="AR132">
        <v>1.7</v>
      </c>
      <c r="AS132">
        <v>2.6</v>
      </c>
      <c r="AT132">
        <v>4.3</v>
      </c>
      <c r="AU132">
        <v>0.09</v>
      </c>
      <c r="AV132">
        <v>-1.1000000000000001</v>
      </c>
      <c r="AW132">
        <v>0.6</v>
      </c>
      <c r="AX132">
        <v>-0.5</v>
      </c>
      <c r="AY132">
        <v>0.9</v>
      </c>
      <c r="AZ132" s="8">
        <v>1.9</v>
      </c>
      <c r="BA132" s="8">
        <v>0.2932551319648094</v>
      </c>
      <c r="BB132" s="3">
        <v>0</v>
      </c>
    </row>
    <row r="133" spans="1:54" x14ac:dyDescent="0.25">
      <c r="A133" t="s">
        <v>253</v>
      </c>
      <c r="B133" s="2">
        <v>6479000</v>
      </c>
      <c r="C133" t="s">
        <v>65</v>
      </c>
      <c r="D133">
        <v>27</v>
      </c>
      <c r="E133" t="s">
        <v>80</v>
      </c>
      <c r="F133">
        <v>71</v>
      </c>
      <c r="G133">
        <v>49</v>
      </c>
      <c r="H133">
        <v>29.3</v>
      </c>
      <c r="I133">
        <v>3.6</v>
      </c>
      <c r="J133">
        <v>7.7</v>
      </c>
      <c r="K133">
        <v>0.46400000000000002</v>
      </c>
      <c r="L133">
        <v>1.2</v>
      </c>
      <c r="M133">
        <v>3.3</v>
      </c>
      <c r="N133">
        <v>0.35599999999999998</v>
      </c>
      <c r="O133">
        <v>2.4</v>
      </c>
      <c r="P133">
        <v>4.4000000000000004</v>
      </c>
      <c r="Q133">
        <v>0.54500000000000004</v>
      </c>
      <c r="R133">
        <v>0.54</v>
      </c>
      <c r="S133">
        <v>1.3</v>
      </c>
      <c r="T133">
        <v>1.6</v>
      </c>
      <c r="U133">
        <v>0.80500000000000005</v>
      </c>
      <c r="V133">
        <v>1.2</v>
      </c>
      <c r="W133">
        <v>3.6</v>
      </c>
      <c r="X133">
        <v>4.8</v>
      </c>
      <c r="Y133">
        <v>1.6</v>
      </c>
      <c r="Z133">
        <v>1</v>
      </c>
      <c r="AA133">
        <v>0.4</v>
      </c>
      <c r="AB133">
        <v>1.1000000000000001</v>
      </c>
      <c r="AC133">
        <v>2</v>
      </c>
      <c r="AD133">
        <v>9.6</v>
      </c>
      <c r="AE133">
        <v>2077</v>
      </c>
      <c r="AF133">
        <v>11.4</v>
      </c>
      <c r="AG133">
        <v>0.57099999999999995</v>
      </c>
      <c r="AH133">
        <v>0.43099999999999999</v>
      </c>
      <c r="AI133">
        <v>0.20599999999999999</v>
      </c>
      <c r="AJ133">
        <v>4.8</v>
      </c>
      <c r="AK133">
        <v>15</v>
      </c>
      <c r="AL133">
        <v>9.6999999999999993</v>
      </c>
      <c r="AM133">
        <v>8.1999999999999993</v>
      </c>
      <c r="AN133">
        <v>1.7</v>
      </c>
      <c r="AO133">
        <v>1.5</v>
      </c>
      <c r="AP133">
        <v>11.5</v>
      </c>
      <c r="AQ133">
        <v>14.4</v>
      </c>
      <c r="AR133">
        <v>1.2</v>
      </c>
      <c r="AS133">
        <v>2.5</v>
      </c>
      <c r="AT133">
        <v>3.7</v>
      </c>
      <c r="AU133">
        <v>8.5999999999999993E-2</v>
      </c>
      <c r="AV133">
        <v>-1.8</v>
      </c>
      <c r="AW133">
        <v>0.5</v>
      </c>
      <c r="AX133">
        <v>-1.2</v>
      </c>
      <c r="AY133">
        <v>0.4</v>
      </c>
      <c r="AZ133" s="8">
        <v>1.25</v>
      </c>
      <c r="BA133" s="8">
        <v>0.19293100787158513</v>
      </c>
      <c r="BB133" s="3">
        <v>0</v>
      </c>
    </row>
    <row r="134" spans="1:54" x14ac:dyDescent="0.25">
      <c r="A134" t="s">
        <v>254</v>
      </c>
      <c r="B134" s="2">
        <v>6479000</v>
      </c>
      <c r="C134" t="s">
        <v>65</v>
      </c>
      <c r="D134">
        <v>35</v>
      </c>
      <c r="E134" t="s">
        <v>68</v>
      </c>
      <c r="F134">
        <v>46</v>
      </c>
      <c r="G134">
        <v>0</v>
      </c>
      <c r="H134">
        <v>22.7</v>
      </c>
      <c r="I134">
        <v>2.2999999999999998</v>
      </c>
      <c r="J134">
        <v>5.4</v>
      </c>
      <c r="K134">
        <v>0.435</v>
      </c>
      <c r="L134">
        <v>1.8</v>
      </c>
      <c r="M134">
        <v>4.4000000000000004</v>
      </c>
      <c r="N134">
        <v>0.40899999999999997</v>
      </c>
      <c r="O134">
        <v>0.5</v>
      </c>
      <c r="P134">
        <v>1</v>
      </c>
      <c r="Q134">
        <v>0.55600000000000005</v>
      </c>
      <c r="R134">
        <v>0.60299999999999998</v>
      </c>
      <c r="S134">
        <v>0.4</v>
      </c>
      <c r="T134">
        <v>0.5</v>
      </c>
      <c r="U134">
        <v>0.85699999999999998</v>
      </c>
      <c r="V134">
        <v>0.3</v>
      </c>
      <c r="W134">
        <v>2.5</v>
      </c>
      <c r="X134">
        <v>2.8</v>
      </c>
      <c r="Y134">
        <v>3.3</v>
      </c>
      <c r="Z134">
        <v>0.7</v>
      </c>
      <c r="AA134">
        <v>0.1</v>
      </c>
      <c r="AB134">
        <v>1.2</v>
      </c>
      <c r="AC134">
        <v>1.6</v>
      </c>
      <c r="AD134">
        <v>6.9</v>
      </c>
      <c r="AE134">
        <v>1044</v>
      </c>
      <c r="AF134">
        <v>10.7</v>
      </c>
      <c r="AG134">
        <v>0.61599999999999999</v>
      </c>
      <c r="AH134">
        <v>0.81899999999999995</v>
      </c>
      <c r="AI134">
        <v>8.5000000000000006E-2</v>
      </c>
      <c r="AJ134">
        <v>1.4</v>
      </c>
      <c r="AK134">
        <v>11.1</v>
      </c>
      <c r="AL134">
        <v>6.4</v>
      </c>
      <c r="AM134">
        <v>18.399999999999999</v>
      </c>
      <c r="AN134">
        <v>1.5</v>
      </c>
      <c r="AO134">
        <v>0.5</v>
      </c>
      <c r="AP134">
        <v>17.600000000000001</v>
      </c>
      <c r="AQ134">
        <v>12.6</v>
      </c>
      <c r="AR134">
        <v>1.1000000000000001</v>
      </c>
      <c r="AS134">
        <v>1.2</v>
      </c>
      <c r="AT134">
        <v>2.2999999999999998</v>
      </c>
      <c r="AU134">
        <v>0.107</v>
      </c>
      <c r="AV134">
        <v>-1.6</v>
      </c>
      <c r="AW134">
        <v>0.8</v>
      </c>
      <c r="AX134">
        <v>-0.7</v>
      </c>
      <c r="AY134">
        <v>0.3</v>
      </c>
      <c r="AZ134" s="8">
        <v>0.79999999999999993</v>
      </c>
      <c r="BA134" s="8">
        <v>0.12347584503781446</v>
      </c>
      <c r="BB134" s="3">
        <v>0</v>
      </c>
    </row>
    <row r="135" spans="1:54" x14ac:dyDescent="0.25">
      <c r="A135" t="s">
        <v>255</v>
      </c>
      <c r="B135" s="2">
        <v>6395160</v>
      </c>
      <c r="C135" t="s">
        <v>75</v>
      </c>
      <c r="D135">
        <v>22</v>
      </c>
      <c r="E135" t="s">
        <v>85</v>
      </c>
      <c r="F135">
        <v>80</v>
      </c>
      <c r="G135">
        <v>18</v>
      </c>
      <c r="H135">
        <v>23.1</v>
      </c>
      <c r="I135">
        <v>4</v>
      </c>
      <c r="J135">
        <v>6.2</v>
      </c>
      <c r="K135">
        <v>0.63800000000000001</v>
      </c>
      <c r="L135">
        <v>0.1</v>
      </c>
      <c r="M135">
        <v>0.2</v>
      </c>
      <c r="N135">
        <v>0.308</v>
      </c>
      <c r="O135">
        <v>3.9</v>
      </c>
      <c r="P135">
        <v>6.1</v>
      </c>
      <c r="Q135">
        <v>0.64700000000000002</v>
      </c>
      <c r="R135">
        <v>0.64200000000000002</v>
      </c>
      <c r="S135">
        <v>1.9</v>
      </c>
      <c r="T135">
        <v>2.5</v>
      </c>
      <c r="U135">
        <v>0.78100000000000003</v>
      </c>
      <c r="V135">
        <v>2.7</v>
      </c>
      <c r="W135">
        <v>4.5</v>
      </c>
      <c r="X135">
        <v>7.2</v>
      </c>
      <c r="Y135">
        <v>1</v>
      </c>
      <c r="Z135">
        <v>0.7</v>
      </c>
      <c r="AA135">
        <v>1.3</v>
      </c>
      <c r="AB135">
        <v>1</v>
      </c>
      <c r="AC135">
        <v>3.1</v>
      </c>
      <c r="AD135">
        <v>9.9</v>
      </c>
      <c r="AE135">
        <v>1849</v>
      </c>
      <c r="AF135">
        <v>19.399999999999999</v>
      </c>
      <c r="AG135">
        <v>0.67800000000000005</v>
      </c>
      <c r="AH135">
        <v>2.5999999999999999E-2</v>
      </c>
      <c r="AI135">
        <v>0.39400000000000002</v>
      </c>
      <c r="AJ135">
        <v>12.7</v>
      </c>
      <c r="AK135">
        <v>21.5</v>
      </c>
      <c r="AL135">
        <v>17</v>
      </c>
      <c r="AM135">
        <v>5.8</v>
      </c>
      <c r="AN135">
        <v>1.4</v>
      </c>
      <c r="AO135">
        <v>4.9000000000000004</v>
      </c>
      <c r="AP135">
        <v>12.2</v>
      </c>
      <c r="AQ135">
        <v>15.1</v>
      </c>
      <c r="AR135">
        <v>4.7</v>
      </c>
      <c r="AS135">
        <v>2.4</v>
      </c>
      <c r="AT135">
        <v>7.1</v>
      </c>
      <c r="AU135">
        <v>0.185</v>
      </c>
      <c r="AV135">
        <v>0</v>
      </c>
      <c r="AW135">
        <v>0.8</v>
      </c>
      <c r="AX135">
        <v>0.8</v>
      </c>
      <c r="AY135">
        <v>1.3</v>
      </c>
      <c r="AZ135" s="8">
        <v>3.9499999999999997</v>
      </c>
      <c r="BA135" s="8">
        <v>0.61765460129222716</v>
      </c>
      <c r="BB135" s="3">
        <v>0</v>
      </c>
    </row>
    <row r="136" spans="1:54" x14ac:dyDescent="0.25">
      <c r="A136" t="s">
        <v>256</v>
      </c>
      <c r="B136" s="2">
        <v>6287400</v>
      </c>
      <c r="C136" t="s">
        <v>28</v>
      </c>
      <c r="D136">
        <v>20</v>
      </c>
      <c r="E136" t="s">
        <v>109</v>
      </c>
      <c r="F136">
        <v>76</v>
      </c>
      <c r="G136">
        <v>76</v>
      </c>
      <c r="H136">
        <v>31.1</v>
      </c>
      <c r="I136">
        <v>7.1</v>
      </c>
      <c r="J136">
        <v>14.7</v>
      </c>
      <c r="K136">
        <v>0.48199999999999998</v>
      </c>
      <c r="L136">
        <v>1</v>
      </c>
      <c r="M136">
        <v>3.1</v>
      </c>
      <c r="N136">
        <v>0.32500000000000001</v>
      </c>
      <c r="O136">
        <v>6.1</v>
      </c>
      <c r="P136">
        <v>11.6</v>
      </c>
      <c r="Q136">
        <v>0.52400000000000002</v>
      </c>
      <c r="R136">
        <v>0.51600000000000001</v>
      </c>
      <c r="S136">
        <v>1.4</v>
      </c>
      <c r="T136">
        <v>1.9</v>
      </c>
      <c r="U136">
        <v>0.73099999999999998</v>
      </c>
      <c r="V136">
        <v>1.9</v>
      </c>
      <c r="W136">
        <v>5.9</v>
      </c>
      <c r="X136">
        <v>7.9</v>
      </c>
      <c r="Y136">
        <v>6.2</v>
      </c>
      <c r="Z136">
        <v>0.8</v>
      </c>
      <c r="AA136">
        <v>0.4</v>
      </c>
      <c r="AB136">
        <v>2.8</v>
      </c>
      <c r="AC136">
        <v>1.9</v>
      </c>
      <c r="AD136">
        <v>16.600000000000001</v>
      </c>
      <c r="AE136">
        <v>2367</v>
      </c>
      <c r="AF136">
        <v>17.100000000000001</v>
      </c>
      <c r="AG136">
        <v>0.53300000000000003</v>
      </c>
      <c r="AH136">
        <v>0.20899999999999999</v>
      </c>
      <c r="AI136">
        <v>0.13</v>
      </c>
      <c r="AJ136">
        <v>6.6</v>
      </c>
      <c r="AK136">
        <v>20.9</v>
      </c>
      <c r="AL136">
        <v>13.6</v>
      </c>
      <c r="AM136">
        <v>29.9</v>
      </c>
      <c r="AN136">
        <v>1.1000000000000001</v>
      </c>
      <c r="AO136">
        <v>1.2</v>
      </c>
      <c r="AP136">
        <v>15.1</v>
      </c>
      <c r="AQ136">
        <v>24.6</v>
      </c>
      <c r="AR136">
        <v>1.3</v>
      </c>
      <c r="AS136">
        <v>2.7</v>
      </c>
      <c r="AT136">
        <v>4</v>
      </c>
      <c r="AU136">
        <v>8.1000000000000003E-2</v>
      </c>
      <c r="AV136">
        <v>1.5</v>
      </c>
      <c r="AW136">
        <v>-0.3</v>
      </c>
      <c r="AX136">
        <v>1.2</v>
      </c>
      <c r="AY136">
        <v>1.9</v>
      </c>
      <c r="AZ136" s="8">
        <v>2.6</v>
      </c>
      <c r="BA136" s="8">
        <v>0.413525463625664</v>
      </c>
      <c r="BB136" s="3">
        <v>0</v>
      </c>
    </row>
    <row r="137" spans="1:54" x14ac:dyDescent="0.25">
      <c r="A137" t="s">
        <v>259</v>
      </c>
      <c r="B137" s="2">
        <v>6025000</v>
      </c>
      <c r="C137" t="s">
        <v>52</v>
      </c>
      <c r="D137">
        <v>27</v>
      </c>
      <c r="E137" t="s">
        <v>68</v>
      </c>
      <c r="F137">
        <v>81</v>
      </c>
      <c r="G137">
        <v>39</v>
      </c>
      <c r="H137">
        <v>22.3</v>
      </c>
      <c r="I137">
        <v>3</v>
      </c>
      <c r="J137">
        <v>7</v>
      </c>
      <c r="K137">
        <v>0.42299999999999999</v>
      </c>
      <c r="L137">
        <v>1.8</v>
      </c>
      <c r="M137">
        <v>4.2</v>
      </c>
      <c r="N137">
        <v>0.42099999999999999</v>
      </c>
      <c r="O137">
        <v>1.2</v>
      </c>
      <c r="P137">
        <v>2.8</v>
      </c>
      <c r="Q137">
        <v>0.42499999999999999</v>
      </c>
      <c r="R137">
        <v>0.54900000000000004</v>
      </c>
      <c r="S137">
        <v>0.4</v>
      </c>
      <c r="T137">
        <v>0.5</v>
      </c>
      <c r="U137">
        <v>0.81599999999999995</v>
      </c>
      <c r="V137">
        <v>0.4</v>
      </c>
      <c r="W137">
        <v>2.1</v>
      </c>
      <c r="X137">
        <v>2.5</v>
      </c>
      <c r="Y137">
        <v>2.4</v>
      </c>
      <c r="Z137">
        <v>0.8</v>
      </c>
      <c r="AA137">
        <v>0.4</v>
      </c>
      <c r="AB137">
        <v>1</v>
      </c>
      <c r="AC137">
        <v>2</v>
      </c>
      <c r="AD137">
        <v>8</v>
      </c>
      <c r="AE137">
        <v>1810</v>
      </c>
      <c r="AF137">
        <v>10.9</v>
      </c>
      <c r="AG137">
        <v>0.56000000000000005</v>
      </c>
      <c r="AH137">
        <v>0.59599999999999997</v>
      </c>
      <c r="AI137">
        <v>6.7000000000000004E-2</v>
      </c>
      <c r="AJ137">
        <v>2.1</v>
      </c>
      <c r="AK137">
        <v>9.3000000000000007</v>
      </c>
      <c r="AL137">
        <v>5.8</v>
      </c>
      <c r="AM137">
        <v>14.5</v>
      </c>
      <c r="AN137">
        <v>1.7</v>
      </c>
      <c r="AO137">
        <v>1.3</v>
      </c>
      <c r="AP137">
        <v>11.8</v>
      </c>
      <c r="AQ137">
        <v>15.3</v>
      </c>
      <c r="AR137">
        <v>1.2</v>
      </c>
      <c r="AS137">
        <v>2.2999999999999998</v>
      </c>
      <c r="AT137">
        <v>3.5</v>
      </c>
      <c r="AU137">
        <v>9.1999999999999998E-2</v>
      </c>
      <c r="AV137">
        <v>-1.9</v>
      </c>
      <c r="AW137">
        <v>1.2</v>
      </c>
      <c r="AX137">
        <v>-0.6</v>
      </c>
      <c r="AY137">
        <v>0.6</v>
      </c>
      <c r="AZ137" s="8">
        <v>1.45</v>
      </c>
      <c r="BA137" s="8">
        <v>0.24066390041493776</v>
      </c>
      <c r="BB137" s="3">
        <v>0</v>
      </c>
    </row>
    <row r="138" spans="1:54" x14ac:dyDescent="0.25">
      <c r="A138" t="s">
        <v>264</v>
      </c>
      <c r="B138" s="2">
        <v>5887899</v>
      </c>
      <c r="C138" t="s">
        <v>28</v>
      </c>
      <c r="D138">
        <v>26</v>
      </c>
      <c r="E138" t="s">
        <v>60</v>
      </c>
      <c r="F138">
        <v>42</v>
      </c>
      <c r="G138">
        <v>41</v>
      </c>
      <c r="H138">
        <v>28.5</v>
      </c>
      <c r="I138">
        <v>5.3</v>
      </c>
      <c r="J138">
        <v>11.3</v>
      </c>
      <c r="K138">
        <v>0.47</v>
      </c>
      <c r="L138">
        <v>2.5</v>
      </c>
      <c r="M138">
        <v>6.1</v>
      </c>
      <c r="N138">
        <v>0.40400000000000003</v>
      </c>
      <c r="O138">
        <v>2.9</v>
      </c>
      <c r="P138">
        <v>5.2</v>
      </c>
      <c r="Q138">
        <v>0.54800000000000004</v>
      </c>
      <c r="R138">
        <v>0.57899999999999996</v>
      </c>
      <c r="S138">
        <v>2.4</v>
      </c>
      <c r="T138">
        <v>2.9</v>
      </c>
      <c r="U138">
        <v>0.84199999999999997</v>
      </c>
      <c r="V138">
        <v>0.8</v>
      </c>
      <c r="W138">
        <v>3.6</v>
      </c>
      <c r="X138">
        <v>4.4000000000000004</v>
      </c>
      <c r="Y138">
        <v>1.9</v>
      </c>
      <c r="Z138">
        <v>1.2</v>
      </c>
      <c r="AA138">
        <v>0.3</v>
      </c>
      <c r="AB138">
        <v>0.9</v>
      </c>
      <c r="AC138">
        <v>2</v>
      </c>
      <c r="AD138">
        <v>15.5</v>
      </c>
      <c r="AE138">
        <v>1199</v>
      </c>
      <c r="AF138">
        <v>17.100000000000001</v>
      </c>
      <c r="AG138">
        <v>0.61699999999999999</v>
      </c>
      <c r="AH138">
        <v>0.53800000000000003</v>
      </c>
      <c r="AI138">
        <v>0.253</v>
      </c>
      <c r="AJ138">
        <v>3.2</v>
      </c>
      <c r="AK138">
        <v>14</v>
      </c>
      <c r="AL138">
        <v>8.6</v>
      </c>
      <c r="AM138">
        <v>9.6</v>
      </c>
      <c r="AN138">
        <v>2</v>
      </c>
      <c r="AO138">
        <v>1</v>
      </c>
      <c r="AP138">
        <v>6.6</v>
      </c>
      <c r="AQ138">
        <v>20.6</v>
      </c>
      <c r="AR138">
        <v>2.1</v>
      </c>
      <c r="AS138">
        <v>1.4</v>
      </c>
      <c r="AT138">
        <v>3.5</v>
      </c>
      <c r="AU138">
        <v>0.14199999999999999</v>
      </c>
      <c r="AV138">
        <v>2</v>
      </c>
      <c r="AW138">
        <v>0.6</v>
      </c>
      <c r="AX138">
        <v>2.6</v>
      </c>
      <c r="AY138">
        <v>1.4</v>
      </c>
      <c r="AZ138" s="8">
        <v>3.05</v>
      </c>
      <c r="BA138" s="8">
        <v>0.5180116031202302</v>
      </c>
      <c r="BB138" s="3">
        <v>0</v>
      </c>
    </row>
    <row r="139" spans="1:54" x14ac:dyDescent="0.25">
      <c r="A139" t="s">
        <v>267</v>
      </c>
      <c r="B139" s="2">
        <v>5739840</v>
      </c>
      <c r="C139" t="s">
        <v>28</v>
      </c>
      <c r="D139">
        <v>20</v>
      </c>
      <c r="E139" t="s">
        <v>53</v>
      </c>
      <c r="F139">
        <v>67</v>
      </c>
      <c r="G139">
        <v>16</v>
      </c>
      <c r="H139">
        <v>20.8</v>
      </c>
      <c r="I139">
        <v>3.9</v>
      </c>
      <c r="J139">
        <v>7.4</v>
      </c>
      <c r="K139">
        <v>0.52500000000000002</v>
      </c>
      <c r="L139">
        <v>0.8</v>
      </c>
      <c r="M139">
        <v>2.2000000000000002</v>
      </c>
      <c r="N139">
        <v>0.37</v>
      </c>
      <c r="O139">
        <v>3.1</v>
      </c>
      <c r="P139">
        <v>5.2</v>
      </c>
      <c r="Q139">
        <v>0.59</v>
      </c>
      <c r="R139">
        <v>0.57899999999999996</v>
      </c>
      <c r="S139">
        <v>1.3</v>
      </c>
      <c r="T139">
        <v>2.1</v>
      </c>
      <c r="U139">
        <v>0.65200000000000002</v>
      </c>
      <c r="V139">
        <v>1</v>
      </c>
      <c r="W139">
        <v>2.4</v>
      </c>
      <c r="X139">
        <v>3.4</v>
      </c>
      <c r="Y139">
        <v>1.9</v>
      </c>
      <c r="Z139">
        <v>0.6</v>
      </c>
      <c r="AA139">
        <v>0.5</v>
      </c>
      <c r="AB139">
        <v>1.4</v>
      </c>
      <c r="AC139">
        <v>2.2999999999999998</v>
      </c>
      <c r="AD139">
        <v>9.9</v>
      </c>
      <c r="AE139">
        <v>1394</v>
      </c>
      <c r="AF139">
        <v>13.3</v>
      </c>
      <c r="AG139">
        <v>0.59699999999999998</v>
      </c>
      <c r="AH139">
        <v>0.29399999999999998</v>
      </c>
      <c r="AI139">
        <v>0.27800000000000002</v>
      </c>
      <c r="AJ139">
        <v>5.6</v>
      </c>
      <c r="AK139">
        <v>12.5</v>
      </c>
      <c r="AL139">
        <v>9.1</v>
      </c>
      <c r="AM139">
        <v>12.7</v>
      </c>
      <c r="AN139">
        <v>1.4</v>
      </c>
      <c r="AO139">
        <v>2</v>
      </c>
      <c r="AP139">
        <v>14.6</v>
      </c>
      <c r="AQ139">
        <v>19.600000000000001</v>
      </c>
      <c r="AR139">
        <v>1</v>
      </c>
      <c r="AS139">
        <v>1.4</v>
      </c>
      <c r="AT139">
        <v>2.4</v>
      </c>
      <c r="AU139">
        <v>8.4000000000000005E-2</v>
      </c>
      <c r="AV139">
        <v>-1.7</v>
      </c>
      <c r="AW139">
        <v>-0.1</v>
      </c>
      <c r="AX139">
        <v>-1.7</v>
      </c>
      <c r="AY139">
        <v>0.1</v>
      </c>
      <c r="AZ139" s="8">
        <v>0.35</v>
      </c>
      <c r="BA139" s="8">
        <v>6.0977309472041032E-2</v>
      </c>
      <c r="BB139" s="3">
        <v>0</v>
      </c>
    </row>
    <row r="140" spans="1:54" x14ac:dyDescent="0.25">
      <c r="A140" t="s">
        <v>268</v>
      </c>
      <c r="B140" s="2">
        <v>5728393</v>
      </c>
      <c r="C140" t="s">
        <v>65</v>
      </c>
      <c r="D140">
        <v>30</v>
      </c>
      <c r="E140" t="s">
        <v>68</v>
      </c>
      <c r="F140">
        <v>61</v>
      </c>
      <c r="G140">
        <v>33</v>
      </c>
      <c r="H140">
        <v>23.7</v>
      </c>
      <c r="I140">
        <v>2.7</v>
      </c>
      <c r="J140">
        <v>6.9</v>
      </c>
      <c r="K140">
        <v>0.39200000000000002</v>
      </c>
      <c r="L140">
        <v>1.8</v>
      </c>
      <c r="M140">
        <v>5.3</v>
      </c>
      <c r="N140">
        <v>0.33900000000000002</v>
      </c>
      <c r="O140">
        <v>0.9</v>
      </c>
      <c r="P140">
        <v>1.6</v>
      </c>
      <c r="Q140">
        <v>0.56599999999999995</v>
      </c>
      <c r="R140">
        <v>0.52100000000000002</v>
      </c>
      <c r="S140">
        <v>0.4</v>
      </c>
      <c r="T140">
        <v>0.7</v>
      </c>
      <c r="U140">
        <v>0.65900000000000003</v>
      </c>
      <c r="V140">
        <v>0.8</v>
      </c>
      <c r="W140">
        <v>3.8</v>
      </c>
      <c r="X140">
        <v>4.5999999999999996</v>
      </c>
      <c r="Y140">
        <v>1.3</v>
      </c>
      <c r="Z140">
        <v>0.6</v>
      </c>
      <c r="AA140">
        <v>0.2</v>
      </c>
      <c r="AB140">
        <v>0.5</v>
      </c>
      <c r="AC140">
        <v>1.1000000000000001</v>
      </c>
      <c r="AD140">
        <v>7.6</v>
      </c>
      <c r="AE140">
        <v>1443</v>
      </c>
      <c r="AF140">
        <v>10</v>
      </c>
      <c r="AG140">
        <v>0.53100000000000003</v>
      </c>
      <c r="AH140">
        <v>0.76500000000000001</v>
      </c>
      <c r="AI140">
        <v>9.7000000000000003E-2</v>
      </c>
      <c r="AJ140">
        <v>3.8</v>
      </c>
      <c r="AK140">
        <v>16.2</v>
      </c>
      <c r="AL140">
        <v>10.199999999999999</v>
      </c>
      <c r="AM140">
        <v>6.9</v>
      </c>
      <c r="AN140">
        <v>1.2</v>
      </c>
      <c r="AO140">
        <v>0.6</v>
      </c>
      <c r="AP140">
        <v>7</v>
      </c>
      <c r="AQ140">
        <v>13.8</v>
      </c>
      <c r="AR140">
        <v>0.7</v>
      </c>
      <c r="AS140">
        <v>1.8</v>
      </c>
      <c r="AT140">
        <v>2.5</v>
      </c>
      <c r="AU140">
        <v>8.5000000000000006E-2</v>
      </c>
      <c r="AV140">
        <v>-1.3</v>
      </c>
      <c r="AW140">
        <v>0.3</v>
      </c>
      <c r="AX140">
        <v>-1</v>
      </c>
      <c r="AY140">
        <v>0.3</v>
      </c>
      <c r="AZ140" s="8">
        <v>0.75</v>
      </c>
      <c r="BA140" s="8">
        <v>0.1309267712602819</v>
      </c>
      <c r="BB140" s="3">
        <v>0</v>
      </c>
    </row>
    <row r="141" spans="1:54" x14ac:dyDescent="0.25">
      <c r="A141" t="s">
        <v>269</v>
      </c>
      <c r="B141" s="2">
        <v>5722116</v>
      </c>
      <c r="C141" t="s">
        <v>62</v>
      </c>
      <c r="D141">
        <v>23</v>
      </c>
      <c r="E141" t="s">
        <v>80</v>
      </c>
      <c r="F141">
        <v>67</v>
      </c>
      <c r="G141">
        <v>67</v>
      </c>
      <c r="H141">
        <v>34.9</v>
      </c>
      <c r="I141">
        <v>7.3</v>
      </c>
      <c r="J141">
        <v>16.600000000000001</v>
      </c>
      <c r="K141">
        <v>0.439</v>
      </c>
      <c r="L141">
        <v>3</v>
      </c>
      <c r="M141">
        <v>8</v>
      </c>
      <c r="N141">
        <v>0.378</v>
      </c>
      <c r="O141">
        <v>4.2</v>
      </c>
      <c r="P141">
        <v>8.5</v>
      </c>
      <c r="Q141">
        <v>0.497</v>
      </c>
      <c r="R141">
        <v>0.53100000000000003</v>
      </c>
      <c r="S141">
        <v>2.5</v>
      </c>
      <c r="T141">
        <v>2.7</v>
      </c>
      <c r="U141">
        <v>0.93400000000000005</v>
      </c>
      <c r="V141">
        <v>0.4</v>
      </c>
      <c r="W141">
        <v>5</v>
      </c>
      <c r="X141">
        <v>5.4</v>
      </c>
      <c r="Y141">
        <v>4.2</v>
      </c>
      <c r="Z141">
        <v>0.8</v>
      </c>
      <c r="AA141">
        <v>0.2</v>
      </c>
      <c r="AB141">
        <v>2.4</v>
      </c>
      <c r="AC141">
        <v>1.5</v>
      </c>
      <c r="AD141">
        <v>20.100000000000001</v>
      </c>
      <c r="AE141">
        <v>2337</v>
      </c>
      <c r="AF141">
        <v>15.3</v>
      </c>
      <c r="AG141">
        <v>0.56599999999999995</v>
      </c>
      <c r="AH141">
        <v>0.48399999999999999</v>
      </c>
      <c r="AI141">
        <v>0.16400000000000001</v>
      </c>
      <c r="AJ141">
        <v>1.3</v>
      </c>
      <c r="AK141">
        <v>17.3</v>
      </c>
      <c r="AL141">
        <v>9</v>
      </c>
      <c r="AM141">
        <v>19.899999999999999</v>
      </c>
      <c r="AN141">
        <v>1.1000000000000001</v>
      </c>
      <c r="AO141">
        <v>0.7</v>
      </c>
      <c r="AP141">
        <v>11.7</v>
      </c>
      <c r="AQ141">
        <v>25.6</v>
      </c>
      <c r="AR141">
        <v>1.1000000000000001</v>
      </c>
      <c r="AS141">
        <v>2.4</v>
      </c>
      <c r="AT141">
        <v>3.5</v>
      </c>
      <c r="AU141">
        <v>7.1999999999999995E-2</v>
      </c>
      <c r="AV141">
        <v>1.5</v>
      </c>
      <c r="AW141">
        <v>-0.8</v>
      </c>
      <c r="AX141">
        <v>0.6</v>
      </c>
      <c r="AY141">
        <v>1.6</v>
      </c>
      <c r="AZ141" s="8">
        <v>2.0499999999999998</v>
      </c>
      <c r="BA141" s="8">
        <v>0.35825907758598391</v>
      </c>
      <c r="BB141" s="3">
        <v>0</v>
      </c>
    </row>
    <row r="142" spans="1:54" x14ac:dyDescent="0.25">
      <c r="A142" t="s">
        <v>274</v>
      </c>
      <c r="B142" s="2">
        <v>5348280</v>
      </c>
      <c r="C142" t="s">
        <v>28</v>
      </c>
      <c r="D142">
        <v>24</v>
      </c>
      <c r="E142" t="s">
        <v>123</v>
      </c>
      <c r="F142">
        <v>67</v>
      </c>
      <c r="G142">
        <v>5</v>
      </c>
      <c r="H142">
        <v>15.7</v>
      </c>
      <c r="I142">
        <v>2.8</v>
      </c>
      <c r="J142">
        <v>6.3</v>
      </c>
      <c r="K142">
        <v>0.44600000000000001</v>
      </c>
      <c r="L142">
        <v>1.3</v>
      </c>
      <c r="M142">
        <v>3.7</v>
      </c>
      <c r="N142">
        <v>0.34399999999999997</v>
      </c>
      <c r="O142">
        <v>1.5</v>
      </c>
      <c r="P142">
        <v>2.6</v>
      </c>
      <c r="Q142">
        <v>0.59299999999999997</v>
      </c>
      <c r="R142">
        <v>0.54800000000000004</v>
      </c>
      <c r="S142">
        <v>0.6</v>
      </c>
      <c r="T142">
        <v>0.7</v>
      </c>
      <c r="U142">
        <v>0.80900000000000005</v>
      </c>
      <c r="V142">
        <v>0.4</v>
      </c>
      <c r="W142">
        <v>2.4</v>
      </c>
      <c r="X142">
        <v>2.8</v>
      </c>
      <c r="Y142">
        <v>1</v>
      </c>
      <c r="Z142">
        <v>0.3</v>
      </c>
      <c r="AA142">
        <v>0.2</v>
      </c>
      <c r="AB142">
        <v>0.6</v>
      </c>
      <c r="AC142">
        <v>1</v>
      </c>
      <c r="AD142">
        <v>7.4</v>
      </c>
      <c r="AE142">
        <v>1050</v>
      </c>
      <c r="AF142">
        <v>13.6</v>
      </c>
      <c r="AG142">
        <v>0.56499999999999995</v>
      </c>
      <c r="AH142">
        <v>0.58899999999999997</v>
      </c>
      <c r="AI142">
        <v>0.112</v>
      </c>
      <c r="AJ142">
        <v>3</v>
      </c>
      <c r="AK142">
        <v>16.600000000000001</v>
      </c>
      <c r="AL142">
        <v>9.8000000000000007</v>
      </c>
      <c r="AM142">
        <v>9.1999999999999993</v>
      </c>
      <c r="AN142">
        <v>1.1000000000000001</v>
      </c>
      <c r="AO142">
        <v>1.1000000000000001</v>
      </c>
      <c r="AP142">
        <v>8</v>
      </c>
      <c r="AQ142">
        <v>19.5</v>
      </c>
      <c r="AR142">
        <v>1.1000000000000001</v>
      </c>
      <c r="AS142">
        <v>1</v>
      </c>
      <c r="AT142">
        <v>2.1</v>
      </c>
      <c r="AU142">
        <v>9.5000000000000001E-2</v>
      </c>
      <c r="AV142">
        <v>0.3</v>
      </c>
      <c r="AW142">
        <v>-0.8</v>
      </c>
      <c r="AX142">
        <v>-0.5</v>
      </c>
      <c r="AY142">
        <v>0.4</v>
      </c>
      <c r="AZ142" s="8">
        <v>0.8</v>
      </c>
      <c r="BA142" s="8">
        <v>0.14958079980853659</v>
      </c>
      <c r="BB142" s="3">
        <v>0</v>
      </c>
    </row>
    <row r="143" spans="1:54" x14ac:dyDescent="0.25">
      <c r="A143" t="s">
        <v>275</v>
      </c>
      <c r="B143" s="2">
        <v>5258280</v>
      </c>
      <c r="C143" t="s">
        <v>65</v>
      </c>
      <c r="D143">
        <v>21</v>
      </c>
      <c r="E143" t="s">
        <v>152</v>
      </c>
      <c r="F143">
        <v>80</v>
      </c>
      <c r="G143">
        <v>80</v>
      </c>
      <c r="H143">
        <v>32.6</v>
      </c>
      <c r="I143">
        <v>6.8</v>
      </c>
      <c r="J143">
        <v>14</v>
      </c>
      <c r="K143">
        <v>0.48499999999999999</v>
      </c>
      <c r="L143">
        <v>1.6</v>
      </c>
      <c r="M143">
        <v>4.5</v>
      </c>
      <c r="N143">
        <v>0.36099999999999999</v>
      </c>
      <c r="O143">
        <v>5.2</v>
      </c>
      <c r="P143">
        <v>9.5</v>
      </c>
      <c r="Q143">
        <v>0.54400000000000004</v>
      </c>
      <c r="R143">
        <v>0.54300000000000004</v>
      </c>
      <c r="S143">
        <v>3.4</v>
      </c>
      <c r="T143">
        <v>4</v>
      </c>
      <c r="U143">
        <v>0.84199999999999997</v>
      </c>
      <c r="V143">
        <v>0.9</v>
      </c>
      <c r="W143">
        <v>3.2</v>
      </c>
      <c r="X143">
        <v>4.0999999999999996</v>
      </c>
      <c r="Y143">
        <v>3.5</v>
      </c>
      <c r="Z143">
        <v>1</v>
      </c>
      <c r="AA143">
        <v>0.2</v>
      </c>
      <c r="AB143">
        <v>2.1</v>
      </c>
      <c r="AC143">
        <v>2.2999999999999998</v>
      </c>
      <c r="AD143">
        <v>18.600000000000001</v>
      </c>
      <c r="AE143">
        <v>2609</v>
      </c>
      <c r="AF143">
        <v>15.9</v>
      </c>
      <c r="AG143">
        <v>0.58899999999999997</v>
      </c>
      <c r="AH143">
        <v>0.32200000000000001</v>
      </c>
      <c r="AI143">
        <v>0.28799999999999998</v>
      </c>
      <c r="AJ143">
        <v>3</v>
      </c>
      <c r="AK143">
        <v>11.2</v>
      </c>
      <c r="AL143">
        <v>7.1</v>
      </c>
      <c r="AM143">
        <v>17.2</v>
      </c>
      <c r="AN143">
        <v>1.4</v>
      </c>
      <c r="AO143">
        <v>0.6</v>
      </c>
      <c r="AP143">
        <v>11.7</v>
      </c>
      <c r="AQ143">
        <v>23.5</v>
      </c>
      <c r="AR143">
        <v>3.1</v>
      </c>
      <c r="AS143">
        <v>2.2999999999999998</v>
      </c>
      <c r="AT143">
        <v>5.4</v>
      </c>
      <c r="AU143">
        <v>9.9000000000000005E-2</v>
      </c>
      <c r="AV143">
        <v>0.4</v>
      </c>
      <c r="AW143">
        <v>-0.5</v>
      </c>
      <c r="AX143">
        <v>-0.1</v>
      </c>
      <c r="AY143">
        <v>1.3</v>
      </c>
      <c r="AZ143" s="8">
        <v>2.6500000000000004</v>
      </c>
      <c r="BA143" s="8">
        <v>0.50396707668667329</v>
      </c>
      <c r="BB143" s="3">
        <v>0</v>
      </c>
    </row>
    <row r="144" spans="1:54" x14ac:dyDescent="0.25">
      <c r="A144" t="s">
        <v>278</v>
      </c>
      <c r="B144" s="2">
        <v>5155500</v>
      </c>
      <c r="C144" t="s">
        <v>52</v>
      </c>
      <c r="D144">
        <v>31</v>
      </c>
      <c r="E144" t="s">
        <v>201</v>
      </c>
      <c r="F144">
        <v>62</v>
      </c>
      <c r="G144">
        <v>2</v>
      </c>
      <c r="H144">
        <v>19.8</v>
      </c>
      <c r="I144">
        <v>2.4</v>
      </c>
      <c r="J144">
        <v>5.7</v>
      </c>
      <c r="K144">
        <v>0.42699999999999999</v>
      </c>
      <c r="L144">
        <v>1.1000000000000001</v>
      </c>
      <c r="M144">
        <v>2.9</v>
      </c>
      <c r="N144">
        <v>0.38900000000000001</v>
      </c>
      <c r="O144">
        <v>1.3</v>
      </c>
      <c r="P144">
        <v>2.8</v>
      </c>
      <c r="Q144">
        <v>0.46800000000000003</v>
      </c>
      <c r="R144">
        <v>0.52700000000000002</v>
      </c>
      <c r="S144">
        <v>0.9</v>
      </c>
      <c r="T144">
        <v>1.2</v>
      </c>
      <c r="U144">
        <v>0.79200000000000004</v>
      </c>
      <c r="V144">
        <v>0.3</v>
      </c>
      <c r="W144">
        <v>1.4</v>
      </c>
      <c r="X144">
        <v>1.7</v>
      </c>
      <c r="Y144">
        <v>3.5</v>
      </c>
      <c r="Z144">
        <v>0.5</v>
      </c>
      <c r="AA144">
        <v>0.1</v>
      </c>
      <c r="AB144">
        <v>0.9</v>
      </c>
      <c r="AC144">
        <v>1.4</v>
      </c>
      <c r="AD144">
        <v>6.9</v>
      </c>
      <c r="AE144">
        <v>1227</v>
      </c>
      <c r="AF144">
        <v>12.1</v>
      </c>
      <c r="AG144">
        <v>0.55800000000000005</v>
      </c>
      <c r="AH144">
        <v>0.51300000000000001</v>
      </c>
      <c r="AI144">
        <v>0.20499999999999999</v>
      </c>
      <c r="AJ144">
        <v>1.8</v>
      </c>
      <c r="AK144">
        <v>7.9</v>
      </c>
      <c r="AL144">
        <v>4.8</v>
      </c>
      <c r="AM144">
        <v>25.4</v>
      </c>
      <c r="AN144">
        <v>1.3</v>
      </c>
      <c r="AO144">
        <v>0.6</v>
      </c>
      <c r="AP144">
        <v>12.8</v>
      </c>
      <c r="AQ144">
        <v>15.2</v>
      </c>
      <c r="AR144">
        <v>1.5</v>
      </c>
      <c r="AS144">
        <v>0.3</v>
      </c>
      <c r="AT144">
        <v>1.8</v>
      </c>
      <c r="AU144">
        <v>7.0000000000000007E-2</v>
      </c>
      <c r="AV144">
        <v>-0.7</v>
      </c>
      <c r="AW144">
        <v>-0.8</v>
      </c>
      <c r="AX144">
        <v>-1.5</v>
      </c>
      <c r="AY144">
        <v>0.2</v>
      </c>
      <c r="AZ144" s="8">
        <v>0.15000000000000002</v>
      </c>
      <c r="BA144" s="8">
        <v>2.9095141111434394E-2</v>
      </c>
      <c r="BB144" s="3">
        <v>0</v>
      </c>
    </row>
    <row r="145" spans="1:54" x14ac:dyDescent="0.25">
      <c r="A145" t="s">
        <v>280</v>
      </c>
      <c r="B145" s="2">
        <v>5121951</v>
      </c>
      <c r="C145" t="s">
        <v>28</v>
      </c>
      <c r="D145">
        <v>32</v>
      </c>
      <c r="E145" t="s">
        <v>60</v>
      </c>
      <c r="F145">
        <v>79</v>
      </c>
      <c r="G145">
        <v>60</v>
      </c>
      <c r="H145">
        <v>24.7</v>
      </c>
      <c r="I145">
        <v>2.9</v>
      </c>
      <c r="J145">
        <v>6.3</v>
      </c>
      <c r="K145">
        <v>0.45600000000000002</v>
      </c>
      <c r="L145">
        <v>1.3</v>
      </c>
      <c r="M145">
        <v>3.2</v>
      </c>
      <c r="N145">
        <v>0.39500000000000002</v>
      </c>
      <c r="O145">
        <v>1.6</v>
      </c>
      <c r="P145">
        <v>3.1</v>
      </c>
      <c r="Q145">
        <v>0.51800000000000002</v>
      </c>
      <c r="R145">
        <v>0.55600000000000005</v>
      </c>
      <c r="S145">
        <v>0.4</v>
      </c>
      <c r="T145">
        <v>0.6</v>
      </c>
      <c r="U145">
        <v>0.71099999999999997</v>
      </c>
      <c r="V145">
        <v>1.8</v>
      </c>
      <c r="W145">
        <v>3.6</v>
      </c>
      <c r="X145">
        <v>5.4</v>
      </c>
      <c r="Y145">
        <v>1.5</v>
      </c>
      <c r="Z145">
        <v>0.6</v>
      </c>
      <c r="AA145">
        <v>0.8</v>
      </c>
      <c r="AB145">
        <v>0.9</v>
      </c>
      <c r="AC145">
        <v>2.2999999999999998</v>
      </c>
      <c r="AD145">
        <v>7.4</v>
      </c>
      <c r="AE145">
        <v>1948</v>
      </c>
      <c r="AF145">
        <v>11.6</v>
      </c>
      <c r="AG145">
        <v>0.56599999999999995</v>
      </c>
      <c r="AH145">
        <v>0.50600000000000001</v>
      </c>
      <c r="AI145">
        <v>0.09</v>
      </c>
      <c r="AJ145">
        <v>8.1</v>
      </c>
      <c r="AK145">
        <v>16.3</v>
      </c>
      <c r="AL145">
        <v>12.1</v>
      </c>
      <c r="AM145">
        <v>7.9</v>
      </c>
      <c r="AN145">
        <v>1.3</v>
      </c>
      <c r="AO145">
        <v>2.9</v>
      </c>
      <c r="AP145">
        <v>12.3</v>
      </c>
      <c r="AQ145">
        <v>13</v>
      </c>
      <c r="AR145">
        <v>1.5</v>
      </c>
      <c r="AS145">
        <v>2.5</v>
      </c>
      <c r="AT145">
        <v>4</v>
      </c>
      <c r="AU145">
        <v>9.8000000000000004E-2</v>
      </c>
      <c r="AV145">
        <v>-1.3</v>
      </c>
      <c r="AW145">
        <v>0.7</v>
      </c>
      <c r="AX145">
        <v>-0.6</v>
      </c>
      <c r="AY145">
        <v>0.7</v>
      </c>
      <c r="AZ145" s="8">
        <v>1.7</v>
      </c>
      <c r="BA145" s="8">
        <v>0.33190477612925229</v>
      </c>
      <c r="BB145" s="3">
        <v>0</v>
      </c>
    </row>
    <row r="146" spans="1:54" x14ac:dyDescent="0.25">
      <c r="A146" t="s">
        <v>284</v>
      </c>
      <c r="B146" s="2">
        <v>4916160</v>
      </c>
      <c r="C146" t="s">
        <v>65</v>
      </c>
      <c r="D146">
        <v>22</v>
      </c>
      <c r="E146" t="s">
        <v>63</v>
      </c>
      <c r="F146">
        <v>76</v>
      </c>
      <c r="G146">
        <v>40</v>
      </c>
      <c r="H146">
        <v>26.6</v>
      </c>
      <c r="I146">
        <v>3.3</v>
      </c>
      <c r="J146">
        <v>7.6</v>
      </c>
      <c r="K146">
        <v>0.437</v>
      </c>
      <c r="L146">
        <v>0.9</v>
      </c>
      <c r="M146">
        <v>3.1</v>
      </c>
      <c r="N146">
        <v>0.29699999999999999</v>
      </c>
      <c r="O146">
        <v>2.4</v>
      </c>
      <c r="P146">
        <v>4.5999999999999996</v>
      </c>
      <c r="Q146">
        <v>0.53</v>
      </c>
      <c r="R146">
        <v>0.497</v>
      </c>
      <c r="S146">
        <v>1.6</v>
      </c>
      <c r="T146">
        <v>2.2000000000000002</v>
      </c>
      <c r="U146">
        <v>0.73899999999999999</v>
      </c>
      <c r="V146">
        <v>1</v>
      </c>
      <c r="W146">
        <v>5.4</v>
      </c>
      <c r="X146">
        <v>6.4</v>
      </c>
      <c r="Y146">
        <v>2.8</v>
      </c>
      <c r="Z146">
        <v>0.9</v>
      </c>
      <c r="AA146">
        <v>0.4</v>
      </c>
      <c r="AB146">
        <v>1.6</v>
      </c>
      <c r="AC146">
        <v>2.8</v>
      </c>
      <c r="AD146">
        <v>9.1999999999999993</v>
      </c>
      <c r="AE146">
        <v>2020</v>
      </c>
      <c r="AF146">
        <v>11.2</v>
      </c>
      <c r="AG146">
        <v>0.53500000000000003</v>
      </c>
      <c r="AH146">
        <v>0.40100000000000002</v>
      </c>
      <c r="AI146">
        <v>0.28499999999999998</v>
      </c>
      <c r="AJ146">
        <v>4.2</v>
      </c>
      <c r="AK146">
        <v>21.9</v>
      </c>
      <c r="AL146">
        <v>13.4</v>
      </c>
      <c r="AM146">
        <v>13.9</v>
      </c>
      <c r="AN146">
        <v>1.6</v>
      </c>
      <c r="AO146">
        <v>1.2</v>
      </c>
      <c r="AP146">
        <v>15.9</v>
      </c>
      <c r="AQ146">
        <v>16.7</v>
      </c>
      <c r="AR146">
        <v>0</v>
      </c>
      <c r="AS146">
        <v>2.2999999999999998</v>
      </c>
      <c r="AT146">
        <v>2.2999999999999998</v>
      </c>
      <c r="AU146">
        <v>5.3999999999999999E-2</v>
      </c>
      <c r="AV146">
        <v>-2.8</v>
      </c>
      <c r="AW146">
        <v>0.5</v>
      </c>
      <c r="AX146">
        <v>-2.2999999999999998</v>
      </c>
      <c r="AY146">
        <v>-0.1</v>
      </c>
      <c r="AZ146" s="8">
        <v>0</v>
      </c>
      <c r="BA146" s="8">
        <v>0</v>
      </c>
      <c r="BB146" s="3">
        <v>0</v>
      </c>
    </row>
    <row r="147" spans="1:54" x14ac:dyDescent="0.25">
      <c r="A147" t="s">
        <v>288</v>
      </c>
      <c r="B147" s="2">
        <v>4670160</v>
      </c>
      <c r="C147" t="s">
        <v>75</v>
      </c>
      <c r="D147">
        <v>22</v>
      </c>
      <c r="E147" t="s">
        <v>93</v>
      </c>
      <c r="F147">
        <v>68</v>
      </c>
      <c r="G147">
        <v>31</v>
      </c>
      <c r="H147">
        <v>18.8</v>
      </c>
      <c r="I147">
        <v>3.6</v>
      </c>
      <c r="J147">
        <v>7.5</v>
      </c>
      <c r="K147">
        <v>0.47599999999999998</v>
      </c>
      <c r="L147">
        <v>0.8</v>
      </c>
      <c r="M147">
        <v>2.8</v>
      </c>
      <c r="N147">
        <v>0.28299999999999997</v>
      </c>
      <c r="O147">
        <v>2.8</v>
      </c>
      <c r="P147">
        <v>4.7</v>
      </c>
      <c r="Q147">
        <v>0.59299999999999997</v>
      </c>
      <c r="R147">
        <v>0.53</v>
      </c>
      <c r="S147">
        <v>1.5</v>
      </c>
      <c r="T147">
        <v>2</v>
      </c>
      <c r="U147">
        <v>0.75900000000000001</v>
      </c>
      <c r="V147">
        <v>1.9</v>
      </c>
      <c r="W147">
        <v>3.9</v>
      </c>
      <c r="X147">
        <v>5.8</v>
      </c>
      <c r="Y147">
        <v>1</v>
      </c>
      <c r="Z147">
        <v>0.3</v>
      </c>
      <c r="AA147">
        <v>0.9</v>
      </c>
      <c r="AB147">
        <v>1.1000000000000001</v>
      </c>
      <c r="AC147">
        <v>2.2999999999999998</v>
      </c>
      <c r="AD147">
        <v>9.4</v>
      </c>
      <c r="AE147">
        <v>1279</v>
      </c>
      <c r="AF147">
        <v>15.9</v>
      </c>
      <c r="AG147">
        <v>0.56499999999999995</v>
      </c>
      <c r="AH147">
        <v>0.376</v>
      </c>
      <c r="AI147">
        <v>0.27</v>
      </c>
      <c r="AJ147">
        <v>11.2</v>
      </c>
      <c r="AK147">
        <v>22.9</v>
      </c>
      <c r="AL147">
        <v>17.100000000000001</v>
      </c>
      <c r="AM147">
        <v>7.6</v>
      </c>
      <c r="AN147">
        <v>0.8</v>
      </c>
      <c r="AO147">
        <v>4</v>
      </c>
      <c r="AP147">
        <v>11.2</v>
      </c>
      <c r="AQ147">
        <v>21</v>
      </c>
      <c r="AR147">
        <v>1.1000000000000001</v>
      </c>
      <c r="AS147">
        <v>1.1000000000000001</v>
      </c>
      <c r="AT147">
        <v>2.2999999999999998</v>
      </c>
      <c r="AU147">
        <v>8.5000000000000006E-2</v>
      </c>
      <c r="AV147">
        <v>-0.9</v>
      </c>
      <c r="AW147">
        <v>-1.1000000000000001</v>
      </c>
      <c r="AX147">
        <v>-2.1</v>
      </c>
      <c r="AY147">
        <v>0</v>
      </c>
      <c r="AZ147" s="8">
        <v>9.9999999999999867E-2</v>
      </c>
      <c r="BA147" s="8">
        <v>2.1412542610959769E-2</v>
      </c>
      <c r="BB147" s="3">
        <v>0</v>
      </c>
    </row>
    <row r="148" spans="1:54" x14ac:dyDescent="0.25">
      <c r="A148" t="s">
        <v>292</v>
      </c>
      <c r="B148" s="2">
        <v>4500000</v>
      </c>
      <c r="C148" t="s">
        <v>62</v>
      </c>
      <c r="D148">
        <v>26</v>
      </c>
      <c r="E148" t="s">
        <v>53</v>
      </c>
      <c r="F148">
        <v>72</v>
      </c>
      <c r="G148">
        <v>36</v>
      </c>
      <c r="H148">
        <v>26.3</v>
      </c>
      <c r="I148">
        <v>3.3</v>
      </c>
      <c r="J148">
        <v>7.5</v>
      </c>
      <c r="K148">
        <v>0.435</v>
      </c>
      <c r="L148">
        <v>2.1</v>
      </c>
      <c r="M148">
        <v>5.3</v>
      </c>
      <c r="N148">
        <v>0.39700000000000002</v>
      </c>
      <c r="O148">
        <v>1.2</v>
      </c>
      <c r="P148">
        <v>2.2999999999999998</v>
      </c>
      <c r="Q148">
        <v>0.52500000000000002</v>
      </c>
      <c r="R148">
        <v>0.57399999999999995</v>
      </c>
      <c r="S148">
        <v>0.8</v>
      </c>
      <c r="T148">
        <v>1</v>
      </c>
      <c r="U148">
        <v>0.81699999999999995</v>
      </c>
      <c r="V148">
        <v>1.1000000000000001</v>
      </c>
      <c r="W148">
        <v>3.4</v>
      </c>
      <c r="X148">
        <v>4.5</v>
      </c>
      <c r="Y148">
        <v>3.5</v>
      </c>
      <c r="Z148">
        <v>1.3</v>
      </c>
      <c r="AA148">
        <v>0.1</v>
      </c>
      <c r="AB148">
        <v>1.6</v>
      </c>
      <c r="AC148">
        <v>1.8</v>
      </c>
      <c r="AD148">
        <v>9.4</v>
      </c>
      <c r="AE148">
        <v>1894</v>
      </c>
      <c r="AF148">
        <v>12.8</v>
      </c>
      <c r="AG148">
        <v>0.59299999999999997</v>
      </c>
      <c r="AH148">
        <v>0.7</v>
      </c>
      <c r="AI148">
        <v>0.13100000000000001</v>
      </c>
      <c r="AJ148">
        <v>4.7</v>
      </c>
      <c r="AK148">
        <v>14</v>
      </c>
      <c r="AL148">
        <v>9.4</v>
      </c>
      <c r="AM148">
        <v>17.3</v>
      </c>
      <c r="AN148">
        <v>2.4</v>
      </c>
      <c r="AO148">
        <v>0.5</v>
      </c>
      <c r="AP148">
        <v>16.399999999999999</v>
      </c>
      <c r="AQ148">
        <v>15.1</v>
      </c>
      <c r="AR148">
        <v>1.9</v>
      </c>
      <c r="AS148">
        <v>2.2999999999999998</v>
      </c>
      <c r="AT148">
        <v>4.2</v>
      </c>
      <c r="AU148">
        <v>0.106</v>
      </c>
      <c r="AV148">
        <v>-0.6</v>
      </c>
      <c r="AW148">
        <v>1.3</v>
      </c>
      <c r="AX148">
        <v>0.7</v>
      </c>
      <c r="AY148">
        <v>1.3</v>
      </c>
      <c r="AZ148" s="8">
        <v>2.4500000000000002</v>
      </c>
      <c r="BA148" s="8">
        <v>0.5444444444444444</v>
      </c>
      <c r="BB148" s="3">
        <v>0</v>
      </c>
    </row>
    <row r="149" spans="1:54" x14ac:dyDescent="0.25">
      <c r="A149" t="s">
        <v>293</v>
      </c>
      <c r="B149" s="2">
        <v>4437000</v>
      </c>
      <c r="C149" t="s">
        <v>62</v>
      </c>
      <c r="D149">
        <v>22</v>
      </c>
      <c r="E149" t="s">
        <v>175</v>
      </c>
      <c r="F149">
        <v>38</v>
      </c>
      <c r="G149">
        <v>32</v>
      </c>
      <c r="H149">
        <v>31</v>
      </c>
      <c r="I149">
        <v>6.9</v>
      </c>
      <c r="J149">
        <v>15.7</v>
      </c>
      <c r="K149">
        <v>0.439</v>
      </c>
      <c r="L149">
        <v>2.7</v>
      </c>
      <c r="M149">
        <v>7</v>
      </c>
      <c r="N149">
        <v>0.38700000000000001</v>
      </c>
      <c r="O149">
        <v>4.2</v>
      </c>
      <c r="P149">
        <v>8.6999999999999993</v>
      </c>
      <c r="Q149">
        <v>0.48</v>
      </c>
      <c r="R149">
        <v>0.52500000000000002</v>
      </c>
      <c r="S149">
        <v>2.1</v>
      </c>
      <c r="T149">
        <v>2.6</v>
      </c>
      <c r="U149">
        <v>0.78</v>
      </c>
      <c r="V149">
        <v>0.2</v>
      </c>
      <c r="W149">
        <v>3.7</v>
      </c>
      <c r="X149">
        <v>3.9</v>
      </c>
      <c r="Y149">
        <v>3.6</v>
      </c>
      <c r="Z149">
        <v>1.1000000000000001</v>
      </c>
      <c r="AA149">
        <v>0.4</v>
      </c>
      <c r="AB149">
        <v>1.5</v>
      </c>
      <c r="AC149">
        <v>1.5</v>
      </c>
      <c r="AD149">
        <v>18.5</v>
      </c>
      <c r="AE149">
        <v>1178</v>
      </c>
      <c r="AF149">
        <v>15.5</v>
      </c>
      <c r="AG149">
        <v>0.55000000000000004</v>
      </c>
      <c r="AH149">
        <v>0.44700000000000001</v>
      </c>
      <c r="AI149">
        <v>0.16800000000000001</v>
      </c>
      <c r="AJ149">
        <v>0.7</v>
      </c>
      <c r="AK149">
        <v>13.5</v>
      </c>
      <c r="AL149">
        <v>6.9</v>
      </c>
      <c r="AM149">
        <v>17.3</v>
      </c>
      <c r="AN149">
        <v>1.7</v>
      </c>
      <c r="AO149">
        <v>1.2</v>
      </c>
      <c r="AP149">
        <v>8.1999999999999993</v>
      </c>
      <c r="AQ149">
        <v>24.4</v>
      </c>
      <c r="AR149">
        <v>0.7</v>
      </c>
      <c r="AS149">
        <v>0.5</v>
      </c>
      <c r="AT149">
        <v>1.2</v>
      </c>
      <c r="AU149">
        <v>5.0999999999999997E-2</v>
      </c>
      <c r="AV149">
        <v>1.3</v>
      </c>
      <c r="AW149">
        <v>-0.9</v>
      </c>
      <c r="AX149">
        <v>0.4</v>
      </c>
      <c r="AY149">
        <v>0.7</v>
      </c>
      <c r="AZ149" s="8">
        <v>0.8</v>
      </c>
      <c r="BA149" s="8">
        <v>0.18030200585981518</v>
      </c>
      <c r="BB149" s="3">
        <v>0</v>
      </c>
    </row>
    <row r="150" spans="1:54" x14ac:dyDescent="0.25">
      <c r="A150" t="s">
        <v>294</v>
      </c>
      <c r="B150" s="2">
        <v>4379526</v>
      </c>
      <c r="C150" t="s">
        <v>62</v>
      </c>
      <c r="D150">
        <v>25</v>
      </c>
      <c r="E150" t="s">
        <v>70</v>
      </c>
      <c r="F150">
        <v>71</v>
      </c>
      <c r="G150">
        <v>28</v>
      </c>
      <c r="H150">
        <v>16.899999999999999</v>
      </c>
      <c r="I150">
        <v>1.5</v>
      </c>
      <c r="J150">
        <v>3.6</v>
      </c>
      <c r="K150">
        <v>0.435</v>
      </c>
      <c r="L150">
        <v>0.8</v>
      </c>
      <c r="M150">
        <v>2.1</v>
      </c>
      <c r="N150">
        <v>0.36499999999999999</v>
      </c>
      <c r="O150">
        <v>0.8</v>
      </c>
      <c r="P150">
        <v>1.5</v>
      </c>
      <c r="Q150">
        <v>0.53300000000000003</v>
      </c>
      <c r="R150">
        <v>0.54200000000000004</v>
      </c>
      <c r="S150">
        <v>0.3</v>
      </c>
      <c r="T150">
        <v>0.4</v>
      </c>
      <c r="U150">
        <v>0.67900000000000005</v>
      </c>
      <c r="V150">
        <v>0.6</v>
      </c>
      <c r="W150">
        <v>1.4</v>
      </c>
      <c r="X150">
        <v>2</v>
      </c>
      <c r="Y150">
        <v>0.7</v>
      </c>
      <c r="Z150">
        <v>1.2</v>
      </c>
      <c r="AA150">
        <v>0.5</v>
      </c>
      <c r="AB150">
        <v>0.3</v>
      </c>
      <c r="AC150">
        <v>1.6</v>
      </c>
      <c r="AD150">
        <v>4.0999999999999996</v>
      </c>
      <c r="AE150">
        <v>1200</v>
      </c>
      <c r="AF150">
        <v>10.5</v>
      </c>
      <c r="AG150">
        <v>0.55200000000000005</v>
      </c>
      <c r="AH150">
        <v>0.58499999999999996</v>
      </c>
      <c r="AI150">
        <v>0.111</v>
      </c>
      <c r="AJ150">
        <v>3.9</v>
      </c>
      <c r="AK150">
        <v>9.6999999999999993</v>
      </c>
      <c r="AL150">
        <v>6.8</v>
      </c>
      <c r="AM150">
        <v>5.9</v>
      </c>
      <c r="AN150">
        <v>3.4</v>
      </c>
      <c r="AO150">
        <v>2.4</v>
      </c>
      <c r="AP150">
        <v>8.3000000000000007</v>
      </c>
      <c r="AQ150">
        <v>10.6</v>
      </c>
      <c r="AR150">
        <v>0.6</v>
      </c>
      <c r="AS150">
        <v>1.5</v>
      </c>
      <c r="AT150">
        <v>2.1</v>
      </c>
      <c r="AU150">
        <v>8.5999999999999993E-2</v>
      </c>
      <c r="AV150">
        <v>-2.7</v>
      </c>
      <c r="AW150">
        <v>2.2000000000000002</v>
      </c>
      <c r="AX150">
        <v>-0.5</v>
      </c>
      <c r="AY150">
        <v>0.4</v>
      </c>
      <c r="AZ150" s="8">
        <v>0.8</v>
      </c>
      <c r="BA150" s="8">
        <v>0.18266817002570598</v>
      </c>
      <c r="BB150" s="3">
        <v>0</v>
      </c>
    </row>
    <row r="151" spans="1:54" x14ac:dyDescent="0.25">
      <c r="A151" t="s">
        <v>295</v>
      </c>
      <c r="B151" s="2">
        <v>4374000</v>
      </c>
      <c r="C151" t="s">
        <v>28</v>
      </c>
      <c r="D151">
        <v>23</v>
      </c>
      <c r="E151" t="s">
        <v>130</v>
      </c>
      <c r="F151">
        <v>78</v>
      </c>
      <c r="G151">
        <v>65</v>
      </c>
      <c r="H151">
        <v>24.1</v>
      </c>
      <c r="I151">
        <v>3.2</v>
      </c>
      <c r="J151">
        <v>5.8</v>
      </c>
      <c r="K151">
        <v>0.54800000000000004</v>
      </c>
      <c r="L151">
        <v>0.4</v>
      </c>
      <c r="M151">
        <v>1.2</v>
      </c>
      <c r="N151">
        <v>0.32200000000000001</v>
      </c>
      <c r="O151">
        <v>2.8</v>
      </c>
      <c r="P151">
        <v>4.5999999999999996</v>
      </c>
      <c r="Q151">
        <v>0.60399999999999998</v>
      </c>
      <c r="R151">
        <v>0.57999999999999996</v>
      </c>
      <c r="S151">
        <v>1.2</v>
      </c>
      <c r="T151">
        <v>1.8</v>
      </c>
      <c r="U151">
        <v>0.69099999999999995</v>
      </c>
      <c r="V151">
        <v>2.2000000000000002</v>
      </c>
      <c r="W151">
        <v>5.3</v>
      </c>
      <c r="X151">
        <v>7.5</v>
      </c>
      <c r="Y151">
        <v>2.4</v>
      </c>
      <c r="Z151">
        <v>1.1000000000000001</v>
      </c>
      <c r="AA151">
        <v>0.3</v>
      </c>
      <c r="AB151">
        <v>1.2</v>
      </c>
      <c r="AC151">
        <v>2.4</v>
      </c>
      <c r="AD151">
        <v>7.9</v>
      </c>
      <c r="AE151">
        <v>1879</v>
      </c>
      <c r="AF151">
        <v>15.1</v>
      </c>
      <c r="AG151">
        <v>0.60399999999999998</v>
      </c>
      <c r="AH151">
        <v>0.2</v>
      </c>
      <c r="AI151">
        <v>0.308</v>
      </c>
      <c r="AJ151">
        <v>10</v>
      </c>
      <c r="AK151">
        <v>23.2</v>
      </c>
      <c r="AL151">
        <v>16.7</v>
      </c>
      <c r="AM151">
        <v>13.1</v>
      </c>
      <c r="AN151">
        <v>2.1</v>
      </c>
      <c r="AO151">
        <v>0.9</v>
      </c>
      <c r="AP151">
        <v>15.9</v>
      </c>
      <c r="AQ151">
        <v>13.6</v>
      </c>
      <c r="AR151">
        <v>2.7</v>
      </c>
      <c r="AS151">
        <v>2.5</v>
      </c>
      <c r="AT151">
        <v>5.2</v>
      </c>
      <c r="AU151">
        <v>0.13200000000000001</v>
      </c>
      <c r="AV151">
        <v>-0.6</v>
      </c>
      <c r="AW151">
        <v>1.6</v>
      </c>
      <c r="AX151">
        <v>1.1000000000000001</v>
      </c>
      <c r="AY151">
        <v>1.5</v>
      </c>
      <c r="AZ151" s="8">
        <v>3.1500000000000004</v>
      </c>
      <c r="BA151" s="8">
        <v>0.72016460905349799</v>
      </c>
      <c r="BB151" s="3">
        <v>0</v>
      </c>
    </row>
    <row r="152" spans="1:54" x14ac:dyDescent="0.25">
      <c r="A152" t="s">
        <v>298</v>
      </c>
      <c r="B152" s="2">
        <v>4341480</v>
      </c>
      <c r="C152" t="s">
        <v>62</v>
      </c>
      <c r="D152">
        <v>21</v>
      </c>
      <c r="E152" t="s">
        <v>109</v>
      </c>
      <c r="F152">
        <v>75</v>
      </c>
      <c r="G152">
        <v>62</v>
      </c>
      <c r="H152">
        <v>30.3</v>
      </c>
      <c r="I152">
        <v>5.5</v>
      </c>
      <c r="J152">
        <v>10.6</v>
      </c>
      <c r="K152">
        <v>0.52100000000000002</v>
      </c>
      <c r="L152">
        <v>1</v>
      </c>
      <c r="M152">
        <v>2.7</v>
      </c>
      <c r="N152">
        <v>0.35599999999999998</v>
      </c>
      <c r="O152">
        <v>4.5</v>
      </c>
      <c r="P152">
        <v>7.9</v>
      </c>
      <c r="Q152">
        <v>0.57899999999999996</v>
      </c>
      <c r="R152">
        <v>0.56699999999999995</v>
      </c>
      <c r="S152">
        <v>2.1</v>
      </c>
      <c r="T152">
        <v>2.5</v>
      </c>
      <c r="U152">
        <v>0.81200000000000006</v>
      </c>
      <c r="V152">
        <v>1.1000000000000001</v>
      </c>
      <c r="W152">
        <v>3.4</v>
      </c>
      <c r="X152">
        <v>4.5</v>
      </c>
      <c r="Y152">
        <v>3.3</v>
      </c>
      <c r="Z152">
        <v>1.4</v>
      </c>
      <c r="AA152">
        <v>0.5</v>
      </c>
      <c r="AB152">
        <v>1.6</v>
      </c>
      <c r="AC152">
        <v>2.5</v>
      </c>
      <c r="AD152">
        <v>14.1</v>
      </c>
      <c r="AE152">
        <v>2276</v>
      </c>
      <c r="AF152">
        <v>15.6</v>
      </c>
      <c r="AG152">
        <v>0.60099999999999998</v>
      </c>
      <c r="AH152">
        <v>0.25800000000000001</v>
      </c>
      <c r="AI152">
        <v>0.24099999999999999</v>
      </c>
      <c r="AJ152">
        <v>3.9</v>
      </c>
      <c r="AK152">
        <v>12.2</v>
      </c>
      <c r="AL152">
        <v>7.9</v>
      </c>
      <c r="AM152">
        <v>15.4</v>
      </c>
      <c r="AN152">
        <v>2.1</v>
      </c>
      <c r="AO152">
        <v>1.4</v>
      </c>
      <c r="AP152">
        <v>12.3</v>
      </c>
      <c r="AQ152">
        <v>18.399999999999999</v>
      </c>
      <c r="AR152">
        <v>3</v>
      </c>
      <c r="AS152">
        <v>2.6</v>
      </c>
      <c r="AT152">
        <v>5.6</v>
      </c>
      <c r="AU152">
        <v>0.11899999999999999</v>
      </c>
      <c r="AV152">
        <v>-0.4</v>
      </c>
      <c r="AW152">
        <v>0.7</v>
      </c>
      <c r="AX152">
        <v>0.3</v>
      </c>
      <c r="AY152">
        <v>1.3</v>
      </c>
      <c r="AZ152" s="8">
        <v>2.9499999999999997</v>
      </c>
      <c r="BA152" s="8">
        <v>0.67949178621115369</v>
      </c>
      <c r="BB152" s="3">
        <v>0</v>
      </c>
    </row>
    <row r="153" spans="1:54" x14ac:dyDescent="0.25">
      <c r="A153" t="s">
        <v>303</v>
      </c>
      <c r="B153" s="2">
        <v>4124280</v>
      </c>
      <c r="C153" t="s">
        <v>75</v>
      </c>
      <c r="D153">
        <v>19</v>
      </c>
      <c r="E153" t="s">
        <v>201</v>
      </c>
      <c r="F153">
        <v>67</v>
      </c>
      <c r="G153">
        <v>31</v>
      </c>
      <c r="H153">
        <v>24.9</v>
      </c>
      <c r="I153">
        <v>3.9</v>
      </c>
      <c r="J153">
        <v>5.9</v>
      </c>
      <c r="K153">
        <v>0.64800000000000002</v>
      </c>
      <c r="L153">
        <v>0</v>
      </c>
      <c r="M153">
        <v>0</v>
      </c>
      <c r="N153">
        <v>0</v>
      </c>
      <c r="O153">
        <v>3.9</v>
      </c>
      <c r="P153">
        <v>5.9</v>
      </c>
      <c r="Q153">
        <v>0.65200000000000002</v>
      </c>
      <c r="R153">
        <v>0.64800000000000002</v>
      </c>
      <c r="S153">
        <v>1.4</v>
      </c>
      <c r="T153">
        <v>2.2999999999999998</v>
      </c>
      <c r="U153">
        <v>0.61099999999999999</v>
      </c>
      <c r="V153">
        <v>3.4</v>
      </c>
      <c r="W153">
        <v>5.5</v>
      </c>
      <c r="X153">
        <v>8.9</v>
      </c>
      <c r="Y153">
        <v>1.1000000000000001</v>
      </c>
      <c r="Z153">
        <v>0.7</v>
      </c>
      <c r="AA153">
        <v>0.9</v>
      </c>
      <c r="AB153">
        <v>1.4</v>
      </c>
      <c r="AC153">
        <v>2.7</v>
      </c>
      <c r="AD153">
        <v>9.1</v>
      </c>
      <c r="AE153">
        <v>1670</v>
      </c>
      <c r="AF153">
        <v>17.3</v>
      </c>
      <c r="AG153">
        <v>0.65500000000000003</v>
      </c>
      <c r="AH153">
        <v>5.0000000000000001E-3</v>
      </c>
      <c r="AI153">
        <v>0.39400000000000002</v>
      </c>
      <c r="AJ153">
        <v>14.7</v>
      </c>
      <c r="AK153">
        <v>25.1</v>
      </c>
      <c r="AL153">
        <v>19.7</v>
      </c>
      <c r="AM153">
        <v>6.8</v>
      </c>
      <c r="AN153">
        <v>1.3</v>
      </c>
      <c r="AO153">
        <v>3.1</v>
      </c>
      <c r="AP153">
        <v>16.5</v>
      </c>
      <c r="AQ153">
        <v>14.3</v>
      </c>
      <c r="AR153">
        <v>2.9</v>
      </c>
      <c r="AS153">
        <v>1.6</v>
      </c>
      <c r="AT153">
        <v>4.5</v>
      </c>
      <c r="AU153">
        <v>0.129</v>
      </c>
      <c r="AV153">
        <v>-0.4</v>
      </c>
      <c r="AW153">
        <v>-0.4</v>
      </c>
      <c r="AX153">
        <v>-0.8</v>
      </c>
      <c r="AY153">
        <v>0.5</v>
      </c>
      <c r="AZ153" s="8">
        <v>1.85</v>
      </c>
      <c r="BA153" s="8">
        <v>0.44856314314256063</v>
      </c>
      <c r="BB153" s="3">
        <v>0</v>
      </c>
    </row>
    <row r="154" spans="1:54" x14ac:dyDescent="0.25">
      <c r="A154" t="s">
        <v>313</v>
      </c>
      <c r="B154" s="2">
        <v>3901399</v>
      </c>
      <c r="C154" t="s">
        <v>52</v>
      </c>
      <c r="D154">
        <v>23</v>
      </c>
      <c r="E154" t="s">
        <v>53</v>
      </c>
      <c r="F154">
        <v>82</v>
      </c>
      <c r="G154">
        <v>43</v>
      </c>
      <c r="H154">
        <v>30</v>
      </c>
      <c r="I154">
        <v>6.7</v>
      </c>
      <c r="J154">
        <v>15.6</v>
      </c>
      <c r="K154">
        <v>0.43</v>
      </c>
      <c r="L154">
        <v>2.6</v>
      </c>
      <c r="M154">
        <v>7.8</v>
      </c>
      <c r="N154">
        <v>0.33600000000000002</v>
      </c>
      <c r="O154">
        <v>4.0999999999999996</v>
      </c>
      <c r="P154">
        <v>7.8</v>
      </c>
      <c r="Q154">
        <v>0.52400000000000002</v>
      </c>
      <c r="R154">
        <v>0.51400000000000001</v>
      </c>
      <c r="S154">
        <v>4.4000000000000004</v>
      </c>
      <c r="T154">
        <v>5.0999999999999996</v>
      </c>
      <c r="U154">
        <v>0.87</v>
      </c>
      <c r="V154">
        <v>0.4</v>
      </c>
      <c r="W154">
        <v>2.4</v>
      </c>
      <c r="X154">
        <v>2.7</v>
      </c>
      <c r="Y154">
        <v>4.5</v>
      </c>
      <c r="Z154">
        <v>0.8</v>
      </c>
      <c r="AA154">
        <v>0.3</v>
      </c>
      <c r="AB154">
        <v>3.1</v>
      </c>
      <c r="AC154">
        <v>2.6</v>
      </c>
      <c r="AD154">
        <v>20.399999999999999</v>
      </c>
      <c r="AE154">
        <v>2458</v>
      </c>
      <c r="AF154">
        <v>14.6</v>
      </c>
      <c r="AG154">
        <v>0.57299999999999995</v>
      </c>
      <c r="AH154">
        <v>0.498</v>
      </c>
      <c r="AI154">
        <v>0.32500000000000001</v>
      </c>
      <c r="AJ154">
        <v>1.5</v>
      </c>
      <c r="AK154">
        <v>8.5</v>
      </c>
      <c r="AL154">
        <v>5</v>
      </c>
      <c r="AM154">
        <v>22.5</v>
      </c>
      <c r="AN154">
        <v>1.2</v>
      </c>
      <c r="AO154">
        <v>0.8</v>
      </c>
      <c r="AP154">
        <v>14.7</v>
      </c>
      <c r="AQ154">
        <v>29.2</v>
      </c>
      <c r="AR154">
        <v>1.4</v>
      </c>
      <c r="AS154">
        <v>1.9</v>
      </c>
      <c r="AT154">
        <v>3.2</v>
      </c>
      <c r="AU154">
        <v>6.3E-2</v>
      </c>
      <c r="AV154">
        <v>-0.1</v>
      </c>
      <c r="AW154">
        <v>-1.8</v>
      </c>
      <c r="AX154">
        <v>-1.9</v>
      </c>
      <c r="AY154">
        <v>0.1</v>
      </c>
      <c r="AZ154" s="8">
        <v>0.65000000000000013</v>
      </c>
      <c r="BA154" s="8">
        <v>0.16660690178061771</v>
      </c>
      <c r="BB154" s="3">
        <v>0</v>
      </c>
    </row>
    <row r="155" spans="1:54" x14ac:dyDescent="0.25">
      <c r="A155" t="s">
        <v>319</v>
      </c>
      <c r="B155" s="2">
        <v>3613680</v>
      </c>
      <c r="C155" t="s">
        <v>52</v>
      </c>
      <c r="D155">
        <v>22</v>
      </c>
      <c r="E155" t="s">
        <v>152</v>
      </c>
      <c r="F155">
        <v>60</v>
      </c>
      <c r="G155">
        <v>4</v>
      </c>
      <c r="H155">
        <v>25.9</v>
      </c>
      <c r="I155">
        <v>4.5999999999999996</v>
      </c>
      <c r="J155">
        <v>10.199999999999999</v>
      </c>
      <c r="K155">
        <v>0.45400000000000001</v>
      </c>
      <c r="L155">
        <v>1.3</v>
      </c>
      <c r="M155">
        <v>3.4</v>
      </c>
      <c r="N155">
        <v>0.36399999999999999</v>
      </c>
      <c r="O155">
        <v>3.4</v>
      </c>
      <c r="P155">
        <v>6.7</v>
      </c>
      <c r="Q155">
        <v>0.5</v>
      </c>
      <c r="R155">
        <v>0.51600000000000001</v>
      </c>
      <c r="S155">
        <v>2.5</v>
      </c>
      <c r="T155">
        <v>2.8</v>
      </c>
      <c r="U155">
        <v>0.89400000000000002</v>
      </c>
      <c r="V155">
        <v>0.8</v>
      </c>
      <c r="W155">
        <v>4</v>
      </c>
      <c r="X155">
        <v>4.8</v>
      </c>
      <c r="Y155">
        <v>3.9</v>
      </c>
      <c r="Z155">
        <v>0.6</v>
      </c>
      <c r="AA155">
        <v>0.5</v>
      </c>
      <c r="AB155">
        <v>1.5</v>
      </c>
      <c r="AC155">
        <v>2.6</v>
      </c>
      <c r="AD155">
        <v>13</v>
      </c>
      <c r="AE155">
        <v>1552</v>
      </c>
      <c r="AF155">
        <v>16</v>
      </c>
      <c r="AG155">
        <v>0.56999999999999995</v>
      </c>
      <c r="AH155">
        <v>0.33800000000000002</v>
      </c>
      <c r="AI155">
        <v>0.27900000000000003</v>
      </c>
      <c r="AJ155">
        <v>3.4</v>
      </c>
      <c r="AK155">
        <v>17.600000000000001</v>
      </c>
      <c r="AL155">
        <v>10.5</v>
      </c>
      <c r="AM155">
        <v>22.9</v>
      </c>
      <c r="AN155">
        <v>1.2</v>
      </c>
      <c r="AO155">
        <v>1.9</v>
      </c>
      <c r="AP155">
        <v>11.7</v>
      </c>
      <c r="AQ155">
        <v>21.5</v>
      </c>
      <c r="AR155">
        <v>2.1</v>
      </c>
      <c r="AS155">
        <v>1.7</v>
      </c>
      <c r="AT155">
        <v>3.7</v>
      </c>
      <c r="AU155">
        <v>0.11600000000000001</v>
      </c>
      <c r="AV155">
        <v>0.7</v>
      </c>
      <c r="AW155">
        <v>0.5</v>
      </c>
      <c r="AX155">
        <v>1.3</v>
      </c>
      <c r="AY155">
        <v>1.3</v>
      </c>
      <c r="AZ155" s="8">
        <v>2.5</v>
      </c>
      <c r="BA155" s="8">
        <v>0.69181554537203072</v>
      </c>
      <c r="BB155" s="3">
        <v>0</v>
      </c>
    </row>
    <row r="156" spans="1:54" x14ac:dyDescent="0.25">
      <c r="A156" t="s">
        <v>320</v>
      </c>
      <c r="B156" s="2">
        <v>3552840</v>
      </c>
      <c r="C156" t="s">
        <v>65</v>
      </c>
      <c r="D156">
        <v>23</v>
      </c>
      <c r="E156" t="s">
        <v>63</v>
      </c>
      <c r="F156">
        <v>74</v>
      </c>
      <c r="G156">
        <v>45</v>
      </c>
      <c r="H156">
        <v>28.3</v>
      </c>
      <c r="I156">
        <v>3.9</v>
      </c>
      <c r="J156">
        <v>7.9</v>
      </c>
      <c r="K156">
        <v>0.497</v>
      </c>
      <c r="L156">
        <v>2.2000000000000002</v>
      </c>
      <c r="M156">
        <v>5.2</v>
      </c>
      <c r="N156">
        <v>0.42399999999999999</v>
      </c>
      <c r="O156">
        <v>1.7</v>
      </c>
      <c r="P156">
        <v>2.7</v>
      </c>
      <c r="Q156">
        <v>0.63700000000000001</v>
      </c>
      <c r="R156">
        <v>0.63700000000000001</v>
      </c>
      <c r="S156">
        <v>1</v>
      </c>
      <c r="T156">
        <v>1.2</v>
      </c>
      <c r="U156">
        <v>0.85199999999999998</v>
      </c>
      <c r="V156">
        <v>0.4</v>
      </c>
      <c r="W156">
        <v>2.4</v>
      </c>
      <c r="X156">
        <v>2.8</v>
      </c>
      <c r="Y156">
        <v>1.2</v>
      </c>
      <c r="Z156">
        <v>0.4</v>
      </c>
      <c r="AA156">
        <v>0.1</v>
      </c>
      <c r="AB156">
        <v>0.7</v>
      </c>
      <c r="AC156">
        <v>1.3</v>
      </c>
      <c r="AD156">
        <v>11.1</v>
      </c>
      <c r="AE156">
        <v>2093</v>
      </c>
      <c r="AF156">
        <v>11.5</v>
      </c>
      <c r="AG156">
        <v>0.65700000000000003</v>
      </c>
      <c r="AH156">
        <v>0.65600000000000003</v>
      </c>
      <c r="AI156">
        <v>0.15</v>
      </c>
      <c r="AJ156">
        <v>1.8</v>
      </c>
      <c r="AK156">
        <v>8.9</v>
      </c>
      <c r="AL156">
        <v>5.5</v>
      </c>
      <c r="AM156">
        <v>5.7</v>
      </c>
      <c r="AN156">
        <v>0.7</v>
      </c>
      <c r="AO156">
        <v>0.4</v>
      </c>
      <c r="AP156">
        <v>8.1</v>
      </c>
      <c r="AQ156">
        <v>14.1</v>
      </c>
      <c r="AR156">
        <v>2.9</v>
      </c>
      <c r="AS156">
        <v>0.9</v>
      </c>
      <c r="AT156">
        <v>3.8</v>
      </c>
      <c r="AU156">
        <v>8.7999999999999995E-2</v>
      </c>
      <c r="AV156">
        <v>-0.1</v>
      </c>
      <c r="AW156">
        <v>-1.4</v>
      </c>
      <c r="AX156">
        <v>-1.5</v>
      </c>
      <c r="AY156">
        <v>0.2</v>
      </c>
      <c r="AZ156" s="8">
        <v>1.1499999999999999</v>
      </c>
      <c r="BA156" s="8">
        <v>0.32368471420047062</v>
      </c>
      <c r="BB156" s="3">
        <v>0</v>
      </c>
    </row>
    <row r="157" spans="1:54" x14ac:dyDescent="0.25">
      <c r="A157" t="s">
        <v>321</v>
      </c>
      <c r="B157" s="2">
        <v>3536160</v>
      </c>
      <c r="C157" t="s">
        <v>65</v>
      </c>
      <c r="D157">
        <v>19</v>
      </c>
      <c r="E157" t="s">
        <v>85</v>
      </c>
      <c r="F157">
        <v>72</v>
      </c>
      <c r="G157">
        <v>12</v>
      </c>
      <c r="H157">
        <v>19.5</v>
      </c>
      <c r="I157">
        <v>3.4</v>
      </c>
      <c r="J157">
        <v>7.4</v>
      </c>
      <c r="K157">
        <v>0.46500000000000002</v>
      </c>
      <c r="L157">
        <v>1.4</v>
      </c>
      <c r="M157">
        <v>3.6</v>
      </c>
      <c r="N157">
        <v>0.39</v>
      </c>
      <c r="O157">
        <v>2</v>
      </c>
      <c r="P157">
        <v>3.8</v>
      </c>
      <c r="Q157">
        <v>0.53600000000000003</v>
      </c>
      <c r="R157">
        <v>0.56000000000000005</v>
      </c>
      <c r="S157">
        <v>0.6</v>
      </c>
      <c r="T157">
        <v>0.7</v>
      </c>
      <c r="U157">
        <v>0.89400000000000002</v>
      </c>
      <c r="V157">
        <v>0.5</v>
      </c>
      <c r="W157">
        <v>1.6</v>
      </c>
      <c r="X157">
        <v>2.1</v>
      </c>
      <c r="Y157">
        <v>1</v>
      </c>
      <c r="Z157">
        <v>0.6</v>
      </c>
      <c r="AA157">
        <v>0.2</v>
      </c>
      <c r="AB157">
        <v>0.6</v>
      </c>
      <c r="AC157">
        <v>1.2</v>
      </c>
      <c r="AD157">
        <v>8.9</v>
      </c>
      <c r="AE157">
        <v>1401</v>
      </c>
      <c r="AF157">
        <v>12.6</v>
      </c>
      <c r="AG157">
        <v>0.57699999999999996</v>
      </c>
      <c r="AH157">
        <v>0.48599999999999999</v>
      </c>
      <c r="AI157">
        <v>8.7999999999999995E-2</v>
      </c>
      <c r="AJ157">
        <v>2.9</v>
      </c>
      <c r="AK157">
        <v>9.1999999999999993</v>
      </c>
      <c r="AL157">
        <v>6</v>
      </c>
      <c r="AM157">
        <v>7</v>
      </c>
      <c r="AN157">
        <v>1.4</v>
      </c>
      <c r="AO157">
        <v>0.7</v>
      </c>
      <c r="AP157">
        <v>7.1</v>
      </c>
      <c r="AQ157">
        <v>17.899999999999999</v>
      </c>
      <c r="AR157">
        <v>1.3</v>
      </c>
      <c r="AS157">
        <v>0.9</v>
      </c>
      <c r="AT157">
        <v>2.2000000000000002</v>
      </c>
      <c r="AU157">
        <v>7.4999999999999997E-2</v>
      </c>
      <c r="AV157">
        <v>-0.3</v>
      </c>
      <c r="AW157">
        <v>-0.5</v>
      </c>
      <c r="AX157">
        <v>-0.8</v>
      </c>
      <c r="AY157">
        <v>0.4</v>
      </c>
      <c r="AZ157" s="8">
        <v>0.70000000000000007</v>
      </c>
      <c r="BA157" s="8">
        <v>0.19795484367223207</v>
      </c>
      <c r="BB157" s="3">
        <v>0</v>
      </c>
    </row>
    <row r="158" spans="1:54" x14ac:dyDescent="0.25">
      <c r="A158" t="s">
        <v>323</v>
      </c>
      <c r="B158" s="2">
        <v>3465000</v>
      </c>
      <c r="C158" t="s">
        <v>28</v>
      </c>
      <c r="D158">
        <v>29</v>
      </c>
      <c r="E158" t="s">
        <v>82</v>
      </c>
      <c r="F158">
        <v>78</v>
      </c>
      <c r="G158">
        <v>1</v>
      </c>
      <c r="H158">
        <v>19.399999999999999</v>
      </c>
      <c r="I158">
        <v>2.8</v>
      </c>
      <c r="J158">
        <v>6.4</v>
      </c>
      <c r="K158">
        <v>0.442</v>
      </c>
      <c r="L158">
        <v>2</v>
      </c>
      <c r="M158">
        <v>4.9000000000000004</v>
      </c>
      <c r="N158">
        <v>0.40100000000000002</v>
      </c>
      <c r="O158">
        <v>0.9</v>
      </c>
      <c r="P158">
        <v>1.5</v>
      </c>
      <c r="Q158">
        <v>0.57599999999999996</v>
      </c>
      <c r="R158">
        <v>0.59599999999999997</v>
      </c>
      <c r="S158">
        <v>0.5</v>
      </c>
      <c r="T158">
        <v>0.6</v>
      </c>
      <c r="U158">
        <v>0.86699999999999999</v>
      </c>
      <c r="V158">
        <v>0.2</v>
      </c>
      <c r="W158">
        <v>2.1</v>
      </c>
      <c r="X158">
        <v>2.4</v>
      </c>
      <c r="Y158">
        <v>1</v>
      </c>
      <c r="Z158">
        <v>0.4</v>
      </c>
      <c r="AA158">
        <v>0.2</v>
      </c>
      <c r="AB158">
        <v>0.7</v>
      </c>
      <c r="AC158">
        <v>1.9</v>
      </c>
      <c r="AD158">
        <v>8.1999999999999993</v>
      </c>
      <c r="AE158">
        <v>1512</v>
      </c>
      <c r="AF158">
        <v>10.9</v>
      </c>
      <c r="AG158">
        <v>0.61</v>
      </c>
      <c r="AH158">
        <v>0.76500000000000001</v>
      </c>
      <c r="AI158">
        <v>0.09</v>
      </c>
      <c r="AJ158">
        <v>1.5</v>
      </c>
      <c r="AK158">
        <v>12.8</v>
      </c>
      <c r="AL158">
        <v>7.2</v>
      </c>
      <c r="AM158">
        <v>7.3</v>
      </c>
      <c r="AN158">
        <v>1</v>
      </c>
      <c r="AO158">
        <v>0.9</v>
      </c>
      <c r="AP158">
        <v>9.4</v>
      </c>
      <c r="AQ158">
        <v>17</v>
      </c>
      <c r="AR158">
        <v>1.1000000000000001</v>
      </c>
      <c r="AS158">
        <v>1.4</v>
      </c>
      <c r="AT158">
        <v>2.5</v>
      </c>
      <c r="AU158">
        <v>7.8E-2</v>
      </c>
      <c r="AV158">
        <v>-0.4</v>
      </c>
      <c r="AW158">
        <v>-1</v>
      </c>
      <c r="AX158">
        <v>-1.4</v>
      </c>
      <c r="AY158">
        <v>0.2</v>
      </c>
      <c r="AZ158" s="8">
        <v>0.55000000000000004</v>
      </c>
      <c r="BA158" s="8">
        <v>0.15873015873015872</v>
      </c>
      <c r="BB158" s="3">
        <v>0</v>
      </c>
    </row>
    <row r="159" spans="1:54" x14ac:dyDescent="0.25">
      <c r="A159" t="s">
        <v>327</v>
      </c>
      <c r="B159" s="2">
        <v>3359160</v>
      </c>
      <c r="C159" t="s">
        <v>28</v>
      </c>
      <c r="D159">
        <v>21</v>
      </c>
      <c r="E159" t="s">
        <v>213</v>
      </c>
      <c r="F159">
        <v>82</v>
      </c>
      <c r="G159">
        <v>5</v>
      </c>
      <c r="H159">
        <v>21.5</v>
      </c>
      <c r="I159">
        <v>3.6</v>
      </c>
      <c r="J159">
        <v>8</v>
      </c>
      <c r="K159">
        <v>0.44800000000000001</v>
      </c>
      <c r="L159">
        <v>0.7</v>
      </c>
      <c r="M159">
        <v>2.1</v>
      </c>
      <c r="N159">
        <v>0.34300000000000003</v>
      </c>
      <c r="O159">
        <v>2.9</v>
      </c>
      <c r="P159">
        <v>6</v>
      </c>
      <c r="Q159">
        <v>0.48599999999999999</v>
      </c>
      <c r="R159">
        <v>0.49299999999999999</v>
      </c>
      <c r="S159">
        <v>1.3</v>
      </c>
      <c r="T159">
        <v>1.8</v>
      </c>
      <c r="U159">
        <v>0.752</v>
      </c>
      <c r="V159">
        <v>2.4</v>
      </c>
      <c r="W159">
        <v>3.7</v>
      </c>
      <c r="X159">
        <v>6</v>
      </c>
      <c r="Y159">
        <v>1.1000000000000001</v>
      </c>
      <c r="Z159">
        <v>1.2</v>
      </c>
      <c r="AA159">
        <v>0.6</v>
      </c>
      <c r="AB159">
        <v>1.2</v>
      </c>
      <c r="AC159">
        <v>2.2999999999999998</v>
      </c>
      <c r="AD159">
        <v>9.3000000000000007</v>
      </c>
      <c r="AE159">
        <v>1767</v>
      </c>
      <c r="AF159">
        <v>15.2</v>
      </c>
      <c r="AG159">
        <v>0.52500000000000002</v>
      </c>
      <c r="AH159">
        <v>0.26100000000000001</v>
      </c>
      <c r="AI159">
        <v>0.22</v>
      </c>
      <c r="AJ159">
        <v>12</v>
      </c>
      <c r="AK159">
        <v>18.899999999999999</v>
      </c>
      <c r="AL159">
        <v>15.4</v>
      </c>
      <c r="AM159">
        <v>7.4</v>
      </c>
      <c r="AN159">
        <v>2.6</v>
      </c>
      <c r="AO159">
        <v>2.6</v>
      </c>
      <c r="AP159">
        <v>12.2</v>
      </c>
      <c r="AQ159">
        <v>19.3</v>
      </c>
      <c r="AR159">
        <v>0.9</v>
      </c>
      <c r="AS159">
        <v>1.7</v>
      </c>
      <c r="AT159">
        <v>2.6</v>
      </c>
      <c r="AU159">
        <v>7.0000000000000007E-2</v>
      </c>
      <c r="AV159">
        <v>-1.3</v>
      </c>
      <c r="AW159">
        <v>-0.4</v>
      </c>
      <c r="AX159">
        <v>-1.7</v>
      </c>
      <c r="AY159">
        <v>0.1</v>
      </c>
      <c r="AZ159" s="8">
        <v>0.45000000000000007</v>
      </c>
      <c r="BA159" s="8">
        <v>0.13396206194405746</v>
      </c>
      <c r="BB159" s="3">
        <v>0</v>
      </c>
    </row>
    <row r="160" spans="1:54" x14ac:dyDescent="0.25">
      <c r="A160" t="s">
        <v>333</v>
      </c>
      <c r="B160" s="2">
        <v>3098400</v>
      </c>
      <c r="C160" t="s">
        <v>62</v>
      </c>
      <c r="D160">
        <v>22</v>
      </c>
      <c r="E160" t="s">
        <v>73</v>
      </c>
      <c r="F160">
        <v>60</v>
      </c>
      <c r="G160">
        <v>21</v>
      </c>
      <c r="H160">
        <v>25.7</v>
      </c>
      <c r="I160">
        <v>3.4</v>
      </c>
      <c r="J160">
        <v>6.4</v>
      </c>
      <c r="K160">
        <v>0.53700000000000003</v>
      </c>
      <c r="L160">
        <v>1.1000000000000001</v>
      </c>
      <c r="M160">
        <v>2.8</v>
      </c>
      <c r="N160">
        <v>0.40200000000000002</v>
      </c>
      <c r="O160">
        <v>2.2999999999999998</v>
      </c>
      <c r="P160">
        <v>3.6</v>
      </c>
      <c r="Q160">
        <v>0.64300000000000002</v>
      </c>
      <c r="R160">
        <v>0.626</v>
      </c>
      <c r="S160">
        <v>1.1000000000000001</v>
      </c>
      <c r="T160">
        <v>1.6</v>
      </c>
      <c r="U160">
        <v>0.72299999999999998</v>
      </c>
      <c r="V160">
        <v>0.9</v>
      </c>
      <c r="W160">
        <v>2.1</v>
      </c>
      <c r="X160">
        <v>3</v>
      </c>
      <c r="Y160">
        <v>1.7</v>
      </c>
      <c r="Z160">
        <v>0.7</v>
      </c>
      <c r="AA160">
        <v>0.1</v>
      </c>
      <c r="AB160">
        <v>1.2</v>
      </c>
      <c r="AC160">
        <v>2.6</v>
      </c>
      <c r="AD160">
        <v>9.1</v>
      </c>
      <c r="AE160">
        <v>1539</v>
      </c>
      <c r="AF160">
        <v>11.2</v>
      </c>
      <c r="AG160">
        <v>0.64500000000000002</v>
      </c>
      <c r="AH160">
        <v>0.442</v>
      </c>
      <c r="AI160">
        <v>0.246</v>
      </c>
      <c r="AJ160">
        <v>4.0999999999999996</v>
      </c>
      <c r="AK160">
        <v>9.6999999999999993</v>
      </c>
      <c r="AL160">
        <v>6.9</v>
      </c>
      <c r="AM160">
        <v>9.6999999999999993</v>
      </c>
      <c r="AN160">
        <v>1.4</v>
      </c>
      <c r="AO160">
        <v>0.3</v>
      </c>
      <c r="AP160">
        <v>14.5</v>
      </c>
      <c r="AQ160">
        <v>14.6</v>
      </c>
      <c r="AR160">
        <v>1.7</v>
      </c>
      <c r="AS160">
        <v>0.9</v>
      </c>
      <c r="AT160">
        <v>2.6</v>
      </c>
      <c r="AU160">
        <v>8.2000000000000003E-2</v>
      </c>
      <c r="AV160">
        <v>-1.9</v>
      </c>
      <c r="AW160">
        <v>-0.6</v>
      </c>
      <c r="AX160">
        <v>-2.4</v>
      </c>
      <c r="AY160">
        <v>-0.2</v>
      </c>
      <c r="AZ160" s="8">
        <v>0.10000000000000009</v>
      </c>
      <c r="BA160" s="8">
        <v>3.227472243738707E-2</v>
      </c>
      <c r="BB160" s="3">
        <v>0</v>
      </c>
    </row>
    <row r="161" spans="1:54" x14ac:dyDescent="0.25">
      <c r="A161" t="s">
        <v>337</v>
      </c>
      <c r="B161" s="2">
        <v>2959080</v>
      </c>
      <c r="C161" t="s">
        <v>65</v>
      </c>
      <c r="D161">
        <v>23</v>
      </c>
      <c r="E161" t="s">
        <v>85</v>
      </c>
      <c r="F161">
        <v>77</v>
      </c>
      <c r="G161">
        <v>37</v>
      </c>
      <c r="H161">
        <v>27.6</v>
      </c>
      <c r="I161">
        <v>4.5999999999999996</v>
      </c>
      <c r="J161">
        <v>10.9</v>
      </c>
      <c r="K161">
        <v>0.42199999999999999</v>
      </c>
      <c r="L161">
        <v>2</v>
      </c>
      <c r="M161">
        <v>5.4</v>
      </c>
      <c r="N161">
        <v>0.36099999999999999</v>
      </c>
      <c r="O161">
        <v>2.6</v>
      </c>
      <c r="P161">
        <v>5.4</v>
      </c>
      <c r="Q161">
        <v>0.48299999999999998</v>
      </c>
      <c r="R161">
        <v>0.51300000000000001</v>
      </c>
      <c r="S161">
        <v>2.7</v>
      </c>
      <c r="T161">
        <v>3.1</v>
      </c>
      <c r="U161">
        <v>0.86099999999999999</v>
      </c>
      <c r="V161">
        <v>1.3</v>
      </c>
      <c r="W161">
        <v>3.4</v>
      </c>
      <c r="X161">
        <v>4.7</v>
      </c>
      <c r="Y161">
        <v>1.5</v>
      </c>
      <c r="Z161">
        <v>0.9</v>
      </c>
      <c r="AA161">
        <v>0.2</v>
      </c>
      <c r="AB161">
        <v>0.9</v>
      </c>
      <c r="AC161">
        <v>1.6</v>
      </c>
      <c r="AD161">
        <v>13.8</v>
      </c>
      <c r="AE161">
        <v>2129</v>
      </c>
      <c r="AF161">
        <v>14.6</v>
      </c>
      <c r="AG161">
        <v>0.56399999999999995</v>
      </c>
      <c r="AH161">
        <v>0.5</v>
      </c>
      <c r="AI161">
        <v>0.28499999999999998</v>
      </c>
      <c r="AJ161">
        <v>5</v>
      </c>
      <c r="AK161">
        <v>14</v>
      </c>
      <c r="AL161">
        <v>9.4</v>
      </c>
      <c r="AM161">
        <v>8.1</v>
      </c>
      <c r="AN161">
        <v>1.6</v>
      </c>
      <c r="AO161">
        <v>0.5</v>
      </c>
      <c r="AP161">
        <v>7</v>
      </c>
      <c r="AQ161">
        <v>20.2</v>
      </c>
      <c r="AR161">
        <v>2.6</v>
      </c>
      <c r="AS161">
        <v>1.2</v>
      </c>
      <c r="AT161">
        <v>3.9</v>
      </c>
      <c r="AU161">
        <v>8.6999999999999994E-2</v>
      </c>
      <c r="AV161">
        <v>0.9</v>
      </c>
      <c r="AW161">
        <v>-1.2</v>
      </c>
      <c r="AX161">
        <v>-0.3</v>
      </c>
      <c r="AY161">
        <v>0.9</v>
      </c>
      <c r="AZ161" s="8">
        <v>1.8</v>
      </c>
      <c r="BA161" s="8">
        <v>0.6082971734458007</v>
      </c>
      <c r="BB161" s="3">
        <v>0</v>
      </c>
    </row>
    <row r="162" spans="1:54" x14ac:dyDescent="0.25">
      <c r="A162" t="s">
        <v>354</v>
      </c>
      <c r="B162" s="2">
        <v>2792640</v>
      </c>
      <c r="C162" t="s">
        <v>65</v>
      </c>
      <c r="D162">
        <v>21</v>
      </c>
      <c r="E162" t="s">
        <v>85</v>
      </c>
      <c r="F162">
        <v>70</v>
      </c>
      <c r="G162">
        <v>6</v>
      </c>
      <c r="H162">
        <v>14.9</v>
      </c>
      <c r="I162">
        <v>2.2999999999999998</v>
      </c>
      <c r="J162">
        <v>4.5999999999999996</v>
      </c>
      <c r="K162">
        <v>0.49099999999999999</v>
      </c>
      <c r="L162">
        <v>0.4</v>
      </c>
      <c r="M162">
        <v>1.5</v>
      </c>
      <c r="N162">
        <v>0.28799999999999998</v>
      </c>
      <c r="O162">
        <v>1.8</v>
      </c>
      <c r="P162">
        <v>3.1</v>
      </c>
      <c r="Q162">
        <v>0.58699999999999997</v>
      </c>
      <c r="R162">
        <v>0.53700000000000003</v>
      </c>
      <c r="S162">
        <v>0.7</v>
      </c>
      <c r="T162">
        <v>1.1000000000000001</v>
      </c>
      <c r="U162">
        <v>0.628</v>
      </c>
      <c r="V162">
        <v>0.7</v>
      </c>
      <c r="W162">
        <v>3.3</v>
      </c>
      <c r="X162">
        <v>4</v>
      </c>
      <c r="Y162">
        <v>1.2</v>
      </c>
      <c r="Z162">
        <v>0.5</v>
      </c>
      <c r="AA162">
        <v>0.5</v>
      </c>
      <c r="AB162">
        <v>0.6</v>
      </c>
      <c r="AC162">
        <v>1.6</v>
      </c>
      <c r="AD162">
        <v>5.6</v>
      </c>
      <c r="AE162">
        <v>1042</v>
      </c>
      <c r="AF162">
        <v>14.1</v>
      </c>
      <c r="AG162">
        <v>0.55400000000000005</v>
      </c>
      <c r="AH162">
        <v>0.32300000000000001</v>
      </c>
      <c r="AI162">
        <v>0.24199999999999999</v>
      </c>
      <c r="AJ162">
        <v>5.3</v>
      </c>
      <c r="AK162">
        <v>24.6</v>
      </c>
      <c r="AL162">
        <v>14.8</v>
      </c>
      <c r="AM162">
        <v>10.4</v>
      </c>
      <c r="AN162">
        <v>1.7</v>
      </c>
      <c r="AO162">
        <v>2.8</v>
      </c>
      <c r="AP162">
        <v>10.3</v>
      </c>
      <c r="AQ162">
        <v>16</v>
      </c>
      <c r="AR162">
        <v>0.8</v>
      </c>
      <c r="AS162">
        <v>1.3</v>
      </c>
      <c r="AT162">
        <v>2.1</v>
      </c>
      <c r="AU162">
        <v>9.9000000000000005E-2</v>
      </c>
      <c r="AV162">
        <v>-1.2</v>
      </c>
      <c r="AW162">
        <v>1.5</v>
      </c>
      <c r="AX162">
        <v>0.3</v>
      </c>
      <c r="AY162">
        <v>0.6</v>
      </c>
      <c r="AZ162" s="8">
        <v>1.2</v>
      </c>
      <c r="BA162" s="8">
        <v>0.42970092815400479</v>
      </c>
      <c r="BB162" s="3">
        <v>0</v>
      </c>
    </row>
    <row r="163" spans="1:54" x14ac:dyDescent="0.25">
      <c r="A163" t="s">
        <v>355</v>
      </c>
      <c r="B163" s="2">
        <v>2726880</v>
      </c>
      <c r="C163" t="s">
        <v>62</v>
      </c>
      <c r="D163">
        <v>22</v>
      </c>
      <c r="E163" t="s">
        <v>82</v>
      </c>
      <c r="F163">
        <v>60</v>
      </c>
      <c r="G163">
        <v>41</v>
      </c>
      <c r="H163">
        <v>33.6</v>
      </c>
      <c r="I163">
        <v>7.3</v>
      </c>
      <c r="J163">
        <v>15.2</v>
      </c>
      <c r="K163">
        <v>0.48099999999999998</v>
      </c>
      <c r="L163">
        <v>2.7</v>
      </c>
      <c r="M163">
        <v>6.2</v>
      </c>
      <c r="N163">
        <v>0.434</v>
      </c>
      <c r="O163">
        <v>4.7</v>
      </c>
      <c r="P163">
        <v>9.1</v>
      </c>
      <c r="Q163">
        <v>0.51300000000000001</v>
      </c>
      <c r="R163">
        <v>0.56799999999999995</v>
      </c>
      <c r="S163">
        <v>3</v>
      </c>
      <c r="T163">
        <v>3.6</v>
      </c>
      <c r="U163">
        <v>0.84499999999999997</v>
      </c>
      <c r="V163">
        <v>0.4</v>
      </c>
      <c r="W163">
        <v>2.6</v>
      </c>
      <c r="X163">
        <v>2.9</v>
      </c>
      <c r="Y163">
        <v>3.5</v>
      </c>
      <c r="Z163">
        <v>0.8</v>
      </c>
      <c r="AA163">
        <v>0.1</v>
      </c>
      <c r="AB163">
        <v>1.3</v>
      </c>
      <c r="AC163">
        <v>2.2000000000000002</v>
      </c>
      <c r="AD163">
        <v>20.3</v>
      </c>
      <c r="AE163">
        <v>2016</v>
      </c>
      <c r="AF163">
        <v>17</v>
      </c>
      <c r="AG163">
        <v>0.60499999999999998</v>
      </c>
      <c r="AH163">
        <v>0.40400000000000003</v>
      </c>
      <c r="AI163">
        <v>0.23300000000000001</v>
      </c>
      <c r="AJ163">
        <v>1.4</v>
      </c>
      <c r="AK163">
        <v>8.8000000000000007</v>
      </c>
      <c r="AL163">
        <v>5.2</v>
      </c>
      <c r="AM163">
        <v>16.899999999999999</v>
      </c>
      <c r="AN163">
        <v>1.2</v>
      </c>
      <c r="AO163">
        <v>0.4</v>
      </c>
      <c r="AP163">
        <v>7.4</v>
      </c>
      <c r="AQ163">
        <v>24.1</v>
      </c>
      <c r="AR163">
        <v>3.7</v>
      </c>
      <c r="AS163">
        <v>1.6</v>
      </c>
      <c r="AT163">
        <v>5.4</v>
      </c>
      <c r="AU163">
        <v>0.128</v>
      </c>
      <c r="AV163">
        <v>1.9</v>
      </c>
      <c r="AW163">
        <v>-1.2</v>
      </c>
      <c r="AX163">
        <v>0.6</v>
      </c>
      <c r="AY163">
        <v>1.3</v>
      </c>
      <c r="AZ163" s="8">
        <v>3</v>
      </c>
      <c r="BA163" s="8">
        <v>1.1001584228128851</v>
      </c>
      <c r="BB163" s="3">
        <v>0</v>
      </c>
    </row>
    <row r="164" spans="1:54" x14ac:dyDescent="0.25">
      <c r="A164" t="s">
        <v>361</v>
      </c>
      <c r="B164" s="2">
        <v>2625000</v>
      </c>
      <c r="C164" t="s">
        <v>28</v>
      </c>
      <c r="D164">
        <v>27</v>
      </c>
      <c r="E164" t="s">
        <v>116</v>
      </c>
      <c r="F164">
        <v>74</v>
      </c>
      <c r="G164">
        <v>0</v>
      </c>
      <c r="H164">
        <v>16.899999999999999</v>
      </c>
      <c r="I164">
        <v>2.5</v>
      </c>
      <c r="J164">
        <v>5.5</v>
      </c>
      <c r="K164">
        <v>0.45800000000000002</v>
      </c>
      <c r="L164">
        <v>1.2</v>
      </c>
      <c r="M164">
        <v>3.2</v>
      </c>
      <c r="N164">
        <v>0.36299999999999999</v>
      </c>
      <c r="O164">
        <v>1.4</v>
      </c>
      <c r="P164">
        <v>2.2999999999999998</v>
      </c>
      <c r="Q164">
        <v>0.59499999999999997</v>
      </c>
      <c r="R164">
        <v>0.56499999999999995</v>
      </c>
      <c r="S164">
        <v>1.4</v>
      </c>
      <c r="T164">
        <v>1.7</v>
      </c>
      <c r="U164">
        <v>0.81499999999999995</v>
      </c>
      <c r="V164">
        <v>0.9</v>
      </c>
      <c r="W164">
        <v>3.1</v>
      </c>
      <c r="X164">
        <v>4.0999999999999996</v>
      </c>
      <c r="Y164">
        <v>0.9</v>
      </c>
      <c r="Z164">
        <v>0.4</v>
      </c>
      <c r="AA164">
        <v>0.4</v>
      </c>
      <c r="AB164">
        <v>0.9</v>
      </c>
      <c r="AC164">
        <v>1.3</v>
      </c>
      <c r="AD164">
        <v>7.6</v>
      </c>
      <c r="AE164">
        <v>1247</v>
      </c>
      <c r="AF164">
        <v>14.2</v>
      </c>
      <c r="AG164">
        <v>0.60699999999999998</v>
      </c>
      <c r="AH164">
        <v>0.58799999999999997</v>
      </c>
      <c r="AI164">
        <v>0.30399999999999999</v>
      </c>
      <c r="AJ164">
        <v>6.3</v>
      </c>
      <c r="AK164">
        <v>21.1</v>
      </c>
      <c r="AL164">
        <v>13.7</v>
      </c>
      <c r="AM164">
        <v>7</v>
      </c>
      <c r="AN164">
        <v>1</v>
      </c>
      <c r="AO164">
        <v>2.2000000000000002</v>
      </c>
      <c r="AP164">
        <v>12.2</v>
      </c>
      <c r="AQ164">
        <v>18.100000000000001</v>
      </c>
      <c r="AR164">
        <v>1.4</v>
      </c>
      <c r="AS164">
        <v>1.2</v>
      </c>
      <c r="AT164">
        <v>2.6</v>
      </c>
      <c r="AU164">
        <v>9.8000000000000004E-2</v>
      </c>
      <c r="AV164">
        <v>0</v>
      </c>
      <c r="AW164">
        <v>-0.9</v>
      </c>
      <c r="AX164">
        <v>-1</v>
      </c>
      <c r="AY164">
        <v>0.3</v>
      </c>
      <c r="AZ164" s="8">
        <v>0.8</v>
      </c>
      <c r="BA164" s="8">
        <v>0.30476190476190479</v>
      </c>
      <c r="BB164" s="3">
        <v>0</v>
      </c>
    </row>
    <row r="165" spans="1:54" x14ac:dyDescent="0.25">
      <c r="A165" t="s">
        <v>364</v>
      </c>
      <c r="B165" s="2">
        <v>2573760</v>
      </c>
      <c r="C165" t="s">
        <v>75</v>
      </c>
      <c r="D165">
        <v>21</v>
      </c>
      <c r="E165" t="s">
        <v>93</v>
      </c>
      <c r="F165">
        <v>63</v>
      </c>
      <c r="G165">
        <v>12</v>
      </c>
      <c r="H165">
        <v>16.5</v>
      </c>
      <c r="I165">
        <v>2.8</v>
      </c>
      <c r="J165">
        <v>5</v>
      </c>
      <c r="K165">
        <v>0.56299999999999994</v>
      </c>
      <c r="L165">
        <v>0</v>
      </c>
      <c r="M165">
        <v>0.2</v>
      </c>
      <c r="N165">
        <v>0.14299999999999999</v>
      </c>
      <c r="O165">
        <v>2.8</v>
      </c>
      <c r="P165">
        <v>4.8</v>
      </c>
      <c r="Q165">
        <v>0.58199999999999996</v>
      </c>
      <c r="R165">
        <v>0.56599999999999995</v>
      </c>
      <c r="S165">
        <v>1.5</v>
      </c>
      <c r="T165">
        <v>2.2999999999999998</v>
      </c>
      <c r="U165">
        <v>0.65100000000000002</v>
      </c>
      <c r="V165">
        <v>1.8</v>
      </c>
      <c r="W165">
        <v>2.7</v>
      </c>
      <c r="X165">
        <v>4.5</v>
      </c>
      <c r="Y165">
        <v>0.8</v>
      </c>
      <c r="Z165">
        <v>0.5</v>
      </c>
      <c r="AA165">
        <v>1.5</v>
      </c>
      <c r="AB165">
        <v>0.8</v>
      </c>
      <c r="AC165">
        <v>2.4</v>
      </c>
      <c r="AD165">
        <v>7.2</v>
      </c>
      <c r="AE165">
        <v>1042</v>
      </c>
      <c r="AF165">
        <v>17.5</v>
      </c>
      <c r="AG165">
        <v>0.59499999999999997</v>
      </c>
      <c r="AH165">
        <v>4.3999999999999997E-2</v>
      </c>
      <c r="AI165">
        <v>0.45900000000000002</v>
      </c>
      <c r="AJ165">
        <v>12.1</v>
      </c>
      <c r="AK165">
        <v>18</v>
      </c>
      <c r="AL165">
        <v>15</v>
      </c>
      <c r="AM165">
        <v>7</v>
      </c>
      <c r="AN165">
        <v>1.4</v>
      </c>
      <c r="AO165">
        <v>7.7</v>
      </c>
      <c r="AP165">
        <v>11.8</v>
      </c>
      <c r="AQ165">
        <v>17.399999999999999</v>
      </c>
      <c r="AR165">
        <v>1.5</v>
      </c>
      <c r="AS165">
        <v>1.2</v>
      </c>
      <c r="AT165">
        <v>2.7</v>
      </c>
      <c r="AU165">
        <v>0.124</v>
      </c>
      <c r="AV165">
        <v>-1.7</v>
      </c>
      <c r="AW165">
        <v>0.9</v>
      </c>
      <c r="AX165">
        <v>-0.8</v>
      </c>
      <c r="AY165">
        <v>0.3</v>
      </c>
      <c r="AZ165" s="8">
        <v>0.95000000000000007</v>
      </c>
      <c r="BA165" s="8">
        <v>0.36910978490612961</v>
      </c>
      <c r="BB165" s="3">
        <v>0</v>
      </c>
    </row>
    <row r="166" spans="1:54" x14ac:dyDescent="0.25">
      <c r="A166" t="s">
        <v>375</v>
      </c>
      <c r="B166" s="2">
        <v>2300000</v>
      </c>
      <c r="C166" t="s">
        <v>65</v>
      </c>
      <c r="D166">
        <v>26</v>
      </c>
      <c r="E166" t="s">
        <v>150</v>
      </c>
      <c r="F166">
        <v>72</v>
      </c>
      <c r="G166">
        <v>23</v>
      </c>
      <c r="H166">
        <v>20.8</v>
      </c>
      <c r="I166">
        <v>1.9</v>
      </c>
      <c r="J166">
        <v>4.4000000000000004</v>
      </c>
      <c r="K166">
        <v>0.43099999999999999</v>
      </c>
      <c r="L166">
        <v>0.8</v>
      </c>
      <c r="M166">
        <v>2.5</v>
      </c>
      <c r="N166">
        <v>0.33900000000000002</v>
      </c>
      <c r="O166">
        <v>1.1000000000000001</v>
      </c>
      <c r="P166">
        <v>2</v>
      </c>
      <c r="Q166">
        <v>0.54500000000000004</v>
      </c>
      <c r="R166">
        <v>0.52500000000000002</v>
      </c>
      <c r="S166">
        <v>0.4</v>
      </c>
      <c r="T166">
        <v>0.5</v>
      </c>
      <c r="U166">
        <v>0.77800000000000002</v>
      </c>
      <c r="V166">
        <v>0.9</v>
      </c>
      <c r="W166">
        <v>3.4</v>
      </c>
      <c r="X166">
        <v>4.3</v>
      </c>
      <c r="Y166">
        <v>1.4</v>
      </c>
      <c r="Z166">
        <v>1.1000000000000001</v>
      </c>
      <c r="AA166">
        <v>0.3</v>
      </c>
      <c r="AB166">
        <v>0.5</v>
      </c>
      <c r="AC166">
        <v>1.6</v>
      </c>
      <c r="AD166">
        <v>5.0999999999999996</v>
      </c>
      <c r="AE166">
        <v>1494</v>
      </c>
      <c r="AF166">
        <v>10.8</v>
      </c>
      <c r="AG166">
        <v>0.54200000000000004</v>
      </c>
      <c r="AH166">
        <v>0.55300000000000005</v>
      </c>
      <c r="AI166">
        <v>0.113</v>
      </c>
      <c r="AJ166">
        <v>4.5</v>
      </c>
      <c r="AK166">
        <v>17.399999999999999</v>
      </c>
      <c r="AL166">
        <v>11</v>
      </c>
      <c r="AM166">
        <v>8.1999999999999993</v>
      </c>
      <c r="AN166">
        <v>2.4</v>
      </c>
      <c r="AO166">
        <v>1.5</v>
      </c>
      <c r="AP166">
        <v>9.9</v>
      </c>
      <c r="AQ166">
        <v>10.4</v>
      </c>
      <c r="AR166">
        <v>1</v>
      </c>
      <c r="AS166">
        <v>2.5</v>
      </c>
      <c r="AT166">
        <v>3.5</v>
      </c>
      <c r="AU166">
        <v>0.111</v>
      </c>
      <c r="AV166">
        <v>-1.9</v>
      </c>
      <c r="AW166">
        <v>2.4</v>
      </c>
      <c r="AX166">
        <v>0.5</v>
      </c>
      <c r="AY166">
        <v>0.9</v>
      </c>
      <c r="AZ166" s="8">
        <v>2</v>
      </c>
      <c r="BA166" s="8">
        <v>0.86956521739130432</v>
      </c>
      <c r="BB166" s="3">
        <v>0</v>
      </c>
    </row>
    <row r="167" spans="1:54" x14ac:dyDescent="0.25">
      <c r="A167" t="s">
        <v>379</v>
      </c>
      <c r="B167" s="2">
        <v>2277000</v>
      </c>
      <c r="C167" t="s">
        <v>62</v>
      </c>
      <c r="D167">
        <v>22</v>
      </c>
      <c r="E167" t="s">
        <v>123</v>
      </c>
      <c r="F167">
        <v>71</v>
      </c>
      <c r="G167">
        <v>66</v>
      </c>
      <c r="H167">
        <v>29.9</v>
      </c>
      <c r="I167">
        <v>4</v>
      </c>
      <c r="J167">
        <v>8.5</v>
      </c>
      <c r="K167">
        <v>0.46800000000000003</v>
      </c>
      <c r="L167">
        <v>2.2000000000000002</v>
      </c>
      <c r="M167">
        <v>5.7</v>
      </c>
      <c r="N167">
        <v>0.38600000000000001</v>
      </c>
      <c r="O167">
        <v>1.8</v>
      </c>
      <c r="P167">
        <v>2.7</v>
      </c>
      <c r="Q167">
        <v>0.64100000000000001</v>
      </c>
      <c r="R167">
        <v>0.59899999999999998</v>
      </c>
      <c r="S167">
        <v>1.1000000000000001</v>
      </c>
      <c r="T167">
        <v>1.4</v>
      </c>
      <c r="U167">
        <v>0.79600000000000004</v>
      </c>
      <c r="V167">
        <v>0.7</v>
      </c>
      <c r="W167">
        <v>2.5</v>
      </c>
      <c r="X167">
        <v>3.2</v>
      </c>
      <c r="Y167">
        <v>2.1</v>
      </c>
      <c r="Z167">
        <v>0.7</v>
      </c>
      <c r="AA167">
        <v>0.4</v>
      </c>
      <c r="AB167">
        <v>1</v>
      </c>
      <c r="AC167">
        <v>2.5</v>
      </c>
      <c r="AD167">
        <v>11.3</v>
      </c>
      <c r="AE167">
        <v>2121</v>
      </c>
      <c r="AF167">
        <v>11.7</v>
      </c>
      <c r="AG167">
        <v>0.61899999999999999</v>
      </c>
      <c r="AH167">
        <v>0.67600000000000005</v>
      </c>
      <c r="AI167">
        <v>0.16300000000000001</v>
      </c>
      <c r="AJ167">
        <v>2.5</v>
      </c>
      <c r="AK167">
        <v>9.4</v>
      </c>
      <c r="AL167">
        <v>5.9</v>
      </c>
      <c r="AM167">
        <v>9.6999999999999993</v>
      </c>
      <c r="AN167">
        <v>1.1000000000000001</v>
      </c>
      <c r="AO167">
        <v>1.2</v>
      </c>
      <c r="AP167">
        <v>9.6999999999999993</v>
      </c>
      <c r="AQ167">
        <v>14.4</v>
      </c>
      <c r="AR167">
        <v>3.2</v>
      </c>
      <c r="AS167">
        <v>1.6</v>
      </c>
      <c r="AT167">
        <v>4.8</v>
      </c>
      <c r="AU167">
        <v>0.108</v>
      </c>
      <c r="AV167">
        <v>-0.3</v>
      </c>
      <c r="AW167">
        <v>0.1</v>
      </c>
      <c r="AX167">
        <v>-0.1</v>
      </c>
      <c r="AY167">
        <v>1</v>
      </c>
      <c r="AZ167" s="8">
        <v>2.35</v>
      </c>
      <c r="BA167" s="8">
        <v>1.0320597277119017</v>
      </c>
      <c r="BB167" s="3">
        <v>0</v>
      </c>
    </row>
    <row r="168" spans="1:54" x14ac:dyDescent="0.25">
      <c r="A168" t="s">
        <v>383</v>
      </c>
      <c r="B168" s="2">
        <v>2201520</v>
      </c>
      <c r="C168" t="s">
        <v>52</v>
      </c>
      <c r="D168">
        <v>22</v>
      </c>
      <c r="E168" t="s">
        <v>55</v>
      </c>
      <c r="F168">
        <v>56</v>
      </c>
      <c r="G168">
        <v>1</v>
      </c>
      <c r="H168">
        <v>19.399999999999999</v>
      </c>
      <c r="I168">
        <v>4.0999999999999996</v>
      </c>
      <c r="J168">
        <v>10.199999999999999</v>
      </c>
      <c r="K168">
        <v>0.39900000000000002</v>
      </c>
      <c r="L168">
        <v>2.1</v>
      </c>
      <c r="M168">
        <v>5.6</v>
      </c>
      <c r="N168">
        <v>0.371</v>
      </c>
      <c r="O168">
        <v>2</v>
      </c>
      <c r="P168">
        <v>4.5999999999999996</v>
      </c>
      <c r="Q168">
        <v>0.434</v>
      </c>
      <c r="R168">
        <v>0.502</v>
      </c>
      <c r="S168">
        <v>1.5</v>
      </c>
      <c r="T168">
        <v>1.8</v>
      </c>
      <c r="U168">
        <v>0.84299999999999997</v>
      </c>
      <c r="V168">
        <v>0.4</v>
      </c>
      <c r="W168">
        <v>2.1</v>
      </c>
      <c r="X168">
        <v>2.4</v>
      </c>
      <c r="Y168">
        <v>3.1</v>
      </c>
      <c r="Z168">
        <v>0.7</v>
      </c>
      <c r="AA168">
        <v>0.3</v>
      </c>
      <c r="AB168">
        <v>1.5</v>
      </c>
      <c r="AC168">
        <v>1.7</v>
      </c>
      <c r="AD168">
        <v>11.8</v>
      </c>
      <c r="AE168">
        <v>1085</v>
      </c>
      <c r="AF168">
        <v>14.9</v>
      </c>
      <c r="AG168">
        <v>0.53500000000000003</v>
      </c>
      <c r="AH168">
        <v>0.55200000000000005</v>
      </c>
      <c r="AI168">
        <v>0.17899999999999999</v>
      </c>
      <c r="AJ168">
        <v>2.1</v>
      </c>
      <c r="AK168">
        <v>11.8</v>
      </c>
      <c r="AL168">
        <v>7.1</v>
      </c>
      <c r="AM168">
        <v>23.4</v>
      </c>
      <c r="AN168">
        <v>1.8</v>
      </c>
      <c r="AO168">
        <v>1.2</v>
      </c>
      <c r="AP168">
        <v>11.7</v>
      </c>
      <c r="AQ168">
        <v>28</v>
      </c>
      <c r="AR168">
        <v>0.3</v>
      </c>
      <c r="AS168">
        <v>1.1000000000000001</v>
      </c>
      <c r="AT168">
        <v>1.4</v>
      </c>
      <c r="AU168">
        <v>6.2E-2</v>
      </c>
      <c r="AV168">
        <v>0.4</v>
      </c>
      <c r="AW168">
        <v>-1.2</v>
      </c>
      <c r="AX168">
        <v>-0.8</v>
      </c>
      <c r="AY168">
        <v>0.3</v>
      </c>
      <c r="AZ168" s="8">
        <v>0.29999999999999993</v>
      </c>
      <c r="BA168" s="8">
        <v>0.1362694865365747</v>
      </c>
      <c r="BB168" s="3">
        <v>0</v>
      </c>
    </row>
    <row r="169" spans="1:54" x14ac:dyDescent="0.25">
      <c r="A169" t="s">
        <v>384</v>
      </c>
      <c r="B169" s="2">
        <v>2200000</v>
      </c>
      <c r="C169" t="s">
        <v>28</v>
      </c>
      <c r="D169">
        <v>23</v>
      </c>
      <c r="E169" t="s">
        <v>152</v>
      </c>
      <c r="F169">
        <v>70</v>
      </c>
      <c r="G169">
        <v>33</v>
      </c>
      <c r="H169">
        <v>21.5</v>
      </c>
      <c r="I169">
        <v>3.7</v>
      </c>
      <c r="J169">
        <v>6.8</v>
      </c>
      <c r="K169">
        <v>0.54600000000000004</v>
      </c>
      <c r="L169">
        <v>0.4</v>
      </c>
      <c r="M169">
        <v>1.6</v>
      </c>
      <c r="N169">
        <v>0.26500000000000001</v>
      </c>
      <c r="O169">
        <v>3.3</v>
      </c>
      <c r="P169">
        <v>5.2</v>
      </c>
      <c r="Q169">
        <v>0.63300000000000001</v>
      </c>
      <c r="R169">
        <v>0.57699999999999996</v>
      </c>
      <c r="S169">
        <v>1.2</v>
      </c>
      <c r="T169">
        <v>1.5</v>
      </c>
      <c r="U169">
        <v>0.75900000000000001</v>
      </c>
      <c r="V169">
        <v>1</v>
      </c>
      <c r="W169">
        <v>4.8</v>
      </c>
      <c r="X169">
        <v>5.8</v>
      </c>
      <c r="Y169">
        <v>1</v>
      </c>
      <c r="Z169">
        <v>0.4</v>
      </c>
      <c r="AA169">
        <v>1.2</v>
      </c>
      <c r="AB169">
        <v>1.6</v>
      </c>
      <c r="AC169">
        <v>1.3</v>
      </c>
      <c r="AD169">
        <v>9.1</v>
      </c>
      <c r="AE169">
        <v>1505</v>
      </c>
      <c r="AF169">
        <v>14.4</v>
      </c>
      <c r="AG169">
        <v>0.60299999999999998</v>
      </c>
      <c r="AH169">
        <v>0.23599999999999999</v>
      </c>
      <c r="AI169">
        <v>0.22600000000000001</v>
      </c>
      <c r="AJ169">
        <v>5.2</v>
      </c>
      <c r="AK169">
        <v>25.3</v>
      </c>
      <c r="AL169">
        <v>15.2</v>
      </c>
      <c r="AM169">
        <v>6.9</v>
      </c>
      <c r="AN169">
        <v>1</v>
      </c>
      <c r="AO169">
        <v>5.5</v>
      </c>
      <c r="AP169">
        <v>17.600000000000001</v>
      </c>
      <c r="AQ169">
        <v>18.2</v>
      </c>
      <c r="AR169">
        <v>0</v>
      </c>
      <c r="AS169">
        <v>2.2000000000000002</v>
      </c>
      <c r="AT169">
        <v>2.2999999999999998</v>
      </c>
      <c r="AU169">
        <v>7.1999999999999995E-2</v>
      </c>
      <c r="AV169">
        <v>-1.8</v>
      </c>
      <c r="AW169">
        <v>0.9</v>
      </c>
      <c r="AX169">
        <v>-0.9</v>
      </c>
      <c r="AY169">
        <v>0.4</v>
      </c>
      <c r="AZ169" s="8">
        <v>0.7</v>
      </c>
      <c r="BA169" s="8">
        <v>0.31818181818181818</v>
      </c>
      <c r="BB169" s="3">
        <v>0</v>
      </c>
    </row>
    <row r="170" spans="1:54" x14ac:dyDescent="0.25">
      <c r="A170" t="s">
        <v>387</v>
      </c>
      <c r="B170" s="2">
        <v>2161440</v>
      </c>
      <c r="C170" t="s">
        <v>65</v>
      </c>
      <c r="D170">
        <v>22</v>
      </c>
      <c r="E170" t="s">
        <v>76</v>
      </c>
      <c r="F170">
        <v>79</v>
      </c>
      <c r="G170">
        <v>79</v>
      </c>
      <c r="H170">
        <v>30.6</v>
      </c>
      <c r="I170">
        <v>4.7</v>
      </c>
      <c r="J170">
        <v>9.1</v>
      </c>
      <c r="K170">
        <v>0.51700000000000002</v>
      </c>
      <c r="L170">
        <v>1.4</v>
      </c>
      <c r="M170">
        <v>3.4</v>
      </c>
      <c r="N170">
        <v>0.39800000000000002</v>
      </c>
      <c r="O170">
        <v>3.3</v>
      </c>
      <c r="P170">
        <v>5.7</v>
      </c>
      <c r="Q170">
        <v>0.58799999999999997</v>
      </c>
      <c r="R170">
        <v>0.59099999999999997</v>
      </c>
      <c r="S170">
        <v>1.3</v>
      </c>
      <c r="T170">
        <v>1.8</v>
      </c>
      <c r="U170">
        <v>0.73599999999999999</v>
      </c>
      <c r="V170">
        <v>1.2</v>
      </c>
      <c r="W170">
        <v>2.7</v>
      </c>
      <c r="X170">
        <v>3.9</v>
      </c>
      <c r="Y170">
        <v>1.9</v>
      </c>
      <c r="Z170">
        <v>0.9</v>
      </c>
      <c r="AA170">
        <v>1</v>
      </c>
      <c r="AB170">
        <v>1.4</v>
      </c>
      <c r="AC170">
        <v>3.4</v>
      </c>
      <c r="AD170">
        <v>12.1</v>
      </c>
      <c r="AE170">
        <v>2416</v>
      </c>
      <c r="AF170">
        <v>12</v>
      </c>
      <c r="AG170">
        <v>0.61099999999999999</v>
      </c>
      <c r="AH170">
        <v>0.376</v>
      </c>
      <c r="AI170">
        <v>0.20100000000000001</v>
      </c>
      <c r="AJ170">
        <v>4.3</v>
      </c>
      <c r="AK170">
        <v>9.8000000000000007</v>
      </c>
      <c r="AL170">
        <v>7.1</v>
      </c>
      <c r="AM170">
        <v>8.4</v>
      </c>
      <c r="AN170">
        <v>1.5</v>
      </c>
      <c r="AO170">
        <v>2.7</v>
      </c>
      <c r="AP170">
        <v>12.6</v>
      </c>
      <c r="AQ170">
        <v>15.8</v>
      </c>
      <c r="AR170">
        <v>2</v>
      </c>
      <c r="AS170">
        <v>2.4</v>
      </c>
      <c r="AT170">
        <v>4.4000000000000004</v>
      </c>
      <c r="AU170">
        <v>8.6999999999999994E-2</v>
      </c>
      <c r="AV170">
        <v>-1.7</v>
      </c>
      <c r="AW170">
        <v>0.5</v>
      </c>
      <c r="AX170">
        <v>-1.2</v>
      </c>
      <c r="AY170">
        <v>0.5</v>
      </c>
      <c r="AZ170" s="8">
        <v>1.6</v>
      </c>
      <c r="BA170" s="8">
        <v>0.74024724257902141</v>
      </c>
      <c r="BB170" s="3">
        <v>0</v>
      </c>
    </row>
    <row r="171" spans="1:54" x14ac:dyDescent="0.25">
      <c r="A171" t="s">
        <v>392</v>
      </c>
      <c r="B171" s="2">
        <v>2133278</v>
      </c>
      <c r="C171" t="s">
        <v>62</v>
      </c>
      <c r="D171">
        <v>30</v>
      </c>
      <c r="E171" t="s">
        <v>60</v>
      </c>
      <c r="F171">
        <v>74</v>
      </c>
      <c r="G171">
        <v>5</v>
      </c>
      <c r="H171">
        <v>20.399999999999999</v>
      </c>
      <c r="I171">
        <v>2.7</v>
      </c>
      <c r="J171">
        <v>6.1</v>
      </c>
      <c r="K171">
        <v>0.442</v>
      </c>
      <c r="L171">
        <v>1.5</v>
      </c>
      <c r="M171">
        <v>3.3</v>
      </c>
      <c r="N171">
        <v>0.44500000000000001</v>
      </c>
      <c r="O171">
        <v>1.2</v>
      </c>
      <c r="P171">
        <v>2.8</v>
      </c>
      <c r="Q171">
        <v>0.439</v>
      </c>
      <c r="R171">
        <v>0.56399999999999995</v>
      </c>
      <c r="S171">
        <v>1.3</v>
      </c>
      <c r="T171">
        <v>1.4</v>
      </c>
      <c r="U171">
        <v>0.90400000000000003</v>
      </c>
      <c r="V171">
        <v>0.5</v>
      </c>
      <c r="W171">
        <v>2.5</v>
      </c>
      <c r="X171">
        <v>3</v>
      </c>
      <c r="Y171">
        <v>1.3</v>
      </c>
      <c r="Z171">
        <v>0.4</v>
      </c>
      <c r="AA171">
        <v>0.1</v>
      </c>
      <c r="AB171">
        <v>1.1000000000000001</v>
      </c>
      <c r="AC171">
        <v>1.6</v>
      </c>
      <c r="AD171">
        <v>8.1999999999999993</v>
      </c>
      <c r="AE171">
        <v>1506</v>
      </c>
      <c r="AF171">
        <v>10.7</v>
      </c>
      <c r="AG171">
        <v>0.60699999999999998</v>
      </c>
      <c r="AH171">
        <v>0.54600000000000004</v>
      </c>
      <c r="AI171">
        <v>0.23</v>
      </c>
      <c r="AJ171">
        <v>2.8</v>
      </c>
      <c r="AK171">
        <v>14</v>
      </c>
      <c r="AL171">
        <v>8.3000000000000007</v>
      </c>
      <c r="AM171">
        <v>8.9</v>
      </c>
      <c r="AN171">
        <v>1</v>
      </c>
      <c r="AO171">
        <v>0.4</v>
      </c>
      <c r="AP171">
        <v>13.5</v>
      </c>
      <c r="AQ171">
        <v>16.3</v>
      </c>
      <c r="AR171">
        <v>1.1000000000000001</v>
      </c>
      <c r="AS171">
        <v>1.4</v>
      </c>
      <c r="AT171">
        <v>2.6</v>
      </c>
      <c r="AU171">
        <v>8.1000000000000003E-2</v>
      </c>
      <c r="AV171">
        <v>-1.3</v>
      </c>
      <c r="AW171">
        <v>-0.4</v>
      </c>
      <c r="AX171">
        <v>-1.7</v>
      </c>
      <c r="AY171">
        <v>0.1</v>
      </c>
      <c r="AZ171" s="8">
        <v>0.45000000000000007</v>
      </c>
      <c r="BA171" s="8">
        <v>0.21094297133331899</v>
      </c>
      <c r="BB171" s="3">
        <v>0</v>
      </c>
    </row>
    <row r="172" spans="1:54" x14ac:dyDescent="0.25">
      <c r="A172" t="s">
        <v>402</v>
      </c>
      <c r="B172" s="2">
        <v>2000000</v>
      </c>
      <c r="C172" t="s">
        <v>28</v>
      </c>
      <c r="D172">
        <v>28</v>
      </c>
      <c r="E172" t="s">
        <v>109</v>
      </c>
      <c r="F172">
        <v>53</v>
      </c>
      <c r="G172">
        <v>10</v>
      </c>
      <c r="H172">
        <v>22.8</v>
      </c>
      <c r="I172">
        <v>3.4</v>
      </c>
      <c r="J172">
        <v>6.5</v>
      </c>
      <c r="K172">
        <v>0.51700000000000002</v>
      </c>
      <c r="L172">
        <v>0.9</v>
      </c>
      <c r="M172">
        <v>2.5</v>
      </c>
      <c r="N172">
        <v>0.373</v>
      </c>
      <c r="O172">
        <v>2.4</v>
      </c>
      <c r="P172">
        <v>4</v>
      </c>
      <c r="Q172">
        <v>0.60799999999999998</v>
      </c>
      <c r="R172">
        <v>0.59</v>
      </c>
      <c r="S172">
        <v>0.3</v>
      </c>
      <c r="T172">
        <v>0.7</v>
      </c>
      <c r="U172">
        <v>0.436</v>
      </c>
      <c r="V172">
        <v>1.8</v>
      </c>
      <c r="W172">
        <v>3.1</v>
      </c>
      <c r="X172">
        <v>4.9000000000000004</v>
      </c>
      <c r="Y172">
        <v>2</v>
      </c>
      <c r="Z172">
        <v>0.8</v>
      </c>
      <c r="AA172">
        <v>0.3</v>
      </c>
      <c r="AB172">
        <v>0.6</v>
      </c>
      <c r="AC172">
        <v>2.1</v>
      </c>
      <c r="AD172">
        <v>8</v>
      </c>
      <c r="AE172">
        <v>1206</v>
      </c>
      <c r="AF172">
        <v>14.4</v>
      </c>
      <c r="AG172">
        <v>0.58499999999999996</v>
      </c>
      <c r="AH172">
        <v>0.38700000000000001</v>
      </c>
      <c r="AI172">
        <v>0.113</v>
      </c>
      <c r="AJ172">
        <v>8.5</v>
      </c>
      <c r="AK172">
        <v>14.9</v>
      </c>
      <c r="AL172">
        <v>11.6</v>
      </c>
      <c r="AM172">
        <v>11.7</v>
      </c>
      <c r="AN172">
        <v>1.8</v>
      </c>
      <c r="AO172">
        <v>1.1000000000000001</v>
      </c>
      <c r="AP172">
        <v>8.1</v>
      </c>
      <c r="AQ172">
        <v>13.7</v>
      </c>
      <c r="AR172">
        <v>2</v>
      </c>
      <c r="AS172">
        <v>1.3</v>
      </c>
      <c r="AT172">
        <v>3.3</v>
      </c>
      <c r="AU172">
        <v>0.13300000000000001</v>
      </c>
      <c r="AV172">
        <v>0.1</v>
      </c>
      <c r="AW172">
        <v>0.4</v>
      </c>
      <c r="AX172">
        <v>0.5</v>
      </c>
      <c r="AY172">
        <v>0.8</v>
      </c>
      <c r="AZ172" s="8">
        <v>1.9</v>
      </c>
      <c r="BA172" s="8">
        <v>0.95</v>
      </c>
      <c r="BB172" s="3">
        <v>0</v>
      </c>
    </row>
    <row r="173" spans="1:54" x14ac:dyDescent="0.25">
      <c r="A173" t="s">
        <v>404</v>
      </c>
      <c r="B173" s="2">
        <v>1997718</v>
      </c>
      <c r="C173" t="s">
        <v>62</v>
      </c>
      <c r="D173">
        <v>26</v>
      </c>
      <c r="E173" t="s">
        <v>82</v>
      </c>
      <c r="F173">
        <v>76</v>
      </c>
      <c r="G173">
        <v>11</v>
      </c>
      <c r="H173">
        <v>20.6</v>
      </c>
      <c r="I173">
        <v>3.2</v>
      </c>
      <c r="J173">
        <v>6.6</v>
      </c>
      <c r="K173">
        <v>0.47899999999999998</v>
      </c>
      <c r="L173">
        <v>0.7</v>
      </c>
      <c r="M173">
        <v>1.9</v>
      </c>
      <c r="N173">
        <v>0.378</v>
      </c>
      <c r="O173">
        <v>2.4</v>
      </c>
      <c r="P173">
        <v>4.7</v>
      </c>
      <c r="Q173">
        <v>0.52100000000000002</v>
      </c>
      <c r="R173">
        <v>0.53500000000000003</v>
      </c>
      <c r="S173">
        <v>1.3</v>
      </c>
      <c r="T173">
        <v>1.5</v>
      </c>
      <c r="U173">
        <v>0.85299999999999998</v>
      </c>
      <c r="V173">
        <v>0.5</v>
      </c>
      <c r="W173">
        <v>2</v>
      </c>
      <c r="X173">
        <v>2.5</v>
      </c>
      <c r="Y173">
        <v>3.2</v>
      </c>
      <c r="Z173">
        <v>0.3</v>
      </c>
      <c r="AA173">
        <v>0.2</v>
      </c>
      <c r="AB173">
        <v>1.2</v>
      </c>
      <c r="AC173">
        <v>1.6</v>
      </c>
      <c r="AD173">
        <v>8.4</v>
      </c>
      <c r="AE173">
        <v>1567</v>
      </c>
      <c r="AF173">
        <v>12.7</v>
      </c>
      <c r="AG173">
        <v>0.57499999999999996</v>
      </c>
      <c r="AH173">
        <v>0.29399999999999998</v>
      </c>
      <c r="AI173">
        <v>0.23100000000000001</v>
      </c>
      <c r="AJ173">
        <v>3</v>
      </c>
      <c r="AK173">
        <v>11.3</v>
      </c>
      <c r="AL173">
        <v>7.2</v>
      </c>
      <c r="AM173">
        <v>22.3</v>
      </c>
      <c r="AN173">
        <v>0.8</v>
      </c>
      <c r="AO173">
        <v>0.8</v>
      </c>
      <c r="AP173">
        <v>14.5</v>
      </c>
      <c r="AQ173">
        <v>18.5</v>
      </c>
      <c r="AR173">
        <v>1.6</v>
      </c>
      <c r="AS173">
        <v>1.2</v>
      </c>
      <c r="AT173">
        <v>2.9</v>
      </c>
      <c r="AU173">
        <v>8.6999999999999994E-2</v>
      </c>
      <c r="AV173">
        <v>-1</v>
      </c>
      <c r="AW173">
        <v>-0.9</v>
      </c>
      <c r="AX173">
        <v>-2</v>
      </c>
      <c r="AY173">
        <v>0</v>
      </c>
      <c r="AZ173" s="8">
        <v>0.44999999999999996</v>
      </c>
      <c r="BA173" s="8">
        <v>0.22525701825783215</v>
      </c>
      <c r="BB173" s="3">
        <v>0</v>
      </c>
    </row>
    <row r="174" spans="1:54" x14ac:dyDescent="0.25">
      <c r="A174" t="s">
        <v>409</v>
      </c>
      <c r="B174" s="2">
        <v>1968175</v>
      </c>
      <c r="C174" t="s">
        <v>75</v>
      </c>
      <c r="D174">
        <v>25</v>
      </c>
      <c r="E174" t="s">
        <v>58</v>
      </c>
      <c r="F174">
        <v>59</v>
      </c>
      <c r="G174">
        <v>26</v>
      </c>
      <c r="H174">
        <v>18.3</v>
      </c>
      <c r="I174">
        <v>3.9</v>
      </c>
      <c r="J174">
        <v>6.3</v>
      </c>
      <c r="K174">
        <v>0.623</v>
      </c>
      <c r="L174">
        <v>0.4</v>
      </c>
      <c r="M174">
        <v>1</v>
      </c>
      <c r="N174">
        <v>0.441</v>
      </c>
      <c r="O174">
        <v>3.5</v>
      </c>
      <c r="P174">
        <v>5.3</v>
      </c>
      <c r="Q174">
        <v>0.65800000000000003</v>
      </c>
      <c r="R174">
        <v>0.65900000000000003</v>
      </c>
      <c r="S174">
        <v>1.6</v>
      </c>
      <c r="T174">
        <v>2.1</v>
      </c>
      <c r="U174">
        <v>0.73799999999999999</v>
      </c>
      <c r="V174">
        <v>1.5</v>
      </c>
      <c r="W174">
        <v>4.3</v>
      </c>
      <c r="X174">
        <v>5.7</v>
      </c>
      <c r="Y174">
        <v>0.5</v>
      </c>
      <c r="Z174">
        <v>0.3</v>
      </c>
      <c r="AA174">
        <v>0.5</v>
      </c>
      <c r="AB174">
        <v>0.6</v>
      </c>
      <c r="AC174">
        <v>1.7</v>
      </c>
      <c r="AD174">
        <v>9.8000000000000007</v>
      </c>
      <c r="AE174">
        <v>1081</v>
      </c>
      <c r="AF174">
        <v>19.7</v>
      </c>
      <c r="AG174">
        <v>0.68200000000000005</v>
      </c>
      <c r="AH174">
        <v>0.16</v>
      </c>
      <c r="AI174">
        <v>0.34100000000000003</v>
      </c>
      <c r="AJ174">
        <v>8.9</v>
      </c>
      <c r="AK174">
        <v>24.6</v>
      </c>
      <c r="AL174">
        <v>17</v>
      </c>
      <c r="AM174">
        <v>4.3</v>
      </c>
      <c r="AN174">
        <v>0.7</v>
      </c>
      <c r="AO174">
        <v>2.4</v>
      </c>
      <c r="AP174">
        <v>8.1999999999999993</v>
      </c>
      <c r="AQ174">
        <v>18.2</v>
      </c>
      <c r="AR174">
        <v>2.7</v>
      </c>
      <c r="AS174">
        <v>1.4</v>
      </c>
      <c r="AT174">
        <v>4.0999999999999996</v>
      </c>
      <c r="AU174">
        <v>0.183</v>
      </c>
      <c r="AV174">
        <v>1.1000000000000001</v>
      </c>
      <c r="AW174">
        <v>-0.5</v>
      </c>
      <c r="AX174">
        <v>0.6</v>
      </c>
      <c r="AY174">
        <v>0.7</v>
      </c>
      <c r="AZ174" s="8">
        <v>2.3499999999999996</v>
      </c>
      <c r="BA174" s="8">
        <v>1.1939995173193438</v>
      </c>
      <c r="BB174" s="3">
        <v>0</v>
      </c>
    </row>
    <row r="175" spans="1:54" x14ac:dyDescent="0.25">
      <c r="A175" t="s">
        <v>410</v>
      </c>
      <c r="B175" s="2">
        <v>1968175</v>
      </c>
      <c r="C175" t="s">
        <v>62</v>
      </c>
      <c r="D175">
        <v>24</v>
      </c>
      <c r="E175" t="s">
        <v>60</v>
      </c>
      <c r="F175">
        <v>72</v>
      </c>
      <c r="G175">
        <v>26</v>
      </c>
      <c r="H175">
        <v>18.8</v>
      </c>
      <c r="I175">
        <v>2.2999999999999998</v>
      </c>
      <c r="J175">
        <v>5.8</v>
      </c>
      <c r="K175">
        <v>0.39100000000000001</v>
      </c>
      <c r="L175">
        <v>0.9</v>
      </c>
      <c r="M175">
        <v>2.7</v>
      </c>
      <c r="N175">
        <v>0.33500000000000002</v>
      </c>
      <c r="O175">
        <v>1.3</v>
      </c>
      <c r="P175">
        <v>3</v>
      </c>
      <c r="Q175">
        <v>0.442</v>
      </c>
      <c r="R175">
        <v>0.47099999999999997</v>
      </c>
      <c r="S175">
        <v>1.9</v>
      </c>
      <c r="T175">
        <v>2.7</v>
      </c>
      <c r="U175">
        <v>0.72399999999999998</v>
      </c>
      <c r="V175">
        <v>1.5</v>
      </c>
      <c r="W175">
        <v>2</v>
      </c>
      <c r="X175">
        <v>3.5</v>
      </c>
      <c r="Y175">
        <v>1.5</v>
      </c>
      <c r="Z175">
        <v>0.8</v>
      </c>
      <c r="AA175">
        <v>0.5</v>
      </c>
      <c r="AB175">
        <v>0.9</v>
      </c>
      <c r="AC175">
        <v>1.6</v>
      </c>
      <c r="AD175">
        <v>7.3</v>
      </c>
      <c r="AE175">
        <v>1350</v>
      </c>
      <c r="AF175">
        <v>13.3</v>
      </c>
      <c r="AG175">
        <v>0.53100000000000003</v>
      </c>
      <c r="AH175">
        <v>0.47599999999999998</v>
      </c>
      <c r="AI175">
        <v>0.46400000000000002</v>
      </c>
      <c r="AJ175">
        <v>8.8000000000000007</v>
      </c>
      <c r="AK175">
        <v>11.9</v>
      </c>
      <c r="AL175">
        <v>10.3</v>
      </c>
      <c r="AM175">
        <v>10.3</v>
      </c>
      <c r="AN175">
        <v>2</v>
      </c>
      <c r="AO175">
        <v>2.2999999999999998</v>
      </c>
      <c r="AP175">
        <v>11.2</v>
      </c>
      <c r="AQ175">
        <v>17.7</v>
      </c>
      <c r="AR175">
        <v>1.1000000000000001</v>
      </c>
      <c r="AS175">
        <v>1.7</v>
      </c>
      <c r="AT175">
        <v>2.8</v>
      </c>
      <c r="AU175">
        <v>0.10100000000000001</v>
      </c>
      <c r="AV175">
        <v>-0.8</v>
      </c>
      <c r="AW175">
        <v>0.5</v>
      </c>
      <c r="AX175">
        <v>-0.2</v>
      </c>
      <c r="AY175">
        <v>0.6</v>
      </c>
      <c r="AZ175" s="8">
        <v>1.2999999999999998</v>
      </c>
      <c r="BA175" s="8">
        <v>0.66051037128304124</v>
      </c>
      <c r="BB175" s="3">
        <v>0</v>
      </c>
    </row>
    <row r="176" spans="1:54" x14ac:dyDescent="0.25">
      <c r="A176" t="s">
        <v>411</v>
      </c>
      <c r="B176" s="2">
        <v>1968175</v>
      </c>
      <c r="C176" t="s">
        <v>75</v>
      </c>
      <c r="D176">
        <v>25</v>
      </c>
      <c r="E176" t="s">
        <v>70</v>
      </c>
      <c r="F176">
        <v>78</v>
      </c>
      <c r="G176">
        <v>28</v>
      </c>
      <c r="H176">
        <v>20.3</v>
      </c>
      <c r="I176">
        <v>2.7</v>
      </c>
      <c r="J176">
        <v>4.3</v>
      </c>
      <c r="K176">
        <v>0.64100000000000001</v>
      </c>
      <c r="L176">
        <v>0.1</v>
      </c>
      <c r="M176">
        <v>0.2</v>
      </c>
      <c r="N176">
        <v>0.38900000000000001</v>
      </c>
      <c r="O176">
        <v>2.7</v>
      </c>
      <c r="P176">
        <v>4.0999999999999996</v>
      </c>
      <c r="Q176">
        <v>0.65500000000000003</v>
      </c>
      <c r="R176">
        <v>0.65100000000000002</v>
      </c>
      <c r="S176">
        <v>1.1000000000000001</v>
      </c>
      <c r="T176">
        <v>1.6</v>
      </c>
      <c r="U176">
        <v>0.66400000000000003</v>
      </c>
      <c r="V176">
        <v>1.7</v>
      </c>
      <c r="W176">
        <v>3.7</v>
      </c>
      <c r="X176">
        <v>5.4</v>
      </c>
      <c r="Y176">
        <v>1.3</v>
      </c>
      <c r="Z176">
        <v>0.5</v>
      </c>
      <c r="AA176">
        <v>1.3</v>
      </c>
      <c r="AB176">
        <v>0.9</v>
      </c>
      <c r="AC176">
        <v>2.2000000000000002</v>
      </c>
      <c r="AD176">
        <v>6.6</v>
      </c>
      <c r="AE176">
        <v>1584</v>
      </c>
      <c r="AF176">
        <v>16.2</v>
      </c>
      <c r="AG176">
        <v>0.66600000000000004</v>
      </c>
      <c r="AH176">
        <v>5.3999999999999999E-2</v>
      </c>
      <c r="AI176">
        <v>0.374</v>
      </c>
      <c r="AJ176">
        <v>9.5</v>
      </c>
      <c r="AK176">
        <v>20.9</v>
      </c>
      <c r="AL176">
        <v>15.2</v>
      </c>
      <c r="AM176">
        <v>9.1999999999999993</v>
      </c>
      <c r="AN176">
        <v>1.2</v>
      </c>
      <c r="AO176">
        <v>5.7</v>
      </c>
      <c r="AP176">
        <v>14.7</v>
      </c>
      <c r="AQ176">
        <v>12.5</v>
      </c>
      <c r="AR176">
        <v>2.9</v>
      </c>
      <c r="AS176">
        <v>1.6</v>
      </c>
      <c r="AT176">
        <v>4.4000000000000004</v>
      </c>
      <c r="AU176">
        <v>0.13400000000000001</v>
      </c>
      <c r="AV176">
        <v>-0.9</v>
      </c>
      <c r="AW176">
        <v>0.9</v>
      </c>
      <c r="AX176">
        <v>0.1</v>
      </c>
      <c r="AY176">
        <v>0.8</v>
      </c>
      <c r="AZ176" s="8">
        <v>2.25</v>
      </c>
      <c r="BA176" s="8">
        <v>1.1431910272206485</v>
      </c>
      <c r="BB176" s="3">
        <v>0</v>
      </c>
    </row>
    <row r="177" spans="1:54" x14ac:dyDescent="0.25">
      <c r="A177" t="s">
        <v>413</v>
      </c>
      <c r="B177" s="2">
        <v>1930681</v>
      </c>
      <c r="C177" t="s">
        <v>62</v>
      </c>
      <c r="D177">
        <v>26</v>
      </c>
      <c r="E177" t="s">
        <v>55</v>
      </c>
      <c r="F177">
        <v>81</v>
      </c>
      <c r="G177">
        <v>36</v>
      </c>
      <c r="H177">
        <v>23.1</v>
      </c>
      <c r="I177">
        <v>3.4</v>
      </c>
      <c r="J177">
        <v>6.5</v>
      </c>
      <c r="K177">
        <v>0.51900000000000002</v>
      </c>
      <c r="L177">
        <v>1</v>
      </c>
      <c r="M177">
        <v>2.4</v>
      </c>
      <c r="N177">
        <v>0.38900000000000001</v>
      </c>
      <c r="O177">
        <v>2.4</v>
      </c>
      <c r="P177">
        <v>4</v>
      </c>
      <c r="Q177">
        <v>0.59799999999999998</v>
      </c>
      <c r="R177">
        <v>0.59299999999999997</v>
      </c>
      <c r="S177">
        <v>1.1000000000000001</v>
      </c>
      <c r="T177">
        <v>1.5</v>
      </c>
      <c r="U177">
        <v>0.78</v>
      </c>
      <c r="V177">
        <v>1</v>
      </c>
      <c r="W177">
        <v>2.5</v>
      </c>
      <c r="X177">
        <v>3.4</v>
      </c>
      <c r="Y177">
        <v>2.2999999999999998</v>
      </c>
      <c r="Z177">
        <v>0.5</v>
      </c>
      <c r="AA177">
        <v>0.3</v>
      </c>
      <c r="AB177">
        <v>1</v>
      </c>
      <c r="AC177">
        <v>1.8</v>
      </c>
      <c r="AD177">
        <v>8.8000000000000007</v>
      </c>
      <c r="AE177">
        <v>1872</v>
      </c>
      <c r="AF177">
        <v>13.4</v>
      </c>
      <c r="AG177">
        <v>0.61899999999999999</v>
      </c>
      <c r="AH177">
        <v>0.378</v>
      </c>
      <c r="AI177">
        <v>0.22500000000000001</v>
      </c>
      <c r="AJ177">
        <v>4.7</v>
      </c>
      <c r="AK177">
        <v>11.8</v>
      </c>
      <c r="AL177">
        <v>8.3000000000000007</v>
      </c>
      <c r="AM177">
        <v>14</v>
      </c>
      <c r="AN177">
        <v>1.1000000000000001</v>
      </c>
      <c r="AO177">
        <v>1</v>
      </c>
      <c r="AP177">
        <v>12.2</v>
      </c>
      <c r="AQ177">
        <v>15.3</v>
      </c>
      <c r="AR177">
        <v>2.8</v>
      </c>
      <c r="AS177">
        <v>1.5</v>
      </c>
      <c r="AT177">
        <v>4.3</v>
      </c>
      <c r="AU177">
        <v>0.111</v>
      </c>
      <c r="AV177">
        <v>-0.3</v>
      </c>
      <c r="AW177">
        <v>0.1</v>
      </c>
      <c r="AX177">
        <v>-0.2</v>
      </c>
      <c r="AY177">
        <v>0.8</v>
      </c>
      <c r="AZ177" s="8">
        <v>2.0499999999999998</v>
      </c>
      <c r="BA177" s="8">
        <v>1.0618015094155895</v>
      </c>
      <c r="BB177" s="3">
        <v>0</v>
      </c>
    </row>
    <row r="178" spans="1:54" x14ac:dyDescent="0.25">
      <c r="A178" t="s">
        <v>415</v>
      </c>
      <c r="B178" s="2">
        <v>1930681</v>
      </c>
      <c r="C178" t="s">
        <v>75</v>
      </c>
      <c r="D178">
        <v>23</v>
      </c>
      <c r="E178" t="s">
        <v>76</v>
      </c>
      <c r="F178">
        <v>68</v>
      </c>
      <c r="G178">
        <v>11</v>
      </c>
      <c r="H178">
        <v>18.399999999999999</v>
      </c>
      <c r="I178">
        <v>4.5999999999999996</v>
      </c>
      <c r="J178">
        <v>8.5</v>
      </c>
      <c r="K178">
        <v>0.53700000000000003</v>
      </c>
      <c r="L178">
        <v>1.1000000000000001</v>
      </c>
      <c r="M178">
        <v>3.2</v>
      </c>
      <c r="N178">
        <v>0.34599999999999997</v>
      </c>
      <c r="O178">
        <v>3.5</v>
      </c>
      <c r="P178">
        <v>5.3</v>
      </c>
      <c r="Q178">
        <v>0.65300000000000002</v>
      </c>
      <c r="R178">
        <v>0.60199999999999998</v>
      </c>
      <c r="S178">
        <v>1.3</v>
      </c>
      <c r="T178">
        <v>1.9</v>
      </c>
      <c r="U178">
        <v>0.67700000000000005</v>
      </c>
      <c r="V178">
        <v>1.1000000000000001</v>
      </c>
      <c r="W178">
        <v>3.8</v>
      </c>
      <c r="X178">
        <v>4.9000000000000004</v>
      </c>
      <c r="Y178">
        <v>1.1000000000000001</v>
      </c>
      <c r="Z178">
        <v>0.6</v>
      </c>
      <c r="AA178">
        <v>0.8</v>
      </c>
      <c r="AB178">
        <v>1.4</v>
      </c>
      <c r="AC178">
        <v>2.6</v>
      </c>
      <c r="AD178">
        <v>11.5</v>
      </c>
      <c r="AE178">
        <v>1251</v>
      </c>
      <c r="AF178">
        <v>18.5</v>
      </c>
      <c r="AG178">
        <v>0.61699999999999999</v>
      </c>
      <c r="AH178">
        <v>0.376</v>
      </c>
      <c r="AI178">
        <v>0.22</v>
      </c>
      <c r="AJ178">
        <v>6.6</v>
      </c>
      <c r="AK178">
        <v>22.8</v>
      </c>
      <c r="AL178">
        <v>14.9</v>
      </c>
      <c r="AM178">
        <v>9.6</v>
      </c>
      <c r="AN178">
        <v>1.6</v>
      </c>
      <c r="AO178">
        <v>3.7</v>
      </c>
      <c r="AP178">
        <v>12.7</v>
      </c>
      <c r="AQ178">
        <v>24.8</v>
      </c>
      <c r="AR178">
        <v>1.1000000000000001</v>
      </c>
      <c r="AS178">
        <v>1.9</v>
      </c>
      <c r="AT178">
        <v>3</v>
      </c>
      <c r="AU178">
        <v>0.114</v>
      </c>
      <c r="AV178">
        <v>0.3</v>
      </c>
      <c r="AW178">
        <v>0.8</v>
      </c>
      <c r="AX178">
        <v>1</v>
      </c>
      <c r="AY178">
        <v>1</v>
      </c>
      <c r="AZ178" s="8">
        <v>2</v>
      </c>
      <c r="BA178" s="8">
        <v>1.0359039116249655</v>
      </c>
      <c r="BB178" s="3">
        <v>0</v>
      </c>
    </row>
    <row r="179" spans="1:54" x14ac:dyDescent="0.25">
      <c r="A179" t="s">
        <v>416</v>
      </c>
      <c r="B179" s="2">
        <v>1930681</v>
      </c>
      <c r="C179" t="s">
        <v>65</v>
      </c>
      <c r="D179">
        <v>25</v>
      </c>
      <c r="E179" t="s">
        <v>118</v>
      </c>
      <c r="F179">
        <v>80</v>
      </c>
      <c r="G179">
        <v>24</v>
      </c>
      <c r="H179">
        <v>23.9</v>
      </c>
      <c r="I179">
        <v>3.5</v>
      </c>
      <c r="J179">
        <v>7.7</v>
      </c>
      <c r="K179">
        <v>0.45500000000000002</v>
      </c>
      <c r="L179">
        <v>1</v>
      </c>
      <c r="M179">
        <v>2.9</v>
      </c>
      <c r="N179">
        <v>0.33200000000000002</v>
      </c>
      <c r="O179">
        <v>2.6</v>
      </c>
      <c r="P179">
        <v>4.8</v>
      </c>
      <c r="Q179">
        <v>0.53</v>
      </c>
      <c r="R179">
        <v>0.51800000000000002</v>
      </c>
      <c r="S179">
        <v>1.5</v>
      </c>
      <c r="T179">
        <v>1.7</v>
      </c>
      <c r="U179">
        <v>0.84099999999999997</v>
      </c>
      <c r="V179">
        <v>0.8</v>
      </c>
      <c r="W179">
        <v>3.5</v>
      </c>
      <c r="X179">
        <v>4.3</v>
      </c>
      <c r="Y179">
        <v>1.6</v>
      </c>
      <c r="Z179">
        <v>1</v>
      </c>
      <c r="AA179">
        <v>0.4</v>
      </c>
      <c r="AB179">
        <v>1.2</v>
      </c>
      <c r="AC179">
        <v>2.6</v>
      </c>
      <c r="AD179">
        <v>9.4</v>
      </c>
      <c r="AE179">
        <v>1913</v>
      </c>
      <c r="AF179">
        <v>11.8</v>
      </c>
      <c r="AG179">
        <v>0.55700000000000005</v>
      </c>
      <c r="AH179">
        <v>0.376</v>
      </c>
      <c r="AI179">
        <v>0.224</v>
      </c>
      <c r="AJ179">
        <v>3.6</v>
      </c>
      <c r="AK179">
        <v>16.3</v>
      </c>
      <c r="AL179">
        <v>9.9</v>
      </c>
      <c r="AM179">
        <v>9.6</v>
      </c>
      <c r="AN179">
        <v>2.1</v>
      </c>
      <c r="AO179">
        <v>1.6</v>
      </c>
      <c r="AP179">
        <v>12.1</v>
      </c>
      <c r="AQ179">
        <v>17.2</v>
      </c>
      <c r="AR179">
        <v>0.5</v>
      </c>
      <c r="AS179">
        <v>2.2000000000000002</v>
      </c>
      <c r="AT179">
        <v>2.7</v>
      </c>
      <c r="AU179">
        <v>6.8000000000000005E-2</v>
      </c>
      <c r="AV179">
        <v>-2.7</v>
      </c>
      <c r="AW179">
        <v>0.6</v>
      </c>
      <c r="AX179">
        <v>-2.1</v>
      </c>
      <c r="AY179">
        <v>-0.1</v>
      </c>
      <c r="AZ179" s="8">
        <v>0.30000000000000004</v>
      </c>
      <c r="BA179" s="8">
        <v>0.15538558674374486</v>
      </c>
      <c r="BB179" s="3">
        <v>0</v>
      </c>
    </row>
    <row r="180" spans="1:54" x14ac:dyDescent="0.25">
      <c r="A180" t="s">
        <v>421</v>
      </c>
      <c r="B180" s="2">
        <v>1878720</v>
      </c>
      <c r="C180" t="s">
        <v>75</v>
      </c>
      <c r="D180">
        <v>25</v>
      </c>
      <c r="E180" t="s">
        <v>58</v>
      </c>
      <c r="F180">
        <v>68</v>
      </c>
      <c r="G180">
        <v>2</v>
      </c>
      <c r="H180">
        <v>15.1</v>
      </c>
      <c r="I180">
        <v>2.2999999999999998</v>
      </c>
      <c r="J180">
        <v>3.8</v>
      </c>
      <c r="K180">
        <v>0.59599999999999997</v>
      </c>
      <c r="L180">
        <v>0.1</v>
      </c>
      <c r="M180">
        <v>0.5</v>
      </c>
      <c r="N180">
        <v>0.27800000000000002</v>
      </c>
      <c r="O180">
        <v>2.1</v>
      </c>
      <c r="P180">
        <v>3.3</v>
      </c>
      <c r="Q180">
        <v>0.64700000000000002</v>
      </c>
      <c r="R180">
        <v>0.61499999999999999</v>
      </c>
      <c r="S180">
        <v>0.8</v>
      </c>
      <c r="T180">
        <v>1.2</v>
      </c>
      <c r="U180">
        <v>0.61899999999999999</v>
      </c>
      <c r="V180">
        <v>1.7</v>
      </c>
      <c r="W180">
        <v>2.5</v>
      </c>
      <c r="X180">
        <v>4.2</v>
      </c>
      <c r="Y180">
        <v>0.5</v>
      </c>
      <c r="Z180">
        <v>0.4</v>
      </c>
      <c r="AA180">
        <v>0.5</v>
      </c>
      <c r="AB180">
        <v>0.7</v>
      </c>
      <c r="AC180">
        <v>2.1</v>
      </c>
      <c r="AD180">
        <v>5.5</v>
      </c>
      <c r="AE180">
        <v>1024</v>
      </c>
      <c r="AF180">
        <v>14.4</v>
      </c>
      <c r="AG180">
        <v>0.626</v>
      </c>
      <c r="AH180">
        <v>0.13800000000000001</v>
      </c>
      <c r="AI180">
        <v>0.32300000000000001</v>
      </c>
      <c r="AJ180">
        <v>12.6</v>
      </c>
      <c r="AK180">
        <v>17.2</v>
      </c>
      <c r="AL180">
        <v>15</v>
      </c>
      <c r="AM180">
        <v>4.8</v>
      </c>
      <c r="AN180">
        <v>1.2</v>
      </c>
      <c r="AO180">
        <v>2.9</v>
      </c>
      <c r="AP180">
        <v>13.4</v>
      </c>
      <c r="AQ180">
        <v>14.1</v>
      </c>
      <c r="AR180">
        <v>1.5</v>
      </c>
      <c r="AS180">
        <v>1.3</v>
      </c>
      <c r="AT180">
        <v>2.8</v>
      </c>
      <c r="AU180">
        <v>0.13200000000000001</v>
      </c>
      <c r="AV180">
        <v>-2.2999999999999998</v>
      </c>
      <c r="AW180">
        <v>0.1</v>
      </c>
      <c r="AX180">
        <v>-2.2000000000000002</v>
      </c>
      <c r="AY180">
        <v>-0.1</v>
      </c>
      <c r="AZ180" s="8">
        <v>0.29999999999999982</v>
      </c>
      <c r="BA180" s="8">
        <v>0.15968318855390895</v>
      </c>
      <c r="BB180" s="3">
        <v>0</v>
      </c>
    </row>
    <row r="181" spans="1:54" x14ac:dyDescent="0.25">
      <c r="A181" t="s">
        <v>423</v>
      </c>
      <c r="B181" s="2">
        <v>1878720</v>
      </c>
      <c r="C181" t="s">
        <v>75</v>
      </c>
      <c r="D181">
        <v>25</v>
      </c>
      <c r="E181" t="s">
        <v>152</v>
      </c>
      <c r="F181">
        <v>57</v>
      </c>
      <c r="G181">
        <v>18</v>
      </c>
      <c r="H181">
        <v>19.5</v>
      </c>
      <c r="I181">
        <v>3.5</v>
      </c>
      <c r="J181">
        <v>6.9</v>
      </c>
      <c r="K181">
        <v>0.5</v>
      </c>
      <c r="L181">
        <v>0.9</v>
      </c>
      <c r="M181">
        <v>2.9</v>
      </c>
      <c r="N181">
        <v>0.313</v>
      </c>
      <c r="O181">
        <v>2.6</v>
      </c>
      <c r="P181">
        <v>4.0999999999999996</v>
      </c>
      <c r="Q181">
        <v>0.63100000000000001</v>
      </c>
      <c r="R181">
        <v>0.56399999999999995</v>
      </c>
      <c r="S181">
        <v>2.7</v>
      </c>
      <c r="T181">
        <v>3.2</v>
      </c>
      <c r="U181">
        <v>0.84099999999999997</v>
      </c>
      <c r="V181">
        <v>1.2</v>
      </c>
      <c r="W181">
        <v>3.3</v>
      </c>
      <c r="X181">
        <v>4.5</v>
      </c>
      <c r="Y181">
        <v>1.5</v>
      </c>
      <c r="Z181">
        <v>0.6</v>
      </c>
      <c r="AA181">
        <v>0.2</v>
      </c>
      <c r="AB181">
        <v>1.2</v>
      </c>
      <c r="AC181">
        <v>2.4</v>
      </c>
      <c r="AD181">
        <v>10.5</v>
      </c>
      <c r="AE181">
        <v>1109</v>
      </c>
      <c r="AF181">
        <v>17.399999999999999</v>
      </c>
      <c r="AG181">
        <v>0.63</v>
      </c>
      <c r="AH181">
        <v>0.41199999999999998</v>
      </c>
      <c r="AI181">
        <v>0.46</v>
      </c>
      <c r="AJ181">
        <v>7</v>
      </c>
      <c r="AK181">
        <v>19.399999999999999</v>
      </c>
      <c r="AL181">
        <v>13.2</v>
      </c>
      <c r="AM181">
        <v>11.5</v>
      </c>
      <c r="AN181">
        <v>1.6</v>
      </c>
      <c r="AO181">
        <v>1.1000000000000001</v>
      </c>
      <c r="AP181">
        <v>12.5</v>
      </c>
      <c r="AQ181">
        <v>21.1</v>
      </c>
      <c r="AR181">
        <v>2.1</v>
      </c>
      <c r="AS181">
        <v>1.3</v>
      </c>
      <c r="AT181">
        <v>3.4</v>
      </c>
      <c r="AU181">
        <v>0.14899999999999999</v>
      </c>
      <c r="AV181">
        <v>0.4</v>
      </c>
      <c r="AW181">
        <v>0.2</v>
      </c>
      <c r="AX181">
        <v>0.6</v>
      </c>
      <c r="AY181">
        <v>0.7</v>
      </c>
      <c r="AZ181" s="8">
        <v>2</v>
      </c>
      <c r="BA181" s="8">
        <v>1.0645545903593936</v>
      </c>
      <c r="BB181" s="3">
        <v>0</v>
      </c>
    </row>
    <row r="182" spans="1:54" x14ac:dyDescent="0.25">
      <c r="A182" t="s">
        <v>424</v>
      </c>
      <c r="B182" s="2">
        <v>1878720</v>
      </c>
      <c r="C182" t="s">
        <v>28</v>
      </c>
      <c r="D182">
        <v>27</v>
      </c>
      <c r="E182" t="s">
        <v>175</v>
      </c>
      <c r="F182">
        <v>67</v>
      </c>
      <c r="G182">
        <v>42</v>
      </c>
      <c r="H182">
        <v>21.7</v>
      </c>
      <c r="I182">
        <v>3.5</v>
      </c>
      <c r="J182">
        <v>6.9</v>
      </c>
      <c r="K182">
        <v>0.50800000000000001</v>
      </c>
      <c r="L182">
        <v>0.8</v>
      </c>
      <c r="M182">
        <v>2.1</v>
      </c>
      <c r="N182">
        <v>0.39400000000000002</v>
      </c>
      <c r="O182">
        <v>2.7</v>
      </c>
      <c r="P182">
        <v>4.8</v>
      </c>
      <c r="Q182">
        <v>0.55700000000000005</v>
      </c>
      <c r="R182">
        <v>0.56799999999999995</v>
      </c>
      <c r="S182">
        <v>1.8</v>
      </c>
      <c r="T182">
        <v>2.2000000000000002</v>
      </c>
      <c r="U182">
        <v>0.79300000000000004</v>
      </c>
      <c r="V182">
        <v>1</v>
      </c>
      <c r="W182">
        <v>2.7</v>
      </c>
      <c r="X182">
        <v>3.7</v>
      </c>
      <c r="Y182">
        <v>1.5</v>
      </c>
      <c r="Z182">
        <v>0.7</v>
      </c>
      <c r="AA182">
        <v>0.3</v>
      </c>
      <c r="AB182">
        <v>0.8</v>
      </c>
      <c r="AC182">
        <v>0.9</v>
      </c>
      <c r="AD182">
        <v>9.6999999999999993</v>
      </c>
      <c r="AE182">
        <v>1452</v>
      </c>
      <c r="AF182">
        <v>14.9</v>
      </c>
      <c r="AG182">
        <v>0.60899999999999999</v>
      </c>
      <c r="AH182">
        <v>0.30499999999999999</v>
      </c>
      <c r="AI182">
        <v>0.32300000000000001</v>
      </c>
      <c r="AJ182">
        <v>4.7</v>
      </c>
      <c r="AK182">
        <v>14.3</v>
      </c>
      <c r="AL182">
        <v>9.3000000000000007</v>
      </c>
      <c r="AM182">
        <v>9.8000000000000007</v>
      </c>
      <c r="AN182">
        <v>1.5</v>
      </c>
      <c r="AO182">
        <v>1.1000000000000001</v>
      </c>
      <c r="AP182">
        <v>9.5</v>
      </c>
      <c r="AQ182">
        <v>16.7</v>
      </c>
      <c r="AR182">
        <v>2.1</v>
      </c>
      <c r="AS182">
        <v>0.6</v>
      </c>
      <c r="AT182">
        <v>2.7</v>
      </c>
      <c r="AU182">
        <v>8.8999999999999996E-2</v>
      </c>
      <c r="AV182">
        <v>0.3</v>
      </c>
      <c r="AW182">
        <v>-0.9</v>
      </c>
      <c r="AX182">
        <v>-0.6</v>
      </c>
      <c r="AY182">
        <v>0.5</v>
      </c>
      <c r="AZ182" s="8">
        <v>1.05</v>
      </c>
      <c r="BA182" s="8">
        <v>0.55889115993868166</v>
      </c>
      <c r="BB182" s="3">
        <v>0</v>
      </c>
    </row>
    <row r="183" spans="1:54" x14ac:dyDescent="0.25">
      <c r="A183" t="s">
        <v>428</v>
      </c>
      <c r="B183" s="2">
        <v>1836090</v>
      </c>
      <c r="C183" t="s">
        <v>62</v>
      </c>
      <c r="D183">
        <v>23</v>
      </c>
      <c r="E183" t="s">
        <v>109</v>
      </c>
      <c r="F183">
        <v>73</v>
      </c>
      <c r="G183">
        <v>10</v>
      </c>
      <c r="H183">
        <v>19.100000000000001</v>
      </c>
      <c r="I183">
        <v>3.1</v>
      </c>
      <c r="J183">
        <v>7</v>
      </c>
      <c r="K183">
        <v>0.441</v>
      </c>
      <c r="L183">
        <v>2.2000000000000002</v>
      </c>
      <c r="M183">
        <v>5.4</v>
      </c>
      <c r="N183">
        <v>0.40899999999999997</v>
      </c>
      <c r="O183">
        <v>0.9</v>
      </c>
      <c r="P183">
        <v>1.6</v>
      </c>
      <c r="Q183">
        <v>0.55300000000000005</v>
      </c>
      <c r="R183">
        <v>0.59899999999999998</v>
      </c>
      <c r="S183">
        <v>1.1000000000000001</v>
      </c>
      <c r="T183">
        <v>1.4</v>
      </c>
      <c r="U183">
        <v>0.82</v>
      </c>
      <c r="V183">
        <v>0.4</v>
      </c>
      <c r="W183">
        <v>2</v>
      </c>
      <c r="X183">
        <v>2.4</v>
      </c>
      <c r="Y183">
        <v>1.2</v>
      </c>
      <c r="Z183">
        <v>0.7</v>
      </c>
      <c r="AA183">
        <v>0.1</v>
      </c>
      <c r="AB183">
        <v>0.5</v>
      </c>
      <c r="AC183">
        <v>1.4</v>
      </c>
      <c r="AD183">
        <v>9.5</v>
      </c>
      <c r="AE183">
        <v>1395</v>
      </c>
      <c r="AF183">
        <v>14.5</v>
      </c>
      <c r="AG183">
        <v>0.626</v>
      </c>
      <c r="AH183">
        <v>0.77600000000000002</v>
      </c>
      <c r="AI183">
        <v>0.19700000000000001</v>
      </c>
      <c r="AJ183">
        <v>2</v>
      </c>
      <c r="AK183">
        <v>11.6</v>
      </c>
      <c r="AL183">
        <v>6.7</v>
      </c>
      <c r="AM183">
        <v>8.6999999999999993</v>
      </c>
      <c r="AN183">
        <v>1.6</v>
      </c>
      <c r="AO183">
        <v>0.5</v>
      </c>
      <c r="AP183">
        <v>6.6</v>
      </c>
      <c r="AQ183">
        <v>17.7</v>
      </c>
      <c r="AR183">
        <v>2.5</v>
      </c>
      <c r="AS183">
        <v>1.3</v>
      </c>
      <c r="AT183">
        <v>3.8</v>
      </c>
      <c r="AU183">
        <v>0.13100000000000001</v>
      </c>
      <c r="AV183">
        <v>1.3</v>
      </c>
      <c r="AW183">
        <v>-0.4</v>
      </c>
      <c r="AX183">
        <v>0.9</v>
      </c>
      <c r="AY183">
        <v>1</v>
      </c>
      <c r="AZ183" s="8">
        <v>2.35</v>
      </c>
      <c r="BA183" s="8">
        <v>1.2798936871286266</v>
      </c>
      <c r="BB183" s="3">
        <v>0</v>
      </c>
    </row>
    <row r="184" spans="1:54" x14ac:dyDescent="0.25">
      <c r="A184" t="s">
        <v>433</v>
      </c>
      <c r="B184" s="2">
        <v>1815677</v>
      </c>
      <c r="C184" t="s">
        <v>65</v>
      </c>
      <c r="D184">
        <v>26</v>
      </c>
      <c r="E184" t="s">
        <v>80</v>
      </c>
      <c r="F184">
        <v>80</v>
      </c>
      <c r="G184">
        <v>33</v>
      </c>
      <c r="H184">
        <v>28.4</v>
      </c>
      <c r="I184">
        <v>4.0999999999999996</v>
      </c>
      <c r="J184">
        <v>9.9</v>
      </c>
      <c r="K184">
        <v>0.41</v>
      </c>
      <c r="L184">
        <v>2.5</v>
      </c>
      <c r="M184">
        <v>7</v>
      </c>
      <c r="N184">
        <v>0.35</v>
      </c>
      <c r="O184">
        <v>1.6</v>
      </c>
      <c r="P184">
        <v>2.8</v>
      </c>
      <c r="Q184">
        <v>0.55900000000000005</v>
      </c>
      <c r="R184">
        <v>0.53500000000000003</v>
      </c>
      <c r="S184">
        <v>1</v>
      </c>
      <c r="T184">
        <v>1.1000000000000001</v>
      </c>
      <c r="U184">
        <v>0.876</v>
      </c>
      <c r="V184">
        <v>0.6</v>
      </c>
      <c r="W184">
        <v>2.6</v>
      </c>
      <c r="X184">
        <v>3.2</v>
      </c>
      <c r="Y184">
        <v>2.1</v>
      </c>
      <c r="Z184">
        <v>0.5</v>
      </c>
      <c r="AA184">
        <v>0.2</v>
      </c>
      <c r="AB184">
        <v>0.9</v>
      </c>
      <c r="AC184">
        <v>2.1</v>
      </c>
      <c r="AD184">
        <v>11.5</v>
      </c>
      <c r="AE184">
        <v>2272</v>
      </c>
      <c r="AF184">
        <v>10.8</v>
      </c>
      <c r="AG184">
        <v>0.55700000000000005</v>
      </c>
      <c r="AH184">
        <v>0.71299999999999997</v>
      </c>
      <c r="AI184">
        <v>0.113</v>
      </c>
      <c r="AJ184">
        <v>2.4</v>
      </c>
      <c r="AK184">
        <v>11.2</v>
      </c>
      <c r="AL184">
        <v>6.7</v>
      </c>
      <c r="AM184">
        <v>11.2</v>
      </c>
      <c r="AN184">
        <v>0.9</v>
      </c>
      <c r="AO184">
        <v>0.5</v>
      </c>
      <c r="AP184">
        <v>7.8</v>
      </c>
      <c r="AQ184">
        <v>17.600000000000001</v>
      </c>
      <c r="AR184">
        <v>1.5</v>
      </c>
      <c r="AS184">
        <v>1.9</v>
      </c>
      <c r="AT184">
        <v>3.4</v>
      </c>
      <c r="AU184">
        <v>7.0999999999999994E-2</v>
      </c>
      <c r="AV184">
        <v>-0.8</v>
      </c>
      <c r="AW184">
        <v>-0.9</v>
      </c>
      <c r="AX184">
        <v>-1.7</v>
      </c>
      <c r="AY184">
        <v>0.2</v>
      </c>
      <c r="AZ184" s="8">
        <v>0.85</v>
      </c>
      <c r="BA184" s="8">
        <v>0.46814493987642075</v>
      </c>
      <c r="BB184" s="3">
        <v>0</v>
      </c>
    </row>
    <row r="185" spans="1:54" x14ac:dyDescent="0.25">
      <c r="A185" t="s">
        <v>434</v>
      </c>
      <c r="B185" s="2">
        <v>1782621</v>
      </c>
      <c r="C185" t="s">
        <v>75</v>
      </c>
      <c r="D185">
        <v>25</v>
      </c>
      <c r="E185" t="s">
        <v>118</v>
      </c>
      <c r="F185">
        <v>65</v>
      </c>
      <c r="G185">
        <v>9</v>
      </c>
      <c r="H185">
        <v>18.7</v>
      </c>
      <c r="I185">
        <v>3</v>
      </c>
      <c r="J185">
        <v>4.8</v>
      </c>
      <c r="K185">
        <v>0.629</v>
      </c>
      <c r="L185">
        <v>0</v>
      </c>
      <c r="M185">
        <v>0</v>
      </c>
      <c r="N185">
        <v>1</v>
      </c>
      <c r="O185">
        <v>3</v>
      </c>
      <c r="P185">
        <v>4.8</v>
      </c>
      <c r="Q185">
        <v>0.628</v>
      </c>
      <c r="R185">
        <v>0.63100000000000001</v>
      </c>
      <c r="S185">
        <v>2.1</v>
      </c>
      <c r="T185">
        <v>2.8</v>
      </c>
      <c r="U185">
        <v>0.749</v>
      </c>
      <c r="V185">
        <v>2.2999999999999998</v>
      </c>
      <c r="W185">
        <v>4.0999999999999996</v>
      </c>
      <c r="X185">
        <v>6.4</v>
      </c>
      <c r="Y185">
        <v>0.6</v>
      </c>
      <c r="Z185">
        <v>0.2</v>
      </c>
      <c r="AA185">
        <v>1.1000000000000001</v>
      </c>
      <c r="AB185">
        <v>0.9</v>
      </c>
      <c r="AC185">
        <v>2.4</v>
      </c>
      <c r="AD185">
        <v>8.1999999999999993</v>
      </c>
      <c r="AE185">
        <v>1217</v>
      </c>
      <c r="AF185">
        <v>18.3</v>
      </c>
      <c r="AG185">
        <v>0.67600000000000005</v>
      </c>
      <c r="AH185">
        <v>3.0000000000000001E-3</v>
      </c>
      <c r="AI185">
        <v>0.58499999999999996</v>
      </c>
      <c r="AJ185">
        <v>12.6</v>
      </c>
      <c r="AK185">
        <v>24</v>
      </c>
      <c r="AL185">
        <v>18.2</v>
      </c>
      <c r="AM185">
        <v>4.5</v>
      </c>
      <c r="AN185">
        <v>0.4</v>
      </c>
      <c r="AO185">
        <v>5.0999999999999996</v>
      </c>
      <c r="AP185">
        <v>13</v>
      </c>
      <c r="AQ185">
        <v>15.6</v>
      </c>
      <c r="AR185">
        <v>2.7</v>
      </c>
      <c r="AS185">
        <v>1.5</v>
      </c>
      <c r="AT185">
        <v>4.2</v>
      </c>
      <c r="AU185">
        <v>0.16500000000000001</v>
      </c>
      <c r="AV185">
        <v>-1</v>
      </c>
      <c r="AW185">
        <v>-0.2</v>
      </c>
      <c r="AX185">
        <v>-1.3</v>
      </c>
      <c r="AY185">
        <v>0.2</v>
      </c>
      <c r="AZ185" s="8">
        <v>1.4500000000000002</v>
      </c>
      <c r="BA185" s="8">
        <v>0.81340901964018164</v>
      </c>
      <c r="BB185" s="3">
        <v>0</v>
      </c>
    </row>
    <row r="186" spans="1:54" x14ac:dyDescent="0.25">
      <c r="A186" t="s">
        <v>436</v>
      </c>
      <c r="B186" s="2">
        <v>1782621</v>
      </c>
      <c r="C186" t="s">
        <v>65</v>
      </c>
      <c r="D186">
        <v>25</v>
      </c>
      <c r="E186" t="s">
        <v>100</v>
      </c>
      <c r="F186">
        <v>77</v>
      </c>
      <c r="G186">
        <v>21</v>
      </c>
      <c r="H186">
        <v>23.3</v>
      </c>
      <c r="I186">
        <v>3.2</v>
      </c>
      <c r="J186">
        <v>7.4</v>
      </c>
      <c r="K186">
        <v>0.433</v>
      </c>
      <c r="L186">
        <v>0.9</v>
      </c>
      <c r="M186">
        <v>2.8</v>
      </c>
      <c r="N186">
        <v>0.30299999999999999</v>
      </c>
      <c r="O186">
        <v>2.4</v>
      </c>
      <c r="P186">
        <v>4.5999999999999996</v>
      </c>
      <c r="Q186">
        <v>0.51300000000000001</v>
      </c>
      <c r="R186">
        <v>0.49</v>
      </c>
      <c r="S186">
        <v>1.8</v>
      </c>
      <c r="T186">
        <v>2.2999999999999998</v>
      </c>
      <c r="U186">
        <v>0.78900000000000003</v>
      </c>
      <c r="V186">
        <v>0.6</v>
      </c>
      <c r="W186">
        <v>3</v>
      </c>
      <c r="X186">
        <v>3.6</v>
      </c>
      <c r="Y186">
        <v>2.5</v>
      </c>
      <c r="Z186">
        <v>0.7</v>
      </c>
      <c r="AA186">
        <v>0.2</v>
      </c>
      <c r="AB186">
        <v>1.3</v>
      </c>
      <c r="AC186">
        <v>1.5</v>
      </c>
      <c r="AD186">
        <v>9.1</v>
      </c>
      <c r="AE186">
        <v>1792</v>
      </c>
      <c r="AF186">
        <v>11.4</v>
      </c>
      <c r="AG186">
        <v>0.53900000000000003</v>
      </c>
      <c r="AH186">
        <v>0.38200000000000001</v>
      </c>
      <c r="AI186">
        <v>0.30599999999999999</v>
      </c>
      <c r="AJ186">
        <v>3</v>
      </c>
      <c r="AK186">
        <v>14.6</v>
      </c>
      <c r="AL186">
        <v>8.8000000000000007</v>
      </c>
      <c r="AM186">
        <v>14.4</v>
      </c>
      <c r="AN186">
        <v>1.5</v>
      </c>
      <c r="AO186">
        <v>0.7</v>
      </c>
      <c r="AP186">
        <v>13</v>
      </c>
      <c r="AQ186">
        <v>17.8</v>
      </c>
      <c r="AR186">
        <v>0.5</v>
      </c>
      <c r="AS186">
        <v>2</v>
      </c>
      <c r="AT186">
        <v>2.5</v>
      </c>
      <c r="AU186">
        <v>6.8000000000000005E-2</v>
      </c>
      <c r="AV186">
        <v>-1.9</v>
      </c>
      <c r="AW186">
        <v>0</v>
      </c>
      <c r="AX186">
        <v>-1.9</v>
      </c>
      <c r="AY186">
        <v>0.1</v>
      </c>
      <c r="AZ186" s="8">
        <v>0.30000000000000004</v>
      </c>
      <c r="BA186" s="8">
        <v>0.16829152130486516</v>
      </c>
      <c r="BB186" s="3">
        <v>0</v>
      </c>
    </row>
    <row r="187" spans="1:54" x14ac:dyDescent="0.25">
      <c r="A187" t="s">
        <v>438</v>
      </c>
      <c r="B187" s="2">
        <v>1782621</v>
      </c>
      <c r="C187" t="s">
        <v>52</v>
      </c>
      <c r="D187">
        <v>23</v>
      </c>
      <c r="E187" t="s">
        <v>175</v>
      </c>
      <c r="F187">
        <v>68</v>
      </c>
      <c r="G187">
        <v>65</v>
      </c>
      <c r="H187">
        <v>29.2</v>
      </c>
      <c r="I187">
        <v>5</v>
      </c>
      <c r="J187">
        <v>10.9</v>
      </c>
      <c r="K187">
        <v>0.45900000000000002</v>
      </c>
      <c r="L187">
        <v>0.7</v>
      </c>
      <c r="M187">
        <v>2.2999999999999998</v>
      </c>
      <c r="N187">
        <v>0.28499999999999998</v>
      </c>
      <c r="O187">
        <v>4.4000000000000004</v>
      </c>
      <c r="P187">
        <v>8.6</v>
      </c>
      <c r="Q187">
        <v>0.50600000000000001</v>
      </c>
      <c r="R187">
        <v>0.48899999999999999</v>
      </c>
      <c r="S187">
        <v>2.2000000000000002</v>
      </c>
      <c r="T187">
        <v>2.5</v>
      </c>
      <c r="U187">
        <v>0.86</v>
      </c>
      <c r="V187">
        <v>0.8</v>
      </c>
      <c r="W187">
        <v>2.8</v>
      </c>
      <c r="X187">
        <v>3.6</v>
      </c>
      <c r="Y187">
        <v>6.6</v>
      </c>
      <c r="Z187">
        <v>1.3</v>
      </c>
      <c r="AA187">
        <v>0.1</v>
      </c>
      <c r="AB187">
        <v>1.6</v>
      </c>
      <c r="AC187">
        <v>1.4</v>
      </c>
      <c r="AD187">
        <v>12.9</v>
      </c>
      <c r="AE187">
        <v>1984</v>
      </c>
      <c r="AF187">
        <v>16</v>
      </c>
      <c r="AG187">
        <v>0.53400000000000003</v>
      </c>
      <c r="AH187">
        <v>0.21299999999999999</v>
      </c>
      <c r="AI187">
        <v>0.23100000000000001</v>
      </c>
      <c r="AJ187">
        <v>3</v>
      </c>
      <c r="AK187">
        <v>10.8</v>
      </c>
      <c r="AL187">
        <v>6.7</v>
      </c>
      <c r="AM187">
        <v>31.5</v>
      </c>
      <c r="AN187">
        <v>2.1</v>
      </c>
      <c r="AO187">
        <v>0.4</v>
      </c>
      <c r="AP187">
        <v>11.8</v>
      </c>
      <c r="AQ187">
        <v>19.3</v>
      </c>
      <c r="AR187">
        <v>2.6</v>
      </c>
      <c r="AS187">
        <v>0.8</v>
      </c>
      <c r="AT187">
        <v>3.4</v>
      </c>
      <c r="AU187">
        <v>8.2000000000000003E-2</v>
      </c>
      <c r="AV187">
        <v>-0.2</v>
      </c>
      <c r="AW187">
        <v>-0.8</v>
      </c>
      <c r="AX187">
        <v>-1</v>
      </c>
      <c r="AY187">
        <v>0.5</v>
      </c>
      <c r="AZ187" s="8">
        <v>1.2</v>
      </c>
      <c r="BA187" s="8">
        <v>0.67316608521946053</v>
      </c>
      <c r="BB187" s="3">
        <v>0</v>
      </c>
    </row>
    <row r="188" spans="1:54" x14ac:dyDescent="0.25">
      <c r="A188" t="s">
        <v>451</v>
      </c>
      <c r="B188" s="2">
        <v>1563518</v>
      </c>
      <c r="C188" t="s">
        <v>62</v>
      </c>
      <c r="D188">
        <v>23</v>
      </c>
      <c r="E188" t="s">
        <v>87</v>
      </c>
      <c r="F188">
        <v>80</v>
      </c>
      <c r="G188">
        <v>51</v>
      </c>
      <c r="H188">
        <v>26.2</v>
      </c>
      <c r="I188">
        <v>3.5</v>
      </c>
      <c r="J188">
        <v>7.1</v>
      </c>
      <c r="K188">
        <v>0.49299999999999999</v>
      </c>
      <c r="L188">
        <v>0.7</v>
      </c>
      <c r="M188">
        <v>2.4</v>
      </c>
      <c r="N188">
        <v>0.312</v>
      </c>
      <c r="O188">
        <v>2.8</v>
      </c>
      <c r="P188">
        <v>4.8</v>
      </c>
      <c r="Q188">
        <v>0.58299999999999996</v>
      </c>
      <c r="R188">
        <v>0.54500000000000004</v>
      </c>
      <c r="S188">
        <v>0.8</v>
      </c>
      <c r="T188">
        <v>1</v>
      </c>
      <c r="U188">
        <v>0.80500000000000005</v>
      </c>
      <c r="V188">
        <v>0.6</v>
      </c>
      <c r="W188">
        <v>2.2000000000000002</v>
      </c>
      <c r="X188">
        <v>2.8</v>
      </c>
      <c r="Y188">
        <v>2.6</v>
      </c>
      <c r="Z188">
        <v>0.8</v>
      </c>
      <c r="AA188">
        <v>0.3</v>
      </c>
      <c r="AB188">
        <v>1.2</v>
      </c>
      <c r="AC188">
        <v>2.2999999999999998</v>
      </c>
      <c r="AD188">
        <v>8.6</v>
      </c>
      <c r="AE188">
        <v>2098</v>
      </c>
      <c r="AF188">
        <v>10.199999999999999</v>
      </c>
      <c r="AG188">
        <v>0.56699999999999995</v>
      </c>
      <c r="AH188">
        <v>0.33200000000000002</v>
      </c>
      <c r="AI188">
        <v>0.14399999999999999</v>
      </c>
      <c r="AJ188">
        <v>2.5</v>
      </c>
      <c r="AK188">
        <v>9.3000000000000007</v>
      </c>
      <c r="AL188">
        <v>5.9</v>
      </c>
      <c r="AM188">
        <v>13.2</v>
      </c>
      <c r="AN188">
        <v>1.4</v>
      </c>
      <c r="AO188">
        <v>1.2</v>
      </c>
      <c r="AP188">
        <v>14</v>
      </c>
      <c r="AQ188">
        <v>14.9</v>
      </c>
      <c r="AR188">
        <v>0.7</v>
      </c>
      <c r="AS188">
        <v>2.2000000000000002</v>
      </c>
      <c r="AT188">
        <v>2.9</v>
      </c>
      <c r="AU188">
        <v>6.7000000000000004E-2</v>
      </c>
      <c r="AV188">
        <v>-3</v>
      </c>
      <c r="AW188">
        <v>0.6</v>
      </c>
      <c r="AX188">
        <v>-2.5</v>
      </c>
      <c r="AY188">
        <v>-0.2</v>
      </c>
      <c r="AZ188" s="8">
        <v>0.19999999999999996</v>
      </c>
      <c r="BA188" s="8">
        <v>0.12791665973784755</v>
      </c>
      <c r="BB188" s="3">
        <v>0</v>
      </c>
    </row>
    <row r="189" spans="1:54" x14ac:dyDescent="0.25">
      <c r="A189" t="s">
        <v>456</v>
      </c>
      <c r="B189" s="2">
        <v>1563518</v>
      </c>
      <c r="C189" t="s">
        <v>52</v>
      </c>
      <c r="D189">
        <v>24</v>
      </c>
      <c r="E189" t="s">
        <v>100</v>
      </c>
      <c r="F189">
        <v>61</v>
      </c>
      <c r="G189">
        <v>10</v>
      </c>
      <c r="H189">
        <v>21.5</v>
      </c>
      <c r="I189">
        <v>3.3</v>
      </c>
      <c r="J189">
        <v>8</v>
      </c>
      <c r="K189">
        <v>0.41099999999999998</v>
      </c>
      <c r="L189">
        <v>1.4</v>
      </c>
      <c r="M189">
        <v>4</v>
      </c>
      <c r="N189">
        <v>0.33600000000000002</v>
      </c>
      <c r="O189">
        <v>1.9</v>
      </c>
      <c r="P189">
        <v>4</v>
      </c>
      <c r="Q189">
        <v>0.48799999999999999</v>
      </c>
      <c r="R189">
        <v>0.496</v>
      </c>
      <c r="S189">
        <v>1.1000000000000001</v>
      </c>
      <c r="T189">
        <v>1.3</v>
      </c>
      <c r="U189">
        <v>0.81299999999999994</v>
      </c>
      <c r="V189">
        <v>0.5</v>
      </c>
      <c r="W189">
        <v>1.9</v>
      </c>
      <c r="X189">
        <v>2.2999999999999998</v>
      </c>
      <c r="Y189">
        <v>3</v>
      </c>
      <c r="Z189">
        <v>1.1000000000000001</v>
      </c>
      <c r="AA189">
        <v>0.2</v>
      </c>
      <c r="AB189">
        <v>1.3</v>
      </c>
      <c r="AC189">
        <v>2</v>
      </c>
      <c r="AD189">
        <v>9</v>
      </c>
      <c r="AE189">
        <v>1310</v>
      </c>
      <c r="AF189">
        <v>11.8</v>
      </c>
      <c r="AG189">
        <v>0.52500000000000002</v>
      </c>
      <c r="AH189">
        <v>0.505</v>
      </c>
      <c r="AI189">
        <v>0.16400000000000001</v>
      </c>
      <c r="AJ189">
        <v>2.4</v>
      </c>
      <c r="AK189">
        <v>9.8000000000000007</v>
      </c>
      <c r="AL189">
        <v>6.1</v>
      </c>
      <c r="AM189">
        <v>19.899999999999999</v>
      </c>
      <c r="AN189">
        <v>2.5</v>
      </c>
      <c r="AO189">
        <v>0.7</v>
      </c>
      <c r="AP189">
        <v>13.4</v>
      </c>
      <c r="AQ189">
        <v>19.8</v>
      </c>
      <c r="AR189">
        <v>0.1</v>
      </c>
      <c r="AS189">
        <v>1.7</v>
      </c>
      <c r="AT189">
        <v>1.8</v>
      </c>
      <c r="AU189">
        <v>6.6000000000000003E-2</v>
      </c>
      <c r="AV189">
        <v>-2</v>
      </c>
      <c r="AW189">
        <v>0.7</v>
      </c>
      <c r="AX189">
        <v>-1.2</v>
      </c>
      <c r="AY189">
        <v>0.3</v>
      </c>
      <c r="AZ189" s="8">
        <v>0.30000000000000004</v>
      </c>
      <c r="BA189" s="8">
        <v>0.19187498960677143</v>
      </c>
      <c r="BB189" s="3">
        <v>0</v>
      </c>
    </row>
    <row r="190" spans="1:54" x14ac:dyDescent="0.25">
      <c r="A190" t="s">
        <v>458</v>
      </c>
      <c r="B190" s="2">
        <v>1563518</v>
      </c>
      <c r="C190" t="s">
        <v>62</v>
      </c>
      <c r="D190">
        <v>24</v>
      </c>
      <c r="E190" t="s">
        <v>109</v>
      </c>
      <c r="F190">
        <v>70</v>
      </c>
      <c r="G190">
        <v>14</v>
      </c>
      <c r="H190">
        <v>18.5</v>
      </c>
      <c r="I190">
        <v>2.7</v>
      </c>
      <c r="J190">
        <v>5.2</v>
      </c>
      <c r="K190">
        <v>0.51200000000000001</v>
      </c>
      <c r="L190">
        <v>0.7</v>
      </c>
      <c r="M190">
        <v>1.7</v>
      </c>
      <c r="N190">
        <v>0.39300000000000002</v>
      </c>
      <c r="O190">
        <v>2</v>
      </c>
      <c r="P190">
        <v>3.4</v>
      </c>
      <c r="Q190">
        <v>0.57299999999999995</v>
      </c>
      <c r="R190">
        <v>0.57899999999999996</v>
      </c>
      <c r="S190">
        <v>0.8</v>
      </c>
      <c r="T190">
        <v>1</v>
      </c>
      <c r="U190">
        <v>0.83099999999999996</v>
      </c>
      <c r="V190">
        <v>1</v>
      </c>
      <c r="W190">
        <v>2</v>
      </c>
      <c r="X190">
        <v>3</v>
      </c>
      <c r="Y190">
        <v>1.1000000000000001</v>
      </c>
      <c r="Z190">
        <v>0.6</v>
      </c>
      <c r="AA190">
        <v>0.2</v>
      </c>
      <c r="AB190">
        <v>0.8</v>
      </c>
      <c r="AC190">
        <v>1.6</v>
      </c>
      <c r="AD190">
        <v>6.8</v>
      </c>
      <c r="AE190">
        <v>1297</v>
      </c>
      <c r="AF190">
        <v>12.2</v>
      </c>
      <c r="AG190">
        <v>0.60699999999999998</v>
      </c>
      <c r="AH190">
        <v>0.33600000000000002</v>
      </c>
      <c r="AI190">
        <v>0.19600000000000001</v>
      </c>
      <c r="AJ190">
        <v>5.5</v>
      </c>
      <c r="AK190">
        <v>12</v>
      </c>
      <c r="AL190">
        <v>8.6999999999999993</v>
      </c>
      <c r="AM190">
        <v>8.3000000000000007</v>
      </c>
      <c r="AN190">
        <v>1.4</v>
      </c>
      <c r="AO190">
        <v>1.1000000000000001</v>
      </c>
      <c r="AP190">
        <v>12.2</v>
      </c>
      <c r="AQ190">
        <v>14.5</v>
      </c>
      <c r="AR190">
        <v>1.4</v>
      </c>
      <c r="AS190">
        <v>1.2</v>
      </c>
      <c r="AT190">
        <v>2.6</v>
      </c>
      <c r="AU190">
        <v>9.7000000000000003E-2</v>
      </c>
      <c r="AV190">
        <v>-1.5</v>
      </c>
      <c r="AW190">
        <v>-0.5</v>
      </c>
      <c r="AX190">
        <v>-2.1</v>
      </c>
      <c r="AY190">
        <v>0</v>
      </c>
      <c r="AZ190" s="8">
        <v>0.25</v>
      </c>
      <c r="BA190" s="8">
        <v>0.15989582467230951</v>
      </c>
      <c r="BB190" s="3">
        <v>0</v>
      </c>
    </row>
    <row r="191" spans="1:54" x14ac:dyDescent="0.25">
      <c r="A191" t="s">
        <v>460</v>
      </c>
      <c r="B191" s="2">
        <v>1563518</v>
      </c>
      <c r="C191" t="s">
        <v>28</v>
      </c>
      <c r="D191">
        <v>22</v>
      </c>
      <c r="E191" t="s">
        <v>70</v>
      </c>
      <c r="F191">
        <v>62</v>
      </c>
      <c r="G191">
        <v>12</v>
      </c>
      <c r="H191">
        <v>19.100000000000001</v>
      </c>
      <c r="I191">
        <v>2.9</v>
      </c>
      <c r="J191">
        <v>5.2</v>
      </c>
      <c r="K191">
        <v>0.56000000000000005</v>
      </c>
      <c r="L191">
        <v>0.4</v>
      </c>
      <c r="M191">
        <v>1</v>
      </c>
      <c r="N191">
        <v>0.39100000000000001</v>
      </c>
      <c r="O191">
        <v>2.5</v>
      </c>
      <c r="P191">
        <v>4.2</v>
      </c>
      <c r="Q191">
        <v>0.60199999999999998</v>
      </c>
      <c r="R191">
        <v>0.59899999999999998</v>
      </c>
      <c r="S191">
        <v>1.2</v>
      </c>
      <c r="T191">
        <v>1.6</v>
      </c>
      <c r="U191">
        <v>0.72</v>
      </c>
      <c r="V191">
        <v>0.7</v>
      </c>
      <c r="W191">
        <v>3.2</v>
      </c>
      <c r="X191">
        <v>3.8</v>
      </c>
      <c r="Y191">
        <v>2.1</v>
      </c>
      <c r="Z191">
        <v>0.5</v>
      </c>
      <c r="AA191">
        <v>0.2</v>
      </c>
      <c r="AB191">
        <v>1.1000000000000001</v>
      </c>
      <c r="AC191">
        <v>1.9</v>
      </c>
      <c r="AD191">
        <v>7.4</v>
      </c>
      <c r="AE191">
        <v>1182</v>
      </c>
      <c r="AF191">
        <v>13.6</v>
      </c>
      <c r="AG191">
        <v>0.625</v>
      </c>
      <c r="AH191">
        <v>0.19800000000000001</v>
      </c>
      <c r="AI191">
        <v>0.31</v>
      </c>
      <c r="AJ191">
        <v>4.0999999999999996</v>
      </c>
      <c r="AK191">
        <v>19.2</v>
      </c>
      <c r="AL191">
        <v>11.6</v>
      </c>
      <c r="AM191">
        <v>16</v>
      </c>
      <c r="AN191">
        <v>1.3</v>
      </c>
      <c r="AO191">
        <v>0.9</v>
      </c>
      <c r="AP191">
        <v>16.2</v>
      </c>
      <c r="AQ191">
        <v>16.100000000000001</v>
      </c>
      <c r="AR191">
        <v>1.3</v>
      </c>
      <c r="AS191">
        <v>0.7</v>
      </c>
      <c r="AT191">
        <v>2.1</v>
      </c>
      <c r="AU191">
        <v>8.4000000000000005E-2</v>
      </c>
      <c r="AV191">
        <v>-1.4</v>
      </c>
      <c r="AW191">
        <v>-0.4</v>
      </c>
      <c r="AX191">
        <v>-1.8</v>
      </c>
      <c r="AY191">
        <v>0.1</v>
      </c>
      <c r="AZ191" s="8">
        <v>0.15000000000000002</v>
      </c>
      <c r="BA191" s="8">
        <v>9.5937494803385717E-2</v>
      </c>
      <c r="BB191" s="3">
        <v>0</v>
      </c>
    </row>
    <row r="192" spans="1:54" x14ac:dyDescent="0.25">
      <c r="A192" t="s">
        <v>464</v>
      </c>
      <c r="B192" s="2">
        <v>1280206</v>
      </c>
      <c r="C192" t="s">
        <v>52</v>
      </c>
      <c r="D192">
        <v>24</v>
      </c>
      <c r="E192" t="s">
        <v>63</v>
      </c>
      <c r="F192">
        <v>62</v>
      </c>
      <c r="G192">
        <v>7</v>
      </c>
      <c r="H192">
        <v>17.8</v>
      </c>
      <c r="I192">
        <v>2.5</v>
      </c>
      <c r="J192">
        <v>5.7</v>
      </c>
      <c r="K192">
        <v>0.44800000000000001</v>
      </c>
      <c r="L192">
        <v>0.6</v>
      </c>
      <c r="M192">
        <v>1.9</v>
      </c>
      <c r="N192">
        <v>0.32200000000000001</v>
      </c>
      <c r="O192">
        <v>1.9</v>
      </c>
      <c r="P192">
        <v>3.8</v>
      </c>
      <c r="Q192">
        <v>0.51100000000000001</v>
      </c>
      <c r="R192">
        <v>0.501</v>
      </c>
      <c r="S192">
        <v>0.9</v>
      </c>
      <c r="T192">
        <v>1.1000000000000001</v>
      </c>
      <c r="U192">
        <v>0.76800000000000002</v>
      </c>
      <c r="V192">
        <v>0.9</v>
      </c>
      <c r="W192">
        <v>2.4</v>
      </c>
      <c r="X192">
        <v>3.3</v>
      </c>
      <c r="Y192">
        <v>2.7</v>
      </c>
      <c r="Z192">
        <v>0.9</v>
      </c>
      <c r="AA192">
        <v>0.4</v>
      </c>
      <c r="AB192">
        <v>0.9</v>
      </c>
      <c r="AC192">
        <v>1.5</v>
      </c>
      <c r="AD192">
        <v>6.6</v>
      </c>
      <c r="AE192">
        <v>1106</v>
      </c>
      <c r="AF192">
        <v>14.8</v>
      </c>
      <c r="AG192">
        <v>0.53100000000000003</v>
      </c>
      <c r="AH192">
        <v>0.33400000000000002</v>
      </c>
      <c r="AI192">
        <v>0.19500000000000001</v>
      </c>
      <c r="AJ192">
        <v>6</v>
      </c>
      <c r="AK192">
        <v>14.3</v>
      </c>
      <c r="AL192">
        <v>10.3</v>
      </c>
      <c r="AM192">
        <v>20.8</v>
      </c>
      <c r="AN192">
        <v>2.6</v>
      </c>
      <c r="AO192">
        <v>2</v>
      </c>
      <c r="AP192">
        <v>12.9</v>
      </c>
      <c r="AQ192">
        <v>17.3</v>
      </c>
      <c r="AR192">
        <v>0.9</v>
      </c>
      <c r="AS192">
        <v>1.3</v>
      </c>
      <c r="AT192">
        <v>2.2000000000000002</v>
      </c>
      <c r="AU192">
        <v>9.7000000000000003E-2</v>
      </c>
      <c r="AV192">
        <v>-0.7</v>
      </c>
      <c r="AW192">
        <v>1.4</v>
      </c>
      <c r="AX192">
        <v>0.7</v>
      </c>
      <c r="AY192">
        <v>0.8</v>
      </c>
      <c r="AZ192" s="8">
        <v>1.4500000000000002</v>
      </c>
      <c r="BA192" s="8">
        <v>1.1326302173243996</v>
      </c>
      <c r="BB192" s="3">
        <v>0</v>
      </c>
    </row>
    <row r="193" spans="1:54" x14ac:dyDescent="0.25">
      <c r="A193" t="s">
        <v>485</v>
      </c>
      <c r="B193" s="2">
        <v>694878</v>
      </c>
      <c r="C193" t="s">
        <v>65</v>
      </c>
      <c r="D193">
        <v>25</v>
      </c>
      <c r="E193" t="s">
        <v>53</v>
      </c>
      <c r="F193">
        <v>62</v>
      </c>
      <c r="G193">
        <v>4</v>
      </c>
      <c r="H193">
        <v>19.3</v>
      </c>
      <c r="I193">
        <v>2.4</v>
      </c>
      <c r="J193">
        <v>5.0999999999999996</v>
      </c>
      <c r="K193">
        <v>0.47099999999999997</v>
      </c>
      <c r="L193">
        <v>1.2</v>
      </c>
      <c r="M193">
        <v>3.2</v>
      </c>
      <c r="N193">
        <v>0.36699999999999999</v>
      </c>
      <c r="O193">
        <v>1.2</v>
      </c>
      <c r="P193">
        <v>1.9</v>
      </c>
      <c r="Q193">
        <v>0.65200000000000002</v>
      </c>
      <c r="R193">
        <v>0.58799999999999997</v>
      </c>
      <c r="S193">
        <v>0.7</v>
      </c>
      <c r="T193">
        <v>1</v>
      </c>
      <c r="U193">
        <v>0.76700000000000002</v>
      </c>
      <c r="V193">
        <v>0.9</v>
      </c>
      <c r="W193">
        <v>2.6</v>
      </c>
      <c r="X193">
        <v>3.5</v>
      </c>
      <c r="Y193">
        <v>1.5</v>
      </c>
      <c r="Z193">
        <v>0.5</v>
      </c>
      <c r="AA193">
        <v>0.3</v>
      </c>
      <c r="AB193">
        <v>0.9</v>
      </c>
      <c r="AC193">
        <v>2.2000000000000002</v>
      </c>
      <c r="AD193">
        <v>6.7</v>
      </c>
      <c r="AE193">
        <v>1195</v>
      </c>
      <c r="AF193">
        <v>10.9</v>
      </c>
      <c r="AG193">
        <v>0.61</v>
      </c>
      <c r="AH193">
        <v>0.63400000000000001</v>
      </c>
      <c r="AI193">
        <v>0.191</v>
      </c>
      <c r="AJ193">
        <v>5.3</v>
      </c>
      <c r="AK193">
        <v>14.4</v>
      </c>
      <c r="AL193">
        <v>9.9</v>
      </c>
      <c r="AM193">
        <v>10.5</v>
      </c>
      <c r="AN193">
        <v>1.1000000000000001</v>
      </c>
      <c r="AO193">
        <v>1.5</v>
      </c>
      <c r="AP193">
        <v>13.7</v>
      </c>
      <c r="AQ193">
        <v>13.8</v>
      </c>
      <c r="AR193">
        <v>1.2</v>
      </c>
      <c r="AS193">
        <v>1.2</v>
      </c>
      <c r="AT193">
        <v>2.4</v>
      </c>
      <c r="AU193">
        <v>9.6000000000000002E-2</v>
      </c>
      <c r="AV193">
        <v>-1.6</v>
      </c>
      <c r="AW193">
        <v>0.4</v>
      </c>
      <c r="AX193">
        <v>-1.1000000000000001</v>
      </c>
      <c r="AY193">
        <v>0.3</v>
      </c>
      <c r="AZ193" s="8">
        <v>0.64999999999999991</v>
      </c>
      <c r="BA193" s="8">
        <v>0.93541600108220424</v>
      </c>
      <c r="BB193" s="3">
        <v>0</v>
      </c>
    </row>
    <row r="194" spans="1:54" x14ac:dyDescent="0.25">
      <c r="B194" s="2"/>
    </row>
    <row r="195" spans="1:54" x14ac:dyDescent="0.25">
      <c r="B195" s="2"/>
    </row>
    <row r="196" spans="1:54" x14ac:dyDescent="0.25">
      <c r="B196" s="2"/>
    </row>
    <row r="197" spans="1:54" x14ac:dyDescent="0.25">
      <c r="B197" s="2"/>
    </row>
    <row r="198" spans="1:54" x14ac:dyDescent="0.25">
      <c r="B198" s="2"/>
    </row>
    <row r="199" spans="1:54" x14ac:dyDescent="0.25">
      <c r="B199" s="2"/>
    </row>
    <row r="200" spans="1:54" x14ac:dyDescent="0.25">
      <c r="B200" s="2"/>
    </row>
    <row r="201" spans="1:54" x14ac:dyDescent="0.25">
      <c r="B201" s="2"/>
    </row>
    <row r="202" spans="1:54" x14ac:dyDescent="0.25">
      <c r="B202" s="2"/>
    </row>
    <row r="203" spans="1:54" x14ac:dyDescent="0.25">
      <c r="B203" s="2"/>
    </row>
    <row r="204" spans="1:54" x14ac:dyDescent="0.25">
      <c r="B204" s="2"/>
    </row>
    <row r="205" spans="1:54" x14ac:dyDescent="0.25">
      <c r="B205" s="2"/>
    </row>
    <row r="206" spans="1:54" x14ac:dyDescent="0.25">
      <c r="B206" s="2"/>
    </row>
    <row r="207" spans="1:54" x14ac:dyDescent="0.25">
      <c r="B207" s="2"/>
    </row>
    <row r="208" spans="1:54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</sheetData>
  <autoFilter ref="A1:BB193" xr:uid="{CB862EB1-C512-4310-9273-B821048DD9A1}">
    <sortState xmlns:xlrd2="http://schemas.microsoft.com/office/spreadsheetml/2017/richdata2" ref="A2:BB193">
      <sortCondition descending="1" ref="BB1:BB193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7F4B-BB7E-4E07-BAF9-3BF9CA4854B8}">
  <dimension ref="A1:N1001"/>
  <sheetViews>
    <sheetView workbookViewId="0">
      <selection activeCell="E21" sqref="E21"/>
    </sheetView>
  </sheetViews>
  <sheetFormatPr defaultRowHeight="15" x14ac:dyDescent="0.25"/>
  <cols>
    <col min="1" max="1" width="18.28515625" bestFit="1" customWidth="1"/>
    <col min="2" max="2" width="14.85546875" customWidth="1"/>
    <col min="3" max="3" width="14.140625" bestFit="1" customWidth="1"/>
    <col min="5" max="5" width="11.140625" bestFit="1" customWidth="1"/>
    <col min="6" max="6" width="12" bestFit="1" customWidth="1"/>
    <col min="9" max="9" width="15" bestFit="1" customWidth="1"/>
    <col min="14" max="14" width="10.7109375" bestFit="1" customWidth="1"/>
  </cols>
  <sheetData>
    <row r="1" spans="1:14" x14ac:dyDescent="0.25">
      <c r="A1" s="1" t="s">
        <v>0</v>
      </c>
      <c r="B1" s="7" t="s">
        <v>552</v>
      </c>
      <c r="C1" s="1" t="s">
        <v>570</v>
      </c>
      <c r="D1" s="1" t="s">
        <v>569</v>
      </c>
      <c r="E1" s="1"/>
      <c r="F1" s="1" t="s">
        <v>572</v>
      </c>
      <c r="G1" s="1" t="s">
        <v>575</v>
      </c>
      <c r="H1" s="1" t="s">
        <v>573</v>
      </c>
      <c r="I1" s="1" t="s">
        <v>574</v>
      </c>
      <c r="J1" s="1"/>
      <c r="K1" s="1" t="s">
        <v>576</v>
      </c>
      <c r="L1" s="1" t="s">
        <v>577</v>
      </c>
      <c r="M1" s="1" t="s">
        <v>578</v>
      </c>
      <c r="N1" s="1" t="s">
        <v>579</v>
      </c>
    </row>
    <row r="2" spans="1:14" x14ac:dyDescent="0.25">
      <c r="A2" s="6" t="s">
        <v>580</v>
      </c>
      <c r="B2" s="8">
        <v>10.149999999999999</v>
      </c>
      <c r="C2">
        <f ca="1">(RAND()-0.5)/5</f>
        <v>-2.5707801140268917E-2</v>
      </c>
      <c r="D2">
        <f ca="1">IF(RAND()&lt;0.1, 0, B2*(1+C2))</f>
        <v>9.8890658184262694</v>
      </c>
      <c r="F2">
        <f ca="1">SUM(D2:D13)</f>
        <v>49.673033626044024</v>
      </c>
      <c r="G2">
        <v>0</v>
      </c>
      <c r="H2">
        <v>1</v>
      </c>
      <c r="I2">
        <f ca="1">F2</f>
        <v>49.673033626044024</v>
      </c>
      <c r="K2" s="10">
        <f ca="1">AVERAGE(I2:I1001)</f>
        <v>44.632743191052164</v>
      </c>
      <c r="L2" s="10">
        <f ca="1">_xlfn.STDEV.S(I2:I1001)</f>
        <v>5.312970649962951</v>
      </c>
      <c r="M2" s="10">
        <f ca="1">MAX(I2:I1001)</f>
        <v>52.299448435847481</v>
      </c>
      <c r="N2" s="10">
        <f ca="1">MIN(I2:I1001)</f>
        <v>24.618558794194541</v>
      </c>
    </row>
    <row r="3" spans="1:14" x14ac:dyDescent="0.25">
      <c r="A3" s="6" t="s">
        <v>136</v>
      </c>
      <c r="B3" s="8">
        <v>9.1999999999999993</v>
      </c>
      <c r="C3">
        <f t="shared" ref="C3:C9" ca="1" si="0">(RAND()-0.5)/5</f>
        <v>1.7066346199484262E-2</v>
      </c>
      <c r="D3">
        <f t="shared" ref="D3:D9" ca="1" si="1">IF(RAND()&lt;0.1, 0, B3*(1+C3))</f>
        <v>9.3570103850352542</v>
      </c>
      <c r="H3">
        <v>2</v>
      </c>
      <c r="I3">
        <f t="dataTable" ref="I3:I1001" dt2D="0" dtr="0" r1="G2" ca="1"/>
        <v>46.713851591952285</v>
      </c>
    </row>
    <row r="4" spans="1:14" x14ac:dyDescent="0.25">
      <c r="A4" s="6" t="s">
        <v>162</v>
      </c>
      <c r="B4" s="8">
        <v>6</v>
      </c>
      <c r="C4">
        <f t="shared" ca="1" si="0"/>
        <v>-4.5940396741811294E-2</v>
      </c>
      <c r="D4">
        <f t="shared" ca="1" si="1"/>
        <v>5.7243576195491324</v>
      </c>
      <c r="H4">
        <v>3</v>
      </c>
      <c r="I4">
        <v>42.930656701704166</v>
      </c>
    </row>
    <row r="5" spans="1:14" x14ac:dyDescent="0.25">
      <c r="A5" s="6" t="s">
        <v>72</v>
      </c>
      <c r="B5" s="8">
        <v>5.75</v>
      </c>
      <c r="C5">
        <f t="shared" ca="1" si="0"/>
        <v>8.9515274487011534E-2</v>
      </c>
      <c r="D5">
        <f t="shared" ca="1" si="1"/>
        <v>6.2647128283003166</v>
      </c>
      <c r="H5">
        <v>4</v>
      </c>
      <c r="I5">
        <v>26.6037408071555</v>
      </c>
    </row>
    <row r="6" spans="1:14" x14ac:dyDescent="0.25">
      <c r="A6" s="6" t="s">
        <v>235</v>
      </c>
      <c r="B6" s="8">
        <v>5.3999999999999995</v>
      </c>
      <c r="C6">
        <f t="shared" ca="1" si="0"/>
        <v>-2.4032768923035963E-2</v>
      </c>
      <c r="D6">
        <f t="shared" ca="1" si="1"/>
        <v>5.2702230478156054</v>
      </c>
      <c r="E6" t="s">
        <v>571</v>
      </c>
      <c r="H6">
        <v>5</v>
      </c>
      <c r="I6">
        <v>49.41157991948954</v>
      </c>
    </row>
    <row r="7" spans="1:14" x14ac:dyDescent="0.25">
      <c r="A7" s="6" t="s">
        <v>229</v>
      </c>
      <c r="B7" s="8">
        <v>5.0999999999999996</v>
      </c>
      <c r="C7">
        <f t="shared" ca="1" si="0"/>
        <v>1.444966590820509E-2</v>
      </c>
      <c r="D7">
        <f t="shared" ca="1" si="1"/>
        <v>5.1736932961318463</v>
      </c>
      <c r="E7" t="s">
        <v>571</v>
      </c>
      <c r="H7">
        <v>6</v>
      </c>
      <c r="I7">
        <v>39.794715677869647</v>
      </c>
    </row>
    <row r="8" spans="1:14" x14ac:dyDescent="0.25">
      <c r="A8" s="6" t="s">
        <v>357</v>
      </c>
      <c r="B8" s="8">
        <v>5</v>
      </c>
      <c r="C8">
        <f t="shared" ca="1" si="0"/>
        <v>5.3924636864854051E-3</v>
      </c>
      <c r="D8">
        <f t="shared" ca="1" si="1"/>
        <v>5.0269623184324272</v>
      </c>
      <c r="H8">
        <v>7</v>
      </c>
      <c r="I8">
        <v>49.974881178513535</v>
      </c>
      <c r="K8" t="s">
        <v>571</v>
      </c>
    </row>
    <row r="9" spans="1:14" x14ac:dyDescent="0.25">
      <c r="A9" s="6" t="s">
        <v>239</v>
      </c>
      <c r="B9" s="8">
        <v>2.7</v>
      </c>
      <c r="C9">
        <f t="shared" ca="1" si="0"/>
        <v>9.8891967538215192E-2</v>
      </c>
      <c r="D9">
        <f t="shared" ca="1" si="1"/>
        <v>2.967008312353181</v>
      </c>
      <c r="H9">
        <v>8</v>
      </c>
      <c r="I9">
        <v>49.612242533236483</v>
      </c>
    </row>
    <row r="10" spans="1:14" x14ac:dyDescent="0.25">
      <c r="H10">
        <v>9</v>
      </c>
      <c r="I10">
        <v>49.189377235873451</v>
      </c>
    </row>
    <row r="11" spans="1:14" x14ac:dyDescent="0.25">
      <c r="H11">
        <v>10</v>
      </c>
      <c r="I11">
        <v>43.356654159277404</v>
      </c>
    </row>
    <row r="12" spans="1:14" x14ac:dyDescent="0.25">
      <c r="H12">
        <v>11</v>
      </c>
      <c r="I12">
        <v>43.278414258916818</v>
      </c>
    </row>
    <row r="13" spans="1:14" x14ac:dyDescent="0.25">
      <c r="H13">
        <v>12</v>
      </c>
      <c r="I13">
        <v>48.837095325455493</v>
      </c>
    </row>
    <row r="14" spans="1:14" x14ac:dyDescent="0.25">
      <c r="H14">
        <v>13</v>
      </c>
      <c r="I14">
        <v>41.326678034562846</v>
      </c>
    </row>
    <row r="15" spans="1:14" x14ac:dyDescent="0.25">
      <c r="H15">
        <v>14</v>
      </c>
      <c r="I15">
        <v>49.857501647180086</v>
      </c>
    </row>
    <row r="16" spans="1:14" x14ac:dyDescent="0.25">
      <c r="H16">
        <v>15</v>
      </c>
      <c r="I16">
        <v>44.448735734788862</v>
      </c>
    </row>
    <row r="17" spans="8:9" x14ac:dyDescent="0.25">
      <c r="H17">
        <v>16</v>
      </c>
      <c r="I17">
        <v>45.132692574473801</v>
      </c>
    </row>
    <row r="18" spans="8:9" x14ac:dyDescent="0.25">
      <c r="H18">
        <v>17</v>
      </c>
      <c r="I18">
        <v>38.955264248706357</v>
      </c>
    </row>
    <row r="19" spans="8:9" x14ac:dyDescent="0.25">
      <c r="H19">
        <v>18</v>
      </c>
      <c r="I19">
        <v>48.230964332330942</v>
      </c>
    </row>
    <row r="20" spans="8:9" x14ac:dyDescent="0.25">
      <c r="H20">
        <v>19</v>
      </c>
      <c r="I20">
        <v>45.126363957396926</v>
      </c>
    </row>
    <row r="21" spans="8:9" x14ac:dyDescent="0.25">
      <c r="H21">
        <v>20</v>
      </c>
      <c r="I21">
        <v>33.136897155753353</v>
      </c>
    </row>
    <row r="22" spans="8:9" x14ac:dyDescent="0.25">
      <c r="H22">
        <v>21</v>
      </c>
      <c r="I22">
        <v>43.72080613800857</v>
      </c>
    </row>
    <row r="23" spans="8:9" x14ac:dyDescent="0.25">
      <c r="H23">
        <v>22</v>
      </c>
      <c r="I23">
        <v>45.9643700941646</v>
      </c>
    </row>
    <row r="24" spans="8:9" x14ac:dyDescent="0.25">
      <c r="H24">
        <v>23</v>
      </c>
      <c r="I24">
        <v>50.399892187825301</v>
      </c>
    </row>
    <row r="25" spans="8:9" x14ac:dyDescent="0.25">
      <c r="H25">
        <v>24</v>
      </c>
      <c r="I25">
        <v>43.858251629013296</v>
      </c>
    </row>
    <row r="26" spans="8:9" x14ac:dyDescent="0.25">
      <c r="H26">
        <v>25</v>
      </c>
      <c r="I26">
        <v>35.503525774226411</v>
      </c>
    </row>
    <row r="27" spans="8:9" x14ac:dyDescent="0.25">
      <c r="H27">
        <v>26</v>
      </c>
      <c r="I27">
        <v>49.76971298573347</v>
      </c>
    </row>
    <row r="28" spans="8:9" x14ac:dyDescent="0.25">
      <c r="H28">
        <v>27</v>
      </c>
      <c r="I28">
        <v>47.260640915622105</v>
      </c>
    </row>
    <row r="29" spans="8:9" x14ac:dyDescent="0.25">
      <c r="H29">
        <v>28</v>
      </c>
      <c r="I29">
        <v>40.802702336318205</v>
      </c>
    </row>
    <row r="30" spans="8:9" x14ac:dyDescent="0.25">
      <c r="H30">
        <v>29</v>
      </c>
      <c r="I30">
        <v>38.561825613270351</v>
      </c>
    </row>
    <row r="31" spans="8:9" x14ac:dyDescent="0.25">
      <c r="H31">
        <v>30</v>
      </c>
      <c r="I31">
        <v>47.877937113514271</v>
      </c>
    </row>
    <row r="32" spans="8:9" x14ac:dyDescent="0.25">
      <c r="H32">
        <v>31</v>
      </c>
      <c r="I32">
        <v>50.452686159974618</v>
      </c>
    </row>
    <row r="33" spans="8:9" x14ac:dyDescent="0.25">
      <c r="H33">
        <v>32</v>
      </c>
      <c r="I33">
        <v>50.651624415633883</v>
      </c>
    </row>
    <row r="34" spans="8:9" x14ac:dyDescent="0.25">
      <c r="H34">
        <v>33</v>
      </c>
      <c r="I34">
        <v>44.090248707643894</v>
      </c>
    </row>
    <row r="35" spans="8:9" x14ac:dyDescent="0.25">
      <c r="H35">
        <v>34</v>
      </c>
      <c r="I35">
        <v>48.36061249475064</v>
      </c>
    </row>
    <row r="36" spans="8:9" x14ac:dyDescent="0.25">
      <c r="H36">
        <v>35</v>
      </c>
      <c r="I36">
        <v>48.042591825636272</v>
      </c>
    </row>
    <row r="37" spans="8:9" x14ac:dyDescent="0.25">
      <c r="H37">
        <v>36</v>
      </c>
      <c r="I37">
        <v>49.098669935470475</v>
      </c>
    </row>
    <row r="38" spans="8:9" x14ac:dyDescent="0.25">
      <c r="H38">
        <v>37</v>
      </c>
      <c r="I38">
        <v>50.540264711482465</v>
      </c>
    </row>
    <row r="39" spans="8:9" x14ac:dyDescent="0.25">
      <c r="H39">
        <v>38</v>
      </c>
      <c r="I39">
        <v>48.002153886495002</v>
      </c>
    </row>
    <row r="40" spans="8:9" x14ac:dyDescent="0.25">
      <c r="H40">
        <v>39</v>
      </c>
      <c r="I40">
        <v>48.850673525483423</v>
      </c>
    </row>
    <row r="41" spans="8:9" x14ac:dyDescent="0.25">
      <c r="H41">
        <v>40</v>
      </c>
      <c r="I41">
        <v>49.256817729902451</v>
      </c>
    </row>
    <row r="42" spans="8:9" x14ac:dyDescent="0.25">
      <c r="H42">
        <v>41</v>
      </c>
      <c r="I42">
        <v>48.481265455976036</v>
      </c>
    </row>
    <row r="43" spans="8:9" x14ac:dyDescent="0.25">
      <c r="H43">
        <v>42</v>
      </c>
      <c r="I43">
        <v>50.97883541863591</v>
      </c>
    </row>
    <row r="44" spans="8:9" x14ac:dyDescent="0.25">
      <c r="H44">
        <v>43</v>
      </c>
      <c r="I44">
        <v>42.840404083123516</v>
      </c>
    </row>
    <row r="45" spans="8:9" x14ac:dyDescent="0.25">
      <c r="H45">
        <v>44</v>
      </c>
      <c r="I45">
        <v>47.618178657400236</v>
      </c>
    </row>
    <row r="46" spans="8:9" x14ac:dyDescent="0.25">
      <c r="H46">
        <v>45</v>
      </c>
      <c r="I46">
        <v>38.034812849196349</v>
      </c>
    </row>
    <row r="47" spans="8:9" x14ac:dyDescent="0.25">
      <c r="H47">
        <v>46</v>
      </c>
      <c r="I47">
        <v>43.785786381154161</v>
      </c>
    </row>
    <row r="48" spans="8:9" x14ac:dyDescent="0.25">
      <c r="H48">
        <v>47</v>
      </c>
      <c r="I48">
        <v>45.965904902037245</v>
      </c>
    </row>
    <row r="49" spans="8:9" x14ac:dyDescent="0.25">
      <c r="H49">
        <v>48</v>
      </c>
      <c r="I49">
        <v>51.202581550810891</v>
      </c>
    </row>
    <row r="50" spans="8:9" x14ac:dyDescent="0.25">
      <c r="H50">
        <v>49</v>
      </c>
      <c r="I50">
        <v>48.474218487944171</v>
      </c>
    </row>
    <row r="51" spans="8:9" x14ac:dyDescent="0.25">
      <c r="H51">
        <v>50</v>
      </c>
      <c r="I51">
        <v>50.914326491165312</v>
      </c>
    </row>
    <row r="52" spans="8:9" x14ac:dyDescent="0.25">
      <c r="H52">
        <v>51</v>
      </c>
      <c r="I52">
        <v>40.897033195257656</v>
      </c>
    </row>
    <row r="53" spans="8:9" x14ac:dyDescent="0.25">
      <c r="H53">
        <v>52</v>
      </c>
      <c r="I53">
        <v>38.478841156663364</v>
      </c>
    </row>
    <row r="54" spans="8:9" x14ac:dyDescent="0.25">
      <c r="H54">
        <v>53</v>
      </c>
      <c r="I54">
        <v>41.949138884791651</v>
      </c>
    </row>
    <row r="55" spans="8:9" x14ac:dyDescent="0.25">
      <c r="H55">
        <v>54</v>
      </c>
      <c r="I55">
        <v>47.442178492062162</v>
      </c>
    </row>
    <row r="56" spans="8:9" x14ac:dyDescent="0.25">
      <c r="H56">
        <v>55</v>
      </c>
      <c r="I56">
        <v>48.115130952002247</v>
      </c>
    </row>
    <row r="57" spans="8:9" x14ac:dyDescent="0.25">
      <c r="H57">
        <v>56</v>
      </c>
      <c r="I57">
        <v>49.060615563173229</v>
      </c>
    </row>
    <row r="58" spans="8:9" x14ac:dyDescent="0.25">
      <c r="H58">
        <v>57</v>
      </c>
      <c r="I58">
        <v>44.162563371986273</v>
      </c>
    </row>
    <row r="59" spans="8:9" x14ac:dyDescent="0.25">
      <c r="H59">
        <v>58</v>
      </c>
      <c r="I59">
        <v>44.049331291177843</v>
      </c>
    </row>
    <row r="60" spans="8:9" x14ac:dyDescent="0.25">
      <c r="H60">
        <v>59</v>
      </c>
      <c r="I60">
        <v>48.442884515559129</v>
      </c>
    </row>
    <row r="61" spans="8:9" x14ac:dyDescent="0.25">
      <c r="H61">
        <v>60</v>
      </c>
      <c r="I61">
        <v>28.469220508964597</v>
      </c>
    </row>
    <row r="62" spans="8:9" x14ac:dyDescent="0.25">
      <c r="H62">
        <v>61</v>
      </c>
      <c r="I62">
        <v>41.439319403856743</v>
      </c>
    </row>
    <row r="63" spans="8:9" x14ac:dyDescent="0.25">
      <c r="H63">
        <v>62</v>
      </c>
      <c r="I63">
        <v>43.455277541924218</v>
      </c>
    </row>
    <row r="64" spans="8:9" x14ac:dyDescent="0.25">
      <c r="H64">
        <v>63</v>
      </c>
      <c r="I64">
        <v>36.604291939726494</v>
      </c>
    </row>
    <row r="65" spans="8:9" x14ac:dyDescent="0.25">
      <c r="H65">
        <v>64</v>
      </c>
      <c r="I65">
        <v>49.567755770588207</v>
      </c>
    </row>
    <row r="66" spans="8:9" x14ac:dyDescent="0.25">
      <c r="H66">
        <v>65</v>
      </c>
      <c r="I66">
        <v>42.183680144384255</v>
      </c>
    </row>
    <row r="67" spans="8:9" x14ac:dyDescent="0.25">
      <c r="H67">
        <v>66</v>
      </c>
      <c r="I67">
        <v>44.642855590614026</v>
      </c>
    </row>
    <row r="68" spans="8:9" x14ac:dyDescent="0.25">
      <c r="H68">
        <v>67</v>
      </c>
      <c r="I68">
        <v>50.944142795752455</v>
      </c>
    </row>
    <row r="69" spans="8:9" x14ac:dyDescent="0.25">
      <c r="H69">
        <v>68</v>
      </c>
      <c r="I69">
        <v>50.152895053516914</v>
      </c>
    </row>
    <row r="70" spans="8:9" x14ac:dyDescent="0.25">
      <c r="H70">
        <v>69</v>
      </c>
      <c r="I70">
        <v>48.520834162190759</v>
      </c>
    </row>
    <row r="71" spans="8:9" x14ac:dyDescent="0.25">
      <c r="H71">
        <v>70</v>
      </c>
      <c r="I71">
        <v>45.235419807166657</v>
      </c>
    </row>
    <row r="72" spans="8:9" x14ac:dyDescent="0.25">
      <c r="H72">
        <v>71</v>
      </c>
      <c r="I72">
        <v>50.050538313741882</v>
      </c>
    </row>
    <row r="73" spans="8:9" x14ac:dyDescent="0.25">
      <c r="H73">
        <v>72</v>
      </c>
      <c r="I73">
        <v>49.411934346197484</v>
      </c>
    </row>
    <row r="74" spans="8:9" x14ac:dyDescent="0.25">
      <c r="H74">
        <v>73</v>
      </c>
      <c r="I74">
        <v>44.261847861356436</v>
      </c>
    </row>
    <row r="75" spans="8:9" x14ac:dyDescent="0.25">
      <c r="H75">
        <v>74</v>
      </c>
      <c r="I75">
        <v>46.962096307676596</v>
      </c>
    </row>
    <row r="76" spans="8:9" x14ac:dyDescent="0.25">
      <c r="H76">
        <v>75</v>
      </c>
      <c r="I76">
        <v>43.231082465069122</v>
      </c>
    </row>
    <row r="77" spans="8:9" x14ac:dyDescent="0.25">
      <c r="H77">
        <v>76</v>
      </c>
      <c r="I77">
        <v>50.619992785321806</v>
      </c>
    </row>
    <row r="78" spans="8:9" x14ac:dyDescent="0.25">
      <c r="H78">
        <v>77</v>
      </c>
      <c r="I78">
        <v>44.432129593580207</v>
      </c>
    </row>
    <row r="79" spans="8:9" x14ac:dyDescent="0.25">
      <c r="H79">
        <v>78</v>
      </c>
      <c r="I79">
        <v>40.931322668128665</v>
      </c>
    </row>
    <row r="80" spans="8:9" x14ac:dyDescent="0.25">
      <c r="H80">
        <v>79</v>
      </c>
      <c r="I80">
        <v>48.614477577459368</v>
      </c>
    </row>
    <row r="81" spans="8:9" x14ac:dyDescent="0.25">
      <c r="H81">
        <v>80</v>
      </c>
      <c r="I81">
        <v>45.711743475636823</v>
      </c>
    </row>
    <row r="82" spans="8:9" x14ac:dyDescent="0.25">
      <c r="H82">
        <v>81</v>
      </c>
      <c r="I82">
        <v>49.698366165887663</v>
      </c>
    </row>
    <row r="83" spans="8:9" x14ac:dyDescent="0.25">
      <c r="H83">
        <v>82</v>
      </c>
      <c r="I83">
        <v>50.406427463301455</v>
      </c>
    </row>
    <row r="84" spans="8:9" x14ac:dyDescent="0.25">
      <c r="H84">
        <v>83</v>
      </c>
      <c r="I84">
        <v>37.999723190033805</v>
      </c>
    </row>
    <row r="85" spans="8:9" x14ac:dyDescent="0.25">
      <c r="H85">
        <v>84</v>
      </c>
      <c r="I85">
        <v>47.272791713230291</v>
      </c>
    </row>
    <row r="86" spans="8:9" x14ac:dyDescent="0.25">
      <c r="H86">
        <v>85</v>
      </c>
      <c r="I86">
        <v>51.25839199323881</v>
      </c>
    </row>
    <row r="87" spans="8:9" x14ac:dyDescent="0.25">
      <c r="H87">
        <v>86</v>
      </c>
      <c r="I87">
        <v>37.933140737996013</v>
      </c>
    </row>
    <row r="88" spans="8:9" x14ac:dyDescent="0.25">
      <c r="H88">
        <v>87</v>
      </c>
      <c r="I88">
        <v>49.060967233867046</v>
      </c>
    </row>
    <row r="89" spans="8:9" x14ac:dyDescent="0.25">
      <c r="H89">
        <v>88</v>
      </c>
      <c r="I89">
        <v>44.366087437837493</v>
      </c>
    </row>
    <row r="90" spans="8:9" x14ac:dyDescent="0.25">
      <c r="H90">
        <v>89</v>
      </c>
      <c r="I90">
        <v>49.355417785578346</v>
      </c>
    </row>
    <row r="91" spans="8:9" x14ac:dyDescent="0.25">
      <c r="H91">
        <v>90</v>
      </c>
      <c r="I91">
        <v>50.104015130093188</v>
      </c>
    </row>
    <row r="92" spans="8:9" x14ac:dyDescent="0.25">
      <c r="H92">
        <v>91</v>
      </c>
      <c r="I92">
        <v>51.190879062913183</v>
      </c>
    </row>
    <row r="93" spans="8:9" x14ac:dyDescent="0.25">
      <c r="H93">
        <v>92</v>
      </c>
      <c r="I93">
        <v>49.969582225203432</v>
      </c>
    </row>
    <row r="94" spans="8:9" x14ac:dyDescent="0.25">
      <c r="H94">
        <v>93</v>
      </c>
      <c r="I94">
        <v>49.178289785575892</v>
      </c>
    </row>
    <row r="95" spans="8:9" x14ac:dyDescent="0.25">
      <c r="H95">
        <v>94</v>
      </c>
      <c r="I95">
        <v>48.303607162185422</v>
      </c>
    </row>
    <row r="96" spans="8:9" x14ac:dyDescent="0.25">
      <c r="H96">
        <v>95</v>
      </c>
      <c r="I96">
        <v>45.229733427861909</v>
      </c>
    </row>
    <row r="97" spans="8:9" x14ac:dyDescent="0.25">
      <c r="H97">
        <v>96</v>
      </c>
      <c r="I97">
        <v>51.074926422912938</v>
      </c>
    </row>
    <row r="98" spans="8:9" x14ac:dyDescent="0.25">
      <c r="H98">
        <v>97</v>
      </c>
      <c r="I98">
        <v>40.276834964204035</v>
      </c>
    </row>
    <row r="99" spans="8:9" x14ac:dyDescent="0.25">
      <c r="H99">
        <v>98</v>
      </c>
      <c r="I99">
        <v>50.406043056098362</v>
      </c>
    </row>
    <row r="100" spans="8:9" x14ac:dyDescent="0.25">
      <c r="H100">
        <v>99</v>
      </c>
      <c r="I100">
        <v>48.826478761790483</v>
      </c>
    </row>
    <row r="101" spans="8:9" x14ac:dyDescent="0.25">
      <c r="H101">
        <v>100</v>
      </c>
      <c r="I101">
        <v>50.300051357331753</v>
      </c>
    </row>
    <row r="102" spans="8:9" x14ac:dyDescent="0.25">
      <c r="H102">
        <v>101</v>
      </c>
      <c r="I102">
        <v>48.091474713286317</v>
      </c>
    </row>
    <row r="103" spans="8:9" x14ac:dyDescent="0.25">
      <c r="H103">
        <v>102</v>
      </c>
      <c r="I103">
        <v>38.894782349283062</v>
      </c>
    </row>
    <row r="104" spans="8:9" x14ac:dyDescent="0.25">
      <c r="H104">
        <v>103</v>
      </c>
      <c r="I104">
        <v>48.692683180354798</v>
      </c>
    </row>
    <row r="105" spans="8:9" x14ac:dyDescent="0.25">
      <c r="H105">
        <v>104</v>
      </c>
      <c r="I105">
        <v>38.562696417270416</v>
      </c>
    </row>
    <row r="106" spans="8:9" x14ac:dyDescent="0.25">
      <c r="H106">
        <v>105</v>
      </c>
      <c r="I106">
        <v>42.422495244272262</v>
      </c>
    </row>
    <row r="107" spans="8:9" x14ac:dyDescent="0.25">
      <c r="H107">
        <v>106</v>
      </c>
      <c r="I107">
        <v>49.411873058434431</v>
      </c>
    </row>
    <row r="108" spans="8:9" x14ac:dyDescent="0.25">
      <c r="H108">
        <v>107</v>
      </c>
      <c r="I108">
        <v>44.350489956154632</v>
      </c>
    </row>
    <row r="109" spans="8:9" x14ac:dyDescent="0.25">
      <c r="H109">
        <v>108</v>
      </c>
      <c r="I109">
        <v>42.185725841122647</v>
      </c>
    </row>
    <row r="110" spans="8:9" x14ac:dyDescent="0.25">
      <c r="H110">
        <v>109</v>
      </c>
      <c r="I110">
        <v>47.986342410518446</v>
      </c>
    </row>
    <row r="111" spans="8:9" x14ac:dyDescent="0.25">
      <c r="H111">
        <v>110</v>
      </c>
      <c r="I111">
        <v>43.918289081790284</v>
      </c>
    </row>
    <row r="112" spans="8:9" x14ac:dyDescent="0.25">
      <c r="H112">
        <v>111</v>
      </c>
      <c r="I112">
        <v>46.77710036087489</v>
      </c>
    </row>
    <row r="113" spans="8:9" x14ac:dyDescent="0.25">
      <c r="H113">
        <v>112</v>
      </c>
      <c r="I113">
        <v>50.850268998380912</v>
      </c>
    </row>
    <row r="114" spans="8:9" x14ac:dyDescent="0.25">
      <c r="H114">
        <v>113</v>
      </c>
      <c r="I114">
        <v>42.597979378968802</v>
      </c>
    </row>
    <row r="115" spans="8:9" x14ac:dyDescent="0.25">
      <c r="H115">
        <v>114</v>
      </c>
      <c r="I115">
        <v>44.07262179833819</v>
      </c>
    </row>
    <row r="116" spans="8:9" x14ac:dyDescent="0.25">
      <c r="H116">
        <v>115</v>
      </c>
      <c r="I116">
        <v>45.213782522234148</v>
      </c>
    </row>
    <row r="117" spans="8:9" x14ac:dyDescent="0.25">
      <c r="H117">
        <v>116</v>
      </c>
      <c r="I117">
        <v>40.019758204150705</v>
      </c>
    </row>
    <row r="118" spans="8:9" x14ac:dyDescent="0.25">
      <c r="H118">
        <v>117</v>
      </c>
      <c r="I118">
        <v>47.916552784504908</v>
      </c>
    </row>
    <row r="119" spans="8:9" x14ac:dyDescent="0.25">
      <c r="H119">
        <v>118</v>
      </c>
      <c r="I119">
        <v>49.133064112188897</v>
      </c>
    </row>
    <row r="120" spans="8:9" x14ac:dyDescent="0.25">
      <c r="H120">
        <v>119</v>
      </c>
      <c r="I120">
        <v>49.263884307052344</v>
      </c>
    </row>
    <row r="121" spans="8:9" x14ac:dyDescent="0.25">
      <c r="H121">
        <v>120</v>
      </c>
      <c r="I121">
        <v>44.759100985593321</v>
      </c>
    </row>
    <row r="122" spans="8:9" x14ac:dyDescent="0.25">
      <c r="H122">
        <v>121</v>
      </c>
      <c r="I122">
        <v>41.087867834122548</v>
      </c>
    </row>
    <row r="123" spans="8:9" x14ac:dyDescent="0.25">
      <c r="H123">
        <v>122</v>
      </c>
      <c r="I123">
        <v>44.609670010388058</v>
      </c>
    </row>
    <row r="124" spans="8:9" x14ac:dyDescent="0.25">
      <c r="H124">
        <v>123</v>
      </c>
      <c r="I124">
        <v>49.393913119972794</v>
      </c>
    </row>
    <row r="125" spans="8:9" x14ac:dyDescent="0.25">
      <c r="H125">
        <v>124</v>
      </c>
      <c r="I125">
        <v>41.326526092416906</v>
      </c>
    </row>
    <row r="126" spans="8:9" x14ac:dyDescent="0.25">
      <c r="H126">
        <v>125</v>
      </c>
      <c r="I126">
        <v>38.531817397694979</v>
      </c>
    </row>
    <row r="127" spans="8:9" x14ac:dyDescent="0.25">
      <c r="H127">
        <v>126</v>
      </c>
      <c r="I127">
        <v>49.599678246314546</v>
      </c>
    </row>
    <row r="128" spans="8:9" x14ac:dyDescent="0.25">
      <c r="H128">
        <v>127</v>
      </c>
      <c r="I128">
        <v>40.17675788819696</v>
      </c>
    </row>
    <row r="129" spans="8:9" x14ac:dyDescent="0.25">
      <c r="H129">
        <v>128</v>
      </c>
      <c r="I129">
        <v>50.872171030080665</v>
      </c>
    </row>
    <row r="130" spans="8:9" x14ac:dyDescent="0.25">
      <c r="H130">
        <v>129</v>
      </c>
      <c r="I130">
        <v>50.04784507527058</v>
      </c>
    </row>
    <row r="131" spans="8:9" x14ac:dyDescent="0.25">
      <c r="H131">
        <v>130</v>
      </c>
      <c r="I131">
        <v>48.325911631208655</v>
      </c>
    </row>
    <row r="132" spans="8:9" x14ac:dyDescent="0.25">
      <c r="H132">
        <v>131</v>
      </c>
      <c r="I132">
        <v>45.34749331217855</v>
      </c>
    </row>
    <row r="133" spans="8:9" x14ac:dyDescent="0.25">
      <c r="H133">
        <v>132</v>
      </c>
      <c r="I133">
        <v>43.67585618441101</v>
      </c>
    </row>
    <row r="134" spans="8:9" x14ac:dyDescent="0.25">
      <c r="H134">
        <v>133</v>
      </c>
      <c r="I134">
        <v>44.341289164376491</v>
      </c>
    </row>
    <row r="135" spans="8:9" x14ac:dyDescent="0.25">
      <c r="H135">
        <v>134</v>
      </c>
      <c r="I135">
        <v>43.286374822646827</v>
      </c>
    </row>
    <row r="136" spans="8:9" x14ac:dyDescent="0.25">
      <c r="H136">
        <v>135</v>
      </c>
      <c r="I136">
        <v>43.639828810820681</v>
      </c>
    </row>
    <row r="137" spans="8:9" x14ac:dyDescent="0.25">
      <c r="H137">
        <v>136</v>
      </c>
      <c r="I137">
        <v>48.451983435920887</v>
      </c>
    </row>
    <row r="138" spans="8:9" x14ac:dyDescent="0.25">
      <c r="H138">
        <v>137</v>
      </c>
      <c r="I138">
        <v>43.539396619562126</v>
      </c>
    </row>
    <row r="139" spans="8:9" x14ac:dyDescent="0.25">
      <c r="H139">
        <v>138</v>
      </c>
      <c r="I139">
        <v>49.542097015941266</v>
      </c>
    </row>
    <row r="140" spans="8:9" x14ac:dyDescent="0.25">
      <c r="H140">
        <v>139</v>
      </c>
      <c r="I140">
        <v>48.487791087823979</v>
      </c>
    </row>
    <row r="141" spans="8:9" x14ac:dyDescent="0.25">
      <c r="H141">
        <v>140</v>
      </c>
      <c r="I141">
        <v>40.614840750065959</v>
      </c>
    </row>
    <row r="142" spans="8:9" x14ac:dyDescent="0.25">
      <c r="H142">
        <v>141</v>
      </c>
      <c r="I142">
        <v>44.847990075257776</v>
      </c>
    </row>
    <row r="143" spans="8:9" x14ac:dyDescent="0.25">
      <c r="H143">
        <v>142</v>
      </c>
      <c r="I143">
        <v>38.914163907792727</v>
      </c>
    </row>
    <row r="144" spans="8:9" x14ac:dyDescent="0.25">
      <c r="H144">
        <v>143</v>
      </c>
      <c r="I144">
        <v>37.523906987105804</v>
      </c>
    </row>
    <row r="145" spans="8:9" x14ac:dyDescent="0.25">
      <c r="H145">
        <v>144</v>
      </c>
      <c r="I145">
        <v>47.767737986190461</v>
      </c>
    </row>
    <row r="146" spans="8:9" x14ac:dyDescent="0.25">
      <c r="H146">
        <v>145</v>
      </c>
      <c r="I146">
        <v>39.432975197161312</v>
      </c>
    </row>
    <row r="147" spans="8:9" x14ac:dyDescent="0.25">
      <c r="H147">
        <v>146</v>
      </c>
      <c r="I147">
        <v>41.988873162166115</v>
      </c>
    </row>
    <row r="148" spans="8:9" x14ac:dyDescent="0.25">
      <c r="H148">
        <v>147</v>
      </c>
      <c r="I148">
        <v>50.205889402864145</v>
      </c>
    </row>
    <row r="149" spans="8:9" x14ac:dyDescent="0.25">
      <c r="H149">
        <v>148</v>
      </c>
      <c r="I149">
        <v>33.95105508877505</v>
      </c>
    </row>
    <row r="150" spans="8:9" x14ac:dyDescent="0.25">
      <c r="H150">
        <v>149</v>
      </c>
      <c r="I150">
        <v>36.000375638735363</v>
      </c>
    </row>
    <row r="151" spans="8:9" x14ac:dyDescent="0.25">
      <c r="H151">
        <v>150</v>
      </c>
      <c r="I151">
        <v>50.431826820500277</v>
      </c>
    </row>
    <row r="152" spans="8:9" x14ac:dyDescent="0.25">
      <c r="H152">
        <v>151</v>
      </c>
      <c r="I152">
        <v>36.745011416061061</v>
      </c>
    </row>
    <row r="153" spans="8:9" x14ac:dyDescent="0.25">
      <c r="H153">
        <v>152</v>
      </c>
      <c r="I153">
        <v>43.049081686941136</v>
      </c>
    </row>
    <row r="154" spans="8:9" x14ac:dyDescent="0.25">
      <c r="H154">
        <v>153</v>
      </c>
      <c r="I154">
        <v>47.853441660782195</v>
      </c>
    </row>
    <row r="155" spans="8:9" x14ac:dyDescent="0.25">
      <c r="H155">
        <v>154</v>
      </c>
      <c r="I155">
        <v>50.226573084946168</v>
      </c>
    </row>
    <row r="156" spans="8:9" x14ac:dyDescent="0.25">
      <c r="H156">
        <v>155</v>
      </c>
      <c r="I156">
        <v>49.02992538812839</v>
      </c>
    </row>
    <row r="157" spans="8:9" x14ac:dyDescent="0.25">
      <c r="H157">
        <v>156</v>
      </c>
      <c r="I157">
        <v>32.931278172896711</v>
      </c>
    </row>
    <row r="158" spans="8:9" x14ac:dyDescent="0.25">
      <c r="H158">
        <v>157</v>
      </c>
      <c r="I158">
        <v>48.893700156695367</v>
      </c>
    </row>
    <row r="159" spans="8:9" x14ac:dyDescent="0.25">
      <c r="H159">
        <v>158</v>
      </c>
      <c r="I159">
        <v>40.132971348722386</v>
      </c>
    </row>
    <row r="160" spans="8:9" x14ac:dyDescent="0.25">
      <c r="H160">
        <v>159</v>
      </c>
      <c r="I160">
        <v>49.985816932727516</v>
      </c>
    </row>
    <row r="161" spans="8:9" x14ac:dyDescent="0.25">
      <c r="H161">
        <v>160</v>
      </c>
      <c r="I161">
        <v>46.471221938761126</v>
      </c>
    </row>
    <row r="162" spans="8:9" x14ac:dyDescent="0.25">
      <c r="H162">
        <v>161</v>
      </c>
      <c r="I162">
        <v>39.304384922875983</v>
      </c>
    </row>
    <row r="163" spans="8:9" x14ac:dyDescent="0.25">
      <c r="H163">
        <v>162</v>
      </c>
      <c r="I163">
        <v>49.154605648282256</v>
      </c>
    </row>
    <row r="164" spans="8:9" x14ac:dyDescent="0.25">
      <c r="H164">
        <v>163</v>
      </c>
      <c r="I164">
        <v>48.51027903744663</v>
      </c>
    </row>
    <row r="165" spans="8:9" x14ac:dyDescent="0.25">
      <c r="H165">
        <v>164</v>
      </c>
      <c r="I165">
        <v>40.058179502001209</v>
      </c>
    </row>
    <row r="166" spans="8:9" x14ac:dyDescent="0.25">
      <c r="H166">
        <v>165</v>
      </c>
      <c r="I166">
        <v>51.354152707840548</v>
      </c>
    </row>
    <row r="167" spans="8:9" x14ac:dyDescent="0.25">
      <c r="H167">
        <v>166</v>
      </c>
      <c r="I167">
        <v>43.463731461661709</v>
      </c>
    </row>
    <row r="168" spans="8:9" x14ac:dyDescent="0.25">
      <c r="H168">
        <v>167</v>
      </c>
      <c r="I168">
        <v>35.37032843386605</v>
      </c>
    </row>
    <row r="169" spans="8:9" x14ac:dyDescent="0.25">
      <c r="H169">
        <v>168</v>
      </c>
      <c r="I169">
        <v>48.789948318937846</v>
      </c>
    </row>
    <row r="170" spans="8:9" x14ac:dyDescent="0.25">
      <c r="H170">
        <v>169</v>
      </c>
      <c r="I170">
        <v>49.367302182596703</v>
      </c>
    </row>
    <row r="171" spans="8:9" x14ac:dyDescent="0.25">
      <c r="H171">
        <v>170</v>
      </c>
      <c r="I171">
        <v>43.782821698532501</v>
      </c>
    </row>
    <row r="172" spans="8:9" x14ac:dyDescent="0.25">
      <c r="H172">
        <v>171</v>
      </c>
      <c r="I172">
        <v>33.078285766839969</v>
      </c>
    </row>
    <row r="173" spans="8:9" x14ac:dyDescent="0.25">
      <c r="H173">
        <v>172</v>
      </c>
      <c r="I173">
        <v>36.459570364113098</v>
      </c>
    </row>
    <row r="174" spans="8:9" x14ac:dyDescent="0.25">
      <c r="H174">
        <v>173</v>
      </c>
      <c r="I174">
        <v>46.48880721166033</v>
      </c>
    </row>
    <row r="175" spans="8:9" x14ac:dyDescent="0.25">
      <c r="H175">
        <v>174</v>
      </c>
      <c r="I175">
        <v>27.759730967589789</v>
      </c>
    </row>
    <row r="176" spans="8:9" x14ac:dyDescent="0.25">
      <c r="H176">
        <v>175</v>
      </c>
      <c r="I176">
        <v>48.461202181068479</v>
      </c>
    </row>
    <row r="177" spans="8:9" x14ac:dyDescent="0.25">
      <c r="H177">
        <v>176</v>
      </c>
      <c r="I177">
        <v>39.873198882213707</v>
      </c>
    </row>
    <row r="178" spans="8:9" x14ac:dyDescent="0.25">
      <c r="H178">
        <v>177</v>
      </c>
      <c r="I178">
        <v>44.794818876207756</v>
      </c>
    </row>
    <row r="179" spans="8:9" x14ac:dyDescent="0.25">
      <c r="H179">
        <v>178</v>
      </c>
      <c r="I179">
        <v>49.320115122244964</v>
      </c>
    </row>
    <row r="180" spans="8:9" x14ac:dyDescent="0.25">
      <c r="H180">
        <v>179</v>
      </c>
      <c r="I180">
        <v>33.38279994477022</v>
      </c>
    </row>
    <row r="181" spans="8:9" x14ac:dyDescent="0.25">
      <c r="H181">
        <v>180</v>
      </c>
      <c r="I181">
        <v>39.45036392108382</v>
      </c>
    </row>
    <row r="182" spans="8:9" x14ac:dyDescent="0.25">
      <c r="H182">
        <v>181</v>
      </c>
      <c r="I182">
        <v>37.94606564108534</v>
      </c>
    </row>
    <row r="183" spans="8:9" x14ac:dyDescent="0.25">
      <c r="H183">
        <v>182</v>
      </c>
      <c r="I183">
        <v>43.03090776389994</v>
      </c>
    </row>
    <row r="184" spans="8:9" x14ac:dyDescent="0.25">
      <c r="H184">
        <v>183</v>
      </c>
      <c r="I184">
        <v>30.320398077466997</v>
      </c>
    </row>
    <row r="185" spans="8:9" x14ac:dyDescent="0.25">
      <c r="H185">
        <v>184</v>
      </c>
      <c r="I185">
        <v>49.721402894774549</v>
      </c>
    </row>
    <row r="186" spans="8:9" x14ac:dyDescent="0.25">
      <c r="H186">
        <v>185</v>
      </c>
      <c r="I186">
        <v>49.172704489762509</v>
      </c>
    </row>
    <row r="187" spans="8:9" x14ac:dyDescent="0.25">
      <c r="H187">
        <v>186</v>
      </c>
      <c r="I187">
        <v>44.490405214405278</v>
      </c>
    </row>
    <row r="188" spans="8:9" x14ac:dyDescent="0.25">
      <c r="H188">
        <v>187</v>
      </c>
      <c r="I188">
        <v>39.337621444801563</v>
      </c>
    </row>
    <row r="189" spans="8:9" x14ac:dyDescent="0.25">
      <c r="H189">
        <v>188</v>
      </c>
      <c r="I189">
        <v>45.089379427756256</v>
      </c>
    </row>
    <row r="190" spans="8:9" x14ac:dyDescent="0.25">
      <c r="H190">
        <v>189</v>
      </c>
      <c r="I190">
        <v>42.71138232033006</v>
      </c>
    </row>
    <row r="191" spans="8:9" x14ac:dyDescent="0.25">
      <c r="H191">
        <v>190</v>
      </c>
      <c r="I191">
        <v>48.35239149054842</v>
      </c>
    </row>
    <row r="192" spans="8:9" x14ac:dyDescent="0.25">
      <c r="H192">
        <v>191</v>
      </c>
      <c r="I192">
        <v>47.320531725521711</v>
      </c>
    </row>
    <row r="193" spans="8:9" x14ac:dyDescent="0.25">
      <c r="H193">
        <v>192</v>
      </c>
      <c r="I193">
        <v>49.536133663142373</v>
      </c>
    </row>
    <row r="194" spans="8:9" x14ac:dyDescent="0.25">
      <c r="H194">
        <v>193</v>
      </c>
      <c r="I194">
        <v>48.272717570194288</v>
      </c>
    </row>
    <row r="195" spans="8:9" x14ac:dyDescent="0.25">
      <c r="H195">
        <v>194</v>
      </c>
      <c r="I195">
        <v>38.308822897526085</v>
      </c>
    </row>
    <row r="196" spans="8:9" x14ac:dyDescent="0.25">
      <c r="H196">
        <v>195</v>
      </c>
      <c r="I196">
        <v>32.768650139851978</v>
      </c>
    </row>
    <row r="197" spans="8:9" x14ac:dyDescent="0.25">
      <c r="H197">
        <v>196</v>
      </c>
      <c r="I197">
        <v>44.714792052775806</v>
      </c>
    </row>
    <row r="198" spans="8:9" x14ac:dyDescent="0.25">
      <c r="H198">
        <v>197</v>
      </c>
      <c r="I198">
        <v>49.849705444267705</v>
      </c>
    </row>
    <row r="199" spans="8:9" x14ac:dyDescent="0.25">
      <c r="H199">
        <v>198</v>
      </c>
      <c r="I199">
        <v>43.120581218360137</v>
      </c>
    </row>
    <row r="200" spans="8:9" x14ac:dyDescent="0.25">
      <c r="H200">
        <v>199</v>
      </c>
      <c r="I200">
        <v>45.084961303032543</v>
      </c>
    </row>
    <row r="201" spans="8:9" x14ac:dyDescent="0.25">
      <c r="H201">
        <v>200</v>
      </c>
      <c r="I201">
        <v>43.170209844592343</v>
      </c>
    </row>
    <row r="202" spans="8:9" x14ac:dyDescent="0.25">
      <c r="H202">
        <v>201</v>
      </c>
      <c r="I202">
        <v>44.08650109497502</v>
      </c>
    </row>
    <row r="203" spans="8:9" x14ac:dyDescent="0.25">
      <c r="H203">
        <v>202</v>
      </c>
      <c r="I203">
        <v>28.539425075711065</v>
      </c>
    </row>
    <row r="204" spans="8:9" x14ac:dyDescent="0.25">
      <c r="H204">
        <v>203</v>
      </c>
      <c r="I204">
        <v>30.756455907459788</v>
      </c>
    </row>
    <row r="205" spans="8:9" x14ac:dyDescent="0.25">
      <c r="H205">
        <v>204</v>
      </c>
      <c r="I205">
        <v>45.961295384929912</v>
      </c>
    </row>
    <row r="206" spans="8:9" x14ac:dyDescent="0.25">
      <c r="H206">
        <v>205</v>
      </c>
      <c r="I206">
        <v>44.78361646073256</v>
      </c>
    </row>
    <row r="207" spans="8:9" x14ac:dyDescent="0.25">
      <c r="H207">
        <v>206</v>
      </c>
      <c r="I207">
        <v>50.441003722935434</v>
      </c>
    </row>
    <row r="208" spans="8:9" x14ac:dyDescent="0.25">
      <c r="H208">
        <v>207</v>
      </c>
      <c r="I208">
        <v>44.20011872964875</v>
      </c>
    </row>
    <row r="209" spans="8:9" x14ac:dyDescent="0.25">
      <c r="H209">
        <v>208</v>
      </c>
      <c r="I209">
        <v>44.079047597656121</v>
      </c>
    </row>
    <row r="210" spans="8:9" x14ac:dyDescent="0.25">
      <c r="H210">
        <v>209</v>
      </c>
      <c r="I210">
        <v>44.761194823710163</v>
      </c>
    </row>
    <row r="211" spans="8:9" x14ac:dyDescent="0.25">
      <c r="H211">
        <v>210</v>
      </c>
      <c r="I211">
        <v>49.760214975859654</v>
      </c>
    </row>
    <row r="212" spans="8:9" x14ac:dyDescent="0.25">
      <c r="H212">
        <v>211</v>
      </c>
      <c r="I212">
        <v>49.039274255859048</v>
      </c>
    </row>
    <row r="213" spans="8:9" x14ac:dyDescent="0.25">
      <c r="H213">
        <v>212</v>
      </c>
      <c r="I213">
        <v>44.730176888523587</v>
      </c>
    </row>
    <row r="214" spans="8:9" x14ac:dyDescent="0.25">
      <c r="H214">
        <v>213</v>
      </c>
      <c r="I214">
        <v>44.084854590974565</v>
      </c>
    </row>
    <row r="215" spans="8:9" x14ac:dyDescent="0.25">
      <c r="H215">
        <v>214</v>
      </c>
      <c r="I215">
        <v>45.248165229802545</v>
      </c>
    </row>
    <row r="216" spans="8:9" x14ac:dyDescent="0.25">
      <c r="H216">
        <v>215</v>
      </c>
      <c r="I216">
        <v>47.804640004018928</v>
      </c>
    </row>
    <row r="217" spans="8:9" x14ac:dyDescent="0.25">
      <c r="H217">
        <v>216</v>
      </c>
      <c r="I217">
        <v>32.969859131309448</v>
      </c>
    </row>
    <row r="218" spans="8:9" x14ac:dyDescent="0.25">
      <c r="H218">
        <v>217</v>
      </c>
      <c r="I218">
        <v>44.883671515143007</v>
      </c>
    </row>
    <row r="219" spans="8:9" x14ac:dyDescent="0.25">
      <c r="H219">
        <v>218</v>
      </c>
      <c r="I219">
        <v>51.718444485274482</v>
      </c>
    </row>
    <row r="220" spans="8:9" x14ac:dyDescent="0.25">
      <c r="H220">
        <v>219</v>
      </c>
      <c r="I220">
        <v>50.223473267115992</v>
      </c>
    </row>
    <row r="221" spans="8:9" x14ac:dyDescent="0.25">
      <c r="H221">
        <v>220</v>
      </c>
      <c r="I221">
        <v>45.657870041769769</v>
      </c>
    </row>
    <row r="222" spans="8:9" x14ac:dyDescent="0.25">
      <c r="H222">
        <v>221</v>
      </c>
      <c r="I222">
        <v>50.140350743314542</v>
      </c>
    </row>
    <row r="223" spans="8:9" x14ac:dyDescent="0.25">
      <c r="H223">
        <v>222</v>
      </c>
      <c r="I223">
        <v>47.826027666443096</v>
      </c>
    </row>
    <row r="224" spans="8:9" x14ac:dyDescent="0.25">
      <c r="H224">
        <v>223</v>
      </c>
      <c r="I224">
        <v>42.205633191135036</v>
      </c>
    </row>
    <row r="225" spans="8:9" x14ac:dyDescent="0.25">
      <c r="H225">
        <v>224</v>
      </c>
      <c r="I225">
        <v>37.175308437602894</v>
      </c>
    </row>
    <row r="226" spans="8:9" x14ac:dyDescent="0.25">
      <c r="H226">
        <v>225</v>
      </c>
      <c r="I226">
        <v>50.14948896489561</v>
      </c>
    </row>
    <row r="227" spans="8:9" x14ac:dyDescent="0.25">
      <c r="H227">
        <v>226</v>
      </c>
      <c r="I227">
        <v>51.121998130736714</v>
      </c>
    </row>
    <row r="228" spans="8:9" x14ac:dyDescent="0.25">
      <c r="H228">
        <v>227</v>
      </c>
      <c r="I228">
        <v>48.776204276500955</v>
      </c>
    </row>
    <row r="229" spans="8:9" x14ac:dyDescent="0.25">
      <c r="H229">
        <v>228</v>
      </c>
      <c r="I229">
        <v>49.783831040341298</v>
      </c>
    </row>
    <row r="230" spans="8:9" x14ac:dyDescent="0.25">
      <c r="H230">
        <v>229</v>
      </c>
      <c r="I230">
        <v>45.396064788271687</v>
      </c>
    </row>
    <row r="231" spans="8:9" x14ac:dyDescent="0.25">
      <c r="H231">
        <v>230</v>
      </c>
      <c r="I231">
        <v>34.657831192776186</v>
      </c>
    </row>
    <row r="232" spans="8:9" x14ac:dyDescent="0.25">
      <c r="H232">
        <v>231</v>
      </c>
      <c r="I232">
        <v>47.631998206572575</v>
      </c>
    </row>
    <row r="233" spans="8:9" x14ac:dyDescent="0.25">
      <c r="H233">
        <v>232</v>
      </c>
      <c r="I233">
        <v>48.996311225252285</v>
      </c>
    </row>
    <row r="234" spans="8:9" x14ac:dyDescent="0.25">
      <c r="H234">
        <v>233</v>
      </c>
      <c r="I234">
        <v>42.631036918103298</v>
      </c>
    </row>
    <row r="235" spans="8:9" x14ac:dyDescent="0.25">
      <c r="H235">
        <v>234</v>
      </c>
      <c r="I235">
        <v>29.008351118855892</v>
      </c>
    </row>
    <row r="236" spans="8:9" x14ac:dyDescent="0.25">
      <c r="H236">
        <v>235</v>
      </c>
      <c r="I236">
        <v>42.968142414926163</v>
      </c>
    </row>
    <row r="237" spans="8:9" x14ac:dyDescent="0.25">
      <c r="H237">
        <v>236</v>
      </c>
      <c r="I237">
        <v>49.479222029612671</v>
      </c>
    </row>
    <row r="238" spans="8:9" x14ac:dyDescent="0.25">
      <c r="H238">
        <v>237</v>
      </c>
      <c r="I238">
        <v>47.655965096917761</v>
      </c>
    </row>
    <row r="239" spans="8:9" x14ac:dyDescent="0.25">
      <c r="H239">
        <v>238</v>
      </c>
      <c r="I239">
        <v>44.641981382346117</v>
      </c>
    </row>
    <row r="240" spans="8:9" x14ac:dyDescent="0.25">
      <c r="H240">
        <v>239</v>
      </c>
      <c r="I240">
        <v>47.324124346384465</v>
      </c>
    </row>
    <row r="241" spans="8:9" x14ac:dyDescent="0.25">
      <c r="H241">
        <v>240</v>
      </c>
      <c r="I241">
        <v>37.407677761845008</v>
      </c>
    </row>
    <row r="242" spans="8:9" x14ac:dyDescent="0.25">
      <c r="H242">
        <v>241</v>
      </c>
      <c r="I242">
        <v>50.177883708213095</v>
      </c>
    </row>
    <row r="243" spans="8:9" x14ac:dyDescent="0.25">
      <c r="H243">
        <v>242</v>
      </c>
      <c r="I243">
        <v>48.135028032277795</v>
      </c>
    </row>
    <row r="244" spans="8:9" x14ac:dyDescent="0.25">
      <c r="H244">
        <v>243</v>
      </c>
      <c r="I244">
        <v>45.060854495481031</v>
      </c>
    </row>
    <row r="245" spans="8:9" x14ac:dyDescent="0.25">
      <c r="H245">
        <v>244</v>
      </c>
      <c r="I245">
        <v>33.866383306606849</v>
      </c>
    </row>
    <row r="246" spans="8:9" x14ac:dyDescent="0.25">
      <c r="H246">
        <v>245</v>
      </c>
      <c r="I246">
        <v>40.259051586635252</v>
      </c>
    </row>
    <row r="247" spans="8:9" x14ac:dyDescent="0.25">
      <c r="H247">
        <v>246</v>
      </c>
      <c r="I247">
        <v>43.487376395509237</v>
      </c>
    </row>
    <row r="248" spans="8:9" x14ac:dyDescent="0.25">
      <c r="H248">
        <v>247</v>
      </c>
      <c r="I248">
        <v>45.517375562228963</v>
      </c>
    </row>
    <row r="249" spans="8:9" x14ac:dyDescent="0.25">
      <c r="H249">
        <v>248</v>
      </c>
      <c r="I249">
        <v>50.337033223282646</v>
      </c>
    </row>
    <row r="250" spans="8:9" x14ac:dyDescent="0.25">
      <c r="H250">
        <v>249</v>
      </c>
      <c r="I250">
        <v>46.938182156452584</v>
      </c>
    </row>
    <row r="251" spans="8:9" x14ac:dyDescent="0.25">
      <c r="H251">
        <v>250</v>
      </c>
      <c r="I251">
        <v>44.883951210809101</v>
      </c>
    </row>
    <row r="252" spans="8:9" x14ac:dyDescent="0.25">
      <c r="H252">
        <v>251</v>
      </c>
      <c r="I252">
        <v>39.00762114439712</v>
      </c>
    </row>
    <row r="253" spans="8:9" x14ac:dyDescent="0.25">
      <c r="H253">
        <v>252</v>
      </c>
      <c r="I253">
        <v>40.135012823075044</v>
      </c>
    </row>
    <row r="254" spans="8:9" x14ac:dyDescent="0.25">
      <c r="H254">
        <v>253</v>
      </c>
      <c r="I254">
        <v>47.982397505089104</v>
      </c>
    </row>
    <row r="255" spans="8:9" x14ac:dyDescent="0.25">
      <c r="H255">
        <v>254</v>
      </c>
      <c r="I255">
        <v>42.75850367527871</v>
      </c>
    </row>
    <row r="256" spans="8:9" x14ac:dyDescent="0.25">
      <c r="H256">
        <v>255</v>
      </c>
      <c r="I256">
        <v>51.682283138931453</v>
      </c>
    </row>
    <row r="257" spans="8:9" x14ac:dyDescent="0.25">
      <c r="H257">
        <v>256</v>
      </c>
      <c r="I257">
        <v>48.420150797130844</v>
      </c>
    </row>
    <row r="258" spans="8:9" x14ac:dyDescent="0.25">
      <c r="H258">
        <v>257</v>
      </c>
      <c r="I258">
        <v>40.181332501149114</v>
      </c>
    </row>
    <row r="259" spans="8:9" x14ac:dyDescent="0.25">
      <c r="H259">
        <v>258</v>
      </c>
      <c r="I259">
        <v>48.552279610463152</v>
      </c>
    </row>
    <row r="260" spans="8:9" x14ac:dyDescent="0.25">
      <c r="H260">
        <v>259</v>
      </c>
      <c r="I260">
        <v>49.789017639344095</v>
      </c>
    </row>
    <row r="261" spans="8:9" x14ac:dyDescent="0.25">
      <c r="H261">
        <v>260</v>
      </c>
      <c r="I261">
        <v>48.770519352945733</v>
      </c>
    </row>
    <row r="262" spans="8:9" x14ac:dyDescent="0.25">
      <c r="H262">
        <v>261</v>
      </c>
      <c r="I262">
        <v>38.78509893889418</v>
      </c>
    </row>
    <row r="263" spans="8:9" x14ac:dyDescent="0.25">
      <c r="H263">
        <v>262</v>
      </c>
      <c r="I263">
        <v>49.321519707295984</v>
      </c>
    </row>
    <row r="264" spans="8:9" x14ac:dyDescent="0.25">
      <c r="H264">
        <v>263</v>
      </c>
      <c r="I264">
        <v>50.497985296038145</v>
      </c>
    </row>
    <row r="265" spans="8:9" x14ac:dyDescent="0.25">
      <c r="H265">
        <v>264</v>
      </c>
      <c r="I265">
        <v>49.899239768391404</v>
      </c>
    </row>
    <row r="266" spans="8:9" x14ac:dyDescent="0.25">
      <c r="H266">
        <v>265</v>
      </c>
      <c r="I266">
        <v>48.303742678131677</v>
      </c>
    </row>
    <row r="267" spans="8:9" x14ac:dyDescent="0.25">
      <c r="H267">
        <v>266</v>
      </c>
      <c r="I267">
        <v>34.472163641591891</v>
      </c>
    </row>
    <row r="268" spans="8:9" x14ac:dyDescent="0.25">
      <c r="H268">
        <v>267</v>
      </c>
      <c r="I268">
        <v>48.645658926390126</v>
      </c>
    </row>
    <row r="269" spans="8:9" x14ac:dyDescent="0.25">
      <c r="H269">
        <v>268</v>
      </c>
      <c r="I269">
        <v>50.212822684061663</v>
      </c>
    </row>
    <row r="270" spans="8:9" x14ac:dyDescent="0.25">
      <c r="H270">
        <v>269</v>
      </c>
      <c r="I270">
        <v>44.688789482548977</v>
      </c>
    </row>
    <row r="271" spans="8:9" x14ac:dyDescent="0.25">
      <c r="H271">
        <v>270</v>
      </c>
      <c r="I271">
        <v>36.744447633989083</v>
      </c>
    </row>
    <row r="272" spans="8:9" x14ac:dyDescent="0.25">
      <c r="H272">
        <v>271</v>
      </c>
      <c r="I272">
        <v>34.628289730597885</v>
      </c>
    </row>
    <row r="273" spans="8:9" x14ac:dyDescent="0.25">
      <c r="H273">
        <v>272</v>
      </c>
      <c r="I273">
        <v>52.299448435847481</v>
      </c>
    </row>
    <row r="274" spans="8:9" x14ac:dyDescent="0.25">
      <c r="H274">
        <v>273</v>
      </c>
      <c r="I274">
        <v>34.964080378522937</v>
      </c>
    </row>
    <row r="275" spans="8:9" x14ac:dyDescent="0.25">
      <c r="H275">
        <v>274</v>
      </c>
      <c r="I275">
        <v>47.556428267360772</v>
      </c>
    </row>
    <row r="276" spans="8:9" x14ac:dyDescent="0.25">
      <c r="H276">
        <v>275</v>
      </c>
      <c r="I276">
        <v>49.178139627577067</v>
      </c>
    </row>
    <row r="277" spans="8:9" x14ac:dyDescent="0.25">
      <c r="H277">
        <v>276</v>
      </c>
      <c r="I277">
        <v>40.485798223734349</v>
      </c>
    </row>
    <row r="278" spans="8:9" x14ac:dyDescent="0.25">
      <c r="H278">
        <v>277</v>
      </c>
      <c r="I278">
        <v>45.448152766076319</v>
      </c>
    </row>
    <row r="279" spans="8:9" x14ac:dyDescent="0.25">
      <c r="H279">
        <v>278</v>
      </c>
      <c r="I279">
        <v>44.385247172317008</v>
      </c>
    </row>
    <row r="280" spans="8:9" x14ac:dyDescent="0.25">
      <c r="H280">
        <v>279</v>
      </c>
      <c r="I280">
        <v>42.587359135307636</v>
      </c>
    </row>
    <row r="281" spans="8:9" x14ac:dyDescent="0.25">
      <c r="H281">
        <v>280</v>
      </c>
      <c r="I281">
        <v>48.973884243025381</v>
      </c>
    </row>
    <row r="282" spans="8:9" x14ac:dyDescent="0.25">
      <c r="H282">
        <v>281</v>
      </c>
      <c r="I282">
        <v>43.147930462035291</v>
      </c>
    </row>
    <row r="283" spans="8:9" x14ac:dyDescent="0.25">
      <c r="H283">
        <v>282</v>
      </c>
      <c r="I283">
        <v>49.386622236261594</v>
      </c>
    </row>
    <row r="284" spans="8:9" x14ac:dyDescent="0.25">
      <c r="H284">
        <v>283</v>
      </c>
      <c r="I284">
        <v>44.140190877269731</v>
      </c>
    </row>
    <row r="285" spans="8:9" x14ac:dyDescent="0.25">
      <c r="H285">
        <v>284</v>
      </c>
      <c r="I285">
        <v>47.79823308948712</v>
      </c>
    </row>
    <row r="286" spans="8:9" x14ac:dyDescent="0.25">
      <c r="H286">
        <v>285</v>
      </c>
      <c r="I286">
        <v>43.24733052844865</v>
      </c>
    </row>
    <row r="287" spans="8:9" x14ac:dyDescent="0.25">
      <c r="H287">
        <v>286</v>
      </c>
      <c r="I287">
        <v>50.540667823965762</v>
      </c>
    </row>
    <row r="288" spans="8:9" x14ac:dyDescent="0.25">
      <c r="H288">
        <v>287</v>
      </c>
      <c r="I288">
        <v>41.116261571345831</v>
      </c>
    </row>
    <row r="289" spans="8:9" x14ac:dyDescent="0.25">
      <c r="H289">
        <v>288</v>
      </c>
      <c r="I289">
        <v>50.222786307117993</v>
      </c>
    </row>
    <row r="290" spans="8:9" x14ac:dyDescent="0.25">
      <c r="H290">
        <v>289</v>
      </c>
      <c r="I290">
        <v>47.117835913746248</v>
      </c>
    </row>
    <row r="291" spans="8:9" x14ac:dyDescent="0.25">
      <c r="H291">
        <v>290</v>
      </c>
      <c r="I291">
        <v>46.751901752066381</v>
      </c>
    </row>
    <row r="292" spans="8:9" x14ac:dyDescent="0.25">
      <c r="H292">
        <v>291</v>
      </c>
      <c r="I292">
        <v>50.6883696813901</v>
      </c>
    </row>
    <row r="293" spans="8:9" x14ac:dyDescent="0.25">
      <c r="H293">
        <v>292</v>
      </c>
      <c r="I293">
        <v>38.544970916893853</v>
      </c>
    </row>
    <row r="294" spans="8:9" x14ac:dyDescent="0.25">
      <c r="H294">
        <v>293</v>
      </c>
      <c r="I294">
        <v>39.443146906745078</v>
      </c>
    </row>
    <row r="295" spans="8:9" x14ac:dyDescent="0.25">
      <c r="H295">
        <v>294</v>
      </c>
      <c r="I295">
        <v>38.250995814205112</v>
      </c>
    </row>
    <row r="296" spans="8:9" x14ac:dyDescent="0.25">
      <c r="H296">
        <v>295</v>
      </c>
      <c r="I296">
        <v>39.06884070329675</v>
      </c>
    </row>
    <row r="297" spans="8:9" x14ac:dyDescent="0.25">
      <c r="H297">
        <v>296</v>
      </c>
      <c r="I297">
        <v>49.94395373711253</v>
      </c>
    </row>
    <row r="298" spans="8:9" x14ac:dyDescent="0.25">
      <c r="H298">
        <v>297</v>
      </c>
      <c r="I298">
        <v>48.923410756472322</v>
      </c>
    </row>
    <row r="299" spans="8:9" x14ac:dyDescent="0.25">
      <c r="H299">
        <v>298</v>
      </c>
      <c r="I299">
        <v>43.310190029301694</v>
      </c>
    </row>
    <row r="300" spans="8:9" x14ac:dyDescent="0.25">
      <c r="H300">
        <v>299</v>
      </c>
      <c r="I300">
        <v>39.605105952407101</v>
      </c>
    </row>
    <row r="301" spans="8:9" x14ac:dyDescent="0.25">
      <c r="H301">
        <v>300</v>
      </c>
      <c r="I301">
        <v>39.142958947028305</v>
      </c>
    </row>
    <row r="302" spans="8:9" x14ac:dyDescent="0.25">
      <c r="H302">
        <v>301</v>
      </c>
      <c r="I302">
        <v>42.178724750348735</v>
      </c>
    </row>
    <row r="303" spans="8:9" x14ac:dyDescent="0.25">
      <c r="H303">
        <v>302</v>
      </c>
      <c r="I303">
        <v>34.20588596558401</v>
      </c>
    </row>
    <row r="304" spans="8:9" x14ac:dyDescent="0.25">
      <c r="H304">
        <v>303</v>
      </c>
      <c r="I304">
        <v>33.227742498527071</v>
      </c>
    </row>
    <row r="305" spans="8:9" x14ac:dyDescent="0.25">
      <c r="H305">
        <v>304</v>
      </c>
      <c r="I305">
        <v>47.215950563121503</v>
      </c>
    </row>
    <row r="306" spans="8:9" x14ac:dyDescent="0.25">
      <c r="H306">
        <v>305</v>
      </c>
      <c r="I306">
        <v>45.636336600841091</v>
      </c>
    </row>
    <row r="307" spans="8:9" x14ac:dyDescent="0.25">
      <c r="H307">
        <v>306</v>
      </c>
      <c r="I307">
        <v>41.052380484801859</v>
      </c>
    </row>
    <row r="308" spans="8:9" x14ac:dyDescent="0.25">
      <c r="H308">
        <v>307</v>
      </c>
      <c r="I308">
        <v>36.336685955076206</v>
      </c>
    </row>
    <row r="309" spans="8:9" x14ac:dyDescent="0.25">
      <c r="H309">
        <v>308</v>
      </c>
      <c r="I309">
        <v>48.766369900403674</v>
      </c>
    </row>
    <row r="310" spans="8:9" x14ac:dyDescent="0.25">
      <c r="H310">
        <v>309</v>
      </c>
      <c r="I310">
        <v>44.719323885970837</v>
      </c>
    </row>
    <row r="311" spans="8:9" x14ac:dyDescent="0.25">
      <c r="H311">
        <v>310</v>
      </c>
      <c r="I311">
        <v>48.458054148727697</v>
      </c>
    </row>
    <row r="312" spans="8:9" x14ac:dyDescent="0.25">
      <c r="H312">
        <v>311</v>
      </c>
      <c r="I312">
        <v>43.789919013653261</v>
      </c>
    </row>
    <row r="313" spans="8:9" x14ac:dyDescent="0.25">
      <c r="H313">
        <v>312</v>
      </c>
      <c r="I313">
        <v>38.617549311903595</v>
      </c>
    </row>
    <row r="314" spans="8:9" x14ac:dyDescent="0.25">
      <c r="H314">
        <v>313</v>
      </c>
      <c r="I314">
        <v>43.53482034794893</v>
      </c>
    </row>
    <row r="315" spans="8:9" x14ac:dyDescent="0.25">
      <c r="H315">
        <v>314</v>
      </c>
      <c r="I315">
        <v>48.954944105484543</v>
      </c>
    </row>
    <row r="316" spans="8:9" x14ac:dyDescent="0.25">
      <c r="H316">
        <v>315</v>
      </c>
      <c r="I316">
        <v>47.784181248861572</v>
      </c>
    </row>
    <row r="317" spans="8:9" x14ac:dyDescent="0.25">
      <c r="H317">
        <v>316</v>
      </c>
      <c r="I317">
        <v>39.625228066102942</v>
      </c>
    </row>
    <row r="318" spans="8:9" x14ac:dyDescent="0.25">
      <c r="H318">
        <v>317</v>
      </c>
      <c r="I318">
        <v>47.75050521313667</v>
      </c>
    </row>
    <row r="319" spans="8:9" x14ac:dyDescent="0.25">
      <c r="H319">
        <v>318</v>
      </c>
      <c r="I319">
        <v>40.278388633176199</v>
      </c>
    </row>
    <row r="320" spans="8:9" x14ac:dyDescent="0.25">
      <c r="H320">
        <v>319</v>
      </c>
      <c r="I320">
        <v>40.15283400615872</v>
      </c>
    </row>
    <row r="321" spans="8:9" x14ac:dyDescent="0.25">
      <c r="H321">
        <v>320</v>
      </c>
      <c r="I321">
        <v>32.495344201587933</v>
      </c>
    </row>
    <row r="322" spans="8:9" x14ac:dyDescent="0.25">
      <c r="H322">
        <v>321</v>
      </c>
      <c r="I322">
        <v>48.171208636147782</v>
      </c>
    </row>
    <row r="323" spans="8:9" x14ac:dyDescent="0.25">
      <c r="H323">
        <v>322</v>
      </c>
      <c r="I323">
        <v>49.972803075690628</v>
      </c>
    </row>
    <row r="324" spans="8:9" x14ac:dyDescent="0.25">
      <c r="H324">
        <v>323</v>
      </c>
      <c r="I324">
        <v>43.931173862745219</v>
      </c>
    </row>
    <row r="325" spans="8:9" x14ac:dyDescent="0.25">
      <c r="H325">
        <v>324</v>
      </c>
      <c r="I325">
        <v>48.635331550378041</v>
      </c>
    </row>
    <row r="326" spans="8:9" x14ac:dyDescent="0.25">
      <c r="H326">
        <v>325</v>
      </c>
      <c r="I326">
        <v>36.218655893281841</v>
      </c>
    </row>
    <row r="327" spans="8:9" x14ac:dyDescent="0.25">
      <c r="H327">
        <v>326</v>
      </c>
      <c r="I327">
        <v>48.771768517483949</v>
      </c>
    </row>
    <row r="328" spans="8:9" x14ac:dyDescent="0.25">
      <c r="H328">
        <v>327</v>
      </c>
      <c r="I328">
        <v>41.036393541187017</v>
      </c>
    </row>
    <row r="329" spans="8:9" x14ac:dyDescent="0.25">
      <c r="H329">
        <v>328</v>
      </c>
      <c r="I329">
        <v>46.67773665292134</v>
      </c>
    </row>
    <row r="330" spans="8:9" x14ac:dyDescent="0.25">
      <c r="H330">
        <v>329</v>
      </c>
      <c r="I330">
        <v>41.544256383321034</v>
      </c>
    </row>
    <row r="331" spans="8:9" x14ac:dyDescent="0.25">
      <c r="H331">
        <v>330</v>
      </c>
      <c r="I331">
        <v>50.275330360477589</v>
      </c>
    </row>
    <row r="332" spans="8:9" x14ac:dyDescent="0.25">
      <c r="H332">
        <v>331</v>
      </c>
      <c r="I332">
        <v>48.353165069579909</v>
      </c>
    </row>
    <row r="333" spans="8:9" x14ac:dyDescent="0.25">
      <c r="H333">
        <v>332</v>
      </c>
      <c r="I333">
        <v>49.513570970895444</v>
      </c>
    </row>
    <row r="334" spans="8:9" x14ac:dyDescent="0.25">
      <c r="H334">
        <v>333</v>
      </c>
      <c r="I334">
        <v>49.324464921721827</v>
      </c>
    </row>
    <row r="335" spans="8:9" x14ac:dyDescent="0.25">
      <c r="H335">
        <v>334</v>
      </c>
      <c r="I335">
        <v>49.308654191392272</v>
      </c>
    </row>
    <row r="336" spans="8:9" x14ac:dyDescent="0.25">
      <c r="H336">
        <v>335</v>
      </c>
      <c r="I336">
        <v>32.638847850043568</v>
      </c>
    </row>
    <row r="337" spans="8:9" x14ac:dyDescent="0.25">
      <c r="H337">
        <v>336</v>
      </c>
      <c r="I337">
        <v>28.789040164423799</v>
      </c>
    </row>
    <row r="338" spans="8:9" x14ac:dyDescent="0.25">
      <c r="H338">
        <v>337</v>
      </c>
      <c r="I338">
        <v>28.607238885582809</v>
      </c>
    </row>
    <row r="339" spans="8:9" x14ac:dyDescent="0.25">
      <c r="H339">
        <v>338</v>
      </c>
      <c r="I339">
        <v>38.017237471639483</v>
      </c>
    </row>
    <row r="340" spans="8:9" x14ac:dyDescent="0.25">
      <c r="H340">
        <v>339</v>
      </c>
      <c r="I340">
        <v>45.140803031276917</v>
      </c>
    </row>
    <row r="341" spans="8:9" x14ac:dyDescent="0.25">
      <c r="H341">
        <v>340</v>
      </c>
      <c r="I341">
        <v>42.580907311743616</v>
      </c>
    </row>
    <row r="342" spans="8:9" x14ac:dyDescent="0.25">
      <c r="H342">
        <v>341</v>
      </c>
      <c r="I342">
        <v>45.703117699523617</v>
      </c>
    </row>
    <row r="343" spans="8:9" x14ac:dyDescent="0.25">
      <c r="H343">
        <v>342</v>
      </c>
      <c r="I343">
        <v>46.406908357641278</v>
      </c>
    </row>
    <row r="344" spans="8:9" x14ac:dyDescent="0.25">
      <c r="H344">
        <v>343</v>
      </c>
      <c r="I344">
        <v>43.229132252715864</v>
      </c>
    </row>
    <row r="345" spans="8:9" x14ac:dyDescent="0.25">
      <c r="H345">
        <v>344</v>
      </c>
      <c r="I345">
        <v>44.507719618547902</v>
      </c>
    </row>
    <row r="346" spans="8:9" x14ac:dyDescent="0.25">
      <c r="H346">
        <v>345</v>
      </c>
      <c r="I346">
        <v>49.366121077949508</v>
      </c>
    </row>
    <row r="347" spans="8:9" x14ac:dyDescent="0.25">
      <c r="H347">
        <v>346</v>
      </c>
      <c r="I347">
        <v>49.070009616609461</v>
      </c>
    </row>
    <row r="348" spans="8:9" x14ac:dyDescent="0.25">
      <c r="H348">
        <v>347</v>
      </c>
      <c r="I348">
        <v>44.178864999582046</v>
      </c>
    </row>
    <row r="349" spans="8:9" x14ac:dyDescent="0.25">
      <c r="H349">
        <v>348</v>
      </c>
      <c r="I349">
        <v>50.016069270450728</v>
      </c>
    </row>
    <row r="350" spans="8:9" x14ac:dyDescent="0.25">
      <c r="H350">
        <v>349</v>
      </c>
      <c r="I350">
        <v>40.158018700010935</v>
      </c>
    </row>
    <row r="351" spans="8:9" x14ac:dyDescent="0.25">
      <c r="H351">
        <v>350</v>
      </c>
      <c r="I351">
        <v>48.693503461887467</v>
      </c>
    </row>
    <row r="352" spans="8:9" x14ac:dyDescent="0.25">
      <c r="H352">
        <v>351</v>
      </c>
      <c r="I352">
        <v>48.696422054531844</v>
      </c>
    </row>
    <row r="353" spans="8:9" x14ac:dyDescent="0.25">
      <c r="H353">
        <v>352</v>
      </c>
      <c r="I353">
        <v>40.910878202110069</v>
      </c>
    </row>
    <row r="354" spans="8:9" x14ac:dyDescent="0.25">
      <c r="H354">
        <v>353</v>
      </c>
      <c r="I354">
        <v>38.02460815459294</v>
      </c>
    </row>
    <row r="355" spans="8:9" x14ac:dyDescent="0.25">
      <c r="H355">
        <v>354</v>
      </c>
      <c r="I355">
        <v>48.836976145877998</v>
      </c>
    </row>
    <row r="356" spans="8:9" x14ac:dyDescent="0.25">
      <c r="H356">
        <v>355</v>
      </c>
      <c r="I356">
        <v>49.852959332968688</v>
      </c>
    </row>
    <row r="357" spans="8:9" x14ac:dyDescent="0.25">
      <c r="H357">
        <v>356</v>
      </c>
      <c r="I357">
        <v>48.787385752372749</v>
      </c>
    </row>
    <row r="358" spans="8:9" x14ac:dyDescent="0.25">
      <c r="H358">
        <v>357</v>
      </c>
      <c r="I358">
        <v>38.820413916926491</v>
      </c>
    </row>
    <row r="359" spans="8:9" x14ac:dyDescent="0.25">
      <c r="H359">
        <v>358</v>
      </c>
      <c r="I359">
        <v>50.78462405412035</v>
      </c>
    </row>
    <row r="360" spans="8:9" x14ac:dyDescent="0.25">
      <c r="H360">
        <v>359</v>
      </c>
      <c r="I360">
        <v>49.337191039658684</v>
      </c>
    </row>
    <row r="361" spans="8:9" x14ac:dyDescent="0.25">
      <c r="H361">
        <v>360</v>
      </c>
      <c r="I361">
        <v>40.004030458129492</v>
      </c>
    </row>
    <row r="362" spans="8:9" x14ac:dyDescent="0.25">
      <c r="H362">
        <v>361</v>
      </c>
      <c r="I362">
        <v>44.37466761557954</v>
      </c>
    </row>
    <row r="363" spans="8:9" x14ac:dyDescent="0.25">
      <c r="H363">
        <v>362</v>
      </c>
      <c r="I363">
        <v>49.839106787133417</v>
      </c>
    </row>
    <row r="364" spans="8:9" x14ac:dyDescent="0.25">
      <c r="H364">
        <v>363</v>
      </c>
      <c r="I364">
        <v>50.590019263194698</v>
      </c>
    </row>
    <row r="365" spans="8:9" x14ac:dyDescent="0.25">
      <c r="H365">
        <v>364</v>
      </c>
      <c r="I365">
        <v>45.874460085575713</v>
      </c>
    </row>
    <row r="366" spans="8:9" x14ac:dyDescent="0.25">
      <c r="H366">
        <v>365</v>
      </c>
      <c r="I366">
        <v>49.86200364315242</v>
      </c>
    </row>
    <row r="367" spans="8:9" x14ac:dyDescent="0.25">
      <c r="H367">
        <v>366</v>
      </c>
      <c r="I367">
        <v>38.315064024035365</v>
      </c>
    </row>
    <row r="368" spans="8:9" x14ac:dyDescent="0.25">
      <c r="H368">
        <v>367</v>
      </c>
      <c r="I368">
        <v>50.012726678436501</v>
      </c>
    </row>
    <row r="369" spans="8:9" x14ac:dyDescent="0.25">
      <c r="H369">
        <v>368</v>
      </c>
      <c r="I369">
        <v>48.960518134131959</v>
      </c>
    </row>
    <row r="370" spans="8:9" x14ac:dyDescent="0.25">
      <c r="H370">
        <v>369</v>
      </c>
      <c r="I370">
        <v>51.333670116909317</v>
      </c>
    </row>
    <row r="371" spans="8:9" x14ac:dyDescent="0.25">
      <c r="H371">
        <v>370</v>
      </c>
      <c r="I371">
        <v>49.406339699741849</v>
      </c>
    </row>
    <row r="372" spans="8:9" x14ac:dyDescent="0.25">
      <c r="H372">
        <v>371</v>
      </c>
      <c r="I372">
        <v>50.192594786088797</v>
      </c>
    </row>
    <row r="373" spans="8:9" x14ac:dyDescent="0.25">
      <c r="H373">
        <v>372</v>
      </c>
      <c r="I373">
        <v>50.231553932293806</v>
      </c>
    </row>
    <row r="374" spans="8:9" x14ac:dyDescent="0.25">
      <c r="H374">
        <v>373</v>
      </c>
      <c r="I374">
        <v>48.466237196919622</v>
      </c>
    </row>
    <row r="375" spans="8:9" x14ac:dyDescent="0.25">
      <c r="H375">
        <v>374</v>
      </c>
      <c r="I375">
        <v>45.414416660067445</v>
      </c>
    </row>
    <row r="376" spans="8:9" x14ac:dyDescent="0.25">
      <c r="H376">
        <v>375</v>
      </c>
      <c r="I376">
        <v>50.911750899569185</v>
      </c>
    </row>
    <row r="377" spans="8:9" x14ac:dyDescent="0.25">
      <c r="H377">
        <v>376</v>
      </c>
      <c r="I377">
        <v>50.15462477597822</v>
      </c>
    </row>
    <row r="378" spans="8:9" x14ac:dyDescent="0.25">
      <c r="H378">
        <v>377</v>
      </c>
      <c r="I378">
        <v>40.900759269062839</v>
      </c>
    </row>
    <row r="379" spans="8:9" x14ac:dyDescent="0.25">
      <c r="H379">
        <v>378</v>
      </c>
      <c r="I379">
        <v>50.217812485731294</v>
      </c>
    </row>
    <row r="380" spans="8:9" x14ac:dyDescent="0.25">
      <c r="H380">
        <v>379</v>
      </c>
      <c r="I380">
        <v>43.632143605145885</v>
      </c>
    </row>
    <row r="381" spans="8:9" x14ac:dyDescent="0.25">
      <c r="H381">
        <v>380</v>
      </c>
      <c r="I381">
        <v>41.01298089478167</v>
      </c>
    </row>
    <row r="382" spans="8:9" x14ac:dyDescent="0.25">
      <c r="H382">
        <v>381</v>
      </c>
      <c r="I382">
        <v>49.447892982008234</v>
      </c>
    </row>
    <row r="383" spans="8:9" x14ac:dyDescent="0.25">
      <c r="H383">
        <v>382</v>
      </c>
      <c r="I383">
        <v>38.22575098637892</v>
      </c>
    </row>
    <row r="384" spans="8:9" x14ac:dyDescent="0.25">
      <c r="H384">
        <v>383</v>
      </c>
      <c r="I384">
        <v>48.93444313182848</v>
      </c>
    </row>
    <row r="385" spans="8:9" x14ac:dyDescent="0.25">
      <c r="H385">
        <v>384</v>
      </c>
      <c r="I385">
        <v>43.52167096835354</v>
      </c>
    </row>
    <row r="386" spans="8:9" x14ac:dyDescent="0.25">
      <c r="H386">
        <v>385</v>
      </c>
      <c r="I386">
        <v>33.084020207203665</v>
      </c>
    </row>
    <row r="387" spans="8:9" x14ac:dyDescent="0.25">
      <c r="H387">
        <v>386</v>
      </c>
      <c r="I387">
        <v>49.084540832022618</v>
      </c>
    </row>
    <row r="388" spans="8:9" x14ac:dyDescent="0.25">
      <c r="H388">
        <v>387</v>
      </c>
      <c r="I388">
        <v>45.347154209685947</v>
      </c>
    </row>
    <row r="389" spans="8:9" x14ac:dyDescent="0.25">
      <c r="H389">
        <v>388</v>
      </c>
      <c r="I389">
        <v>35.955309051757268</v>
      </c>
    </row>
    <row r="390" spans="8:9" x14ac:dyDescent="0.25">
      <c r="H390">
        <v>389</v>
      </c>
      <c r="I390">
        <v>49.717829365270255</v>
      </c>
    </row>
    <row r="391" spans="8:9" x14ac:dyDescent="0.25">
      <c r="H391">
        <v>390</v>
      </c>
      <c r="I391">
        <v>50.302722925404112</v>
      </c>
    </row>
    <row r="392" spans="8:9" x14ac:dyDescent="0.25">
      <c r="H392">
        <v>391</v>
      </c>
      <c r="I392">
        <v>47.977781348749161</v>
      </c>
    </row>
    <row r="393" spans="8:9" x14ac:dyDescent="0.25">
      <c r="H393">
        <v>392</v>
      </c>
      <c r="I393">
        <v>48.510905385695345</v>
      </c>
    </row>
    <row r="394" spans="8:9" x14ac:dyDescent="0.25">
      <c r="H394">
        <v>393</v>
      </c>
      <c r="I394">
        <v>38.874562398308832</v>
      </c>
    </row>
    <row r="395" spans="8:9" x14ac:dyDescent="0.25">
      <c r="H395">
        <v>394</v>
      </c>
      <c r="I395">
        <v>37.77055342241912</v>
      </c>
    </row>
    <row r="396" spans="8:9" x14ac:dyDescent="0.25">
      <c r="H396">
        <v>395</v>
      </c>
      <c r="I396">
        <v>52.052205609141708</v>
      </c>
    </row>
    <row r="397" spans="8:9" x14ac:dyDescent="0.25">
      <c r="H397">
        <v>396</v>
      </c>
      <c r="I397">
        <v>47.786961973711222</v>
      </c>
    </row>
    <row r="398" spans="8:9" x14ac:dyDescent="0.25">
      <c r="H398">
        <v>397</v>
      </c>
      <c r="I398">
        <v>47.325812469695812</v>
      </c>
    </row>
    <row r="399" spans="8:9" x14ac:dyDescent="0.25">
      <c r="H399">
        <v>398</v>
      </c>
      <c r="I399">
        <v>46.08585259850399</v>
      </c>
    </row>
    <row r="400" spans="8:9" x14ac:dyDescent="0.25">
      <c r="H400">
        <v>399</v>
      </c>
      <c r="I400">
        <v>34.347105077397011</v>
      </c>
    </row>
    <row r="401" spans="8:9" x14ac:dyDescent="0.25">
      <c r="H401">
        <v>400</v>
      </c>
      <c r="I401">
        <v>44.657082725344878</v>
      </c>
    </row>
    <row r="402" spans="8:9" x14ac:dyDescent="0.25">
      <c r="H402">
        <v>401</v>
      </c>
      <c r="I402">
        <v>37.688079427780366</v>
      </c>
    </row>
    <row r="403" spans="8:9" x14ac:dyDescent="0.25">
      <c r="H403">
        <v>402</v>
      </c>
      <c r="I403">
        <v>49.246398936692863</v>
      </c>
    </row>
    <row r="404" spans="8:9" x14ac:dyDescent="0.25">
      <c r="H404">
        <v>403</v>
      </c>
      <c r="I404">
        <v>32.204370240682579</v>
      </c>
    </row>
    <row r="405" spans="8:9" x14ac:dyDescent="0.25">
      <c r="H405">
        <v>404</v>
      </c>
      <c r="I405">
        <v>39.808320915572786</v>
      </c>
    </row>
    <row r="406" spans="8:9" x14ac:dyDescent="0.25">
      <c r="H406">
        <v>405</v>
      </c>
      <c r="I406">
        <v>39.316027619752902</v>
      </c>
    </row>
    <row r="407" spans="8:9" x14ac:dyDescent="0.25">
      <c r="H407">
        <v>406</v>
      </c>
      <c r="I407">
        <v>42.587887373950956</v>
      </c>
    </row>
    <row r="408" spans="8:9" x14ac:dyDescent="0.25">
      <c r="H408">
        <v>407</v>
      </c>
      <c r="I408">
        <v>40.414171700252965</v>
      </c>
    </row>
    <row r="409" spans="8:9" x14ac:dyDescent="0.25">
      <c r="H409">
        <v>408</v>
      </c>
      <c r="I409">
        <v>36.306541692191274</v>
      </c>
    </row>
    <row r="410" spans="8:9" x14ac:dyDescent="0.25">
      <c r="H410">
        <v>409</v>
      </c>
      <c r="I410">
        <v>46.887409394160166</v>
      </c>
    </row>
    <row r="411" spans="8:9" x14ac:dyDescent="0.25">
      <c r="H411">
        <v>410</v>
      </c>
      <c r="I411">
        <v>44.910444648197725</v>
      </c>
    </row>
    <row r="412" spans="8:9" x14ac:dyDescent="0.25">
      <c r="H412">
        <v>411</v>
      </c>
      <c r="I412">
        <v>42.742136514316854</v>
      </c>
    </row>
    <row r="413" spans="8:9" x14ac:dyDescent="0.25">
      <c r="H413">
        <v>412</v>
      </c>
      <c r="I413">
        <v>35.166866327702984</v>
      </c>
    </row>
    <row r="414" spans="8:9" x14ac:dyDescent="0.25">
      <c r="H414">
        <v>413</v>
      </c>
      <c r="I414">
        <v>32.468973774562158</v>
      </c>
    </row>
    <row r="415" spans="8:9" x14ac:dyDescent="0.25">
      <c r="H415">
        <v>414</v>
      </c>
      <c r="I415">
        <v>51.127165741651908</v>
      </c>
    </row>
    <row r="416" spans="8:9" x14ac:dyDescent="0.25">
      <c r="H416">
        <v>415</v>
      </c>
      <c r="I416">
        <v>41.807095194420405</v>
      </c>
    </row>
    <row r="417" spans="8:9" x14ac:dyDescent="0.25">
      <c r="H417">
        <v>416</v>
      </c>
      <c r="I417">
        <v>49.668260613239035</v>
      </c>
    </row>
    <row r="418" spans="8:9" x14ac:dyDescent="0.25">
      <c r="H418">
        <v>417</v>
      </c>
      <c r="I418">
        <v>47.138913072623794</v>
      </c>
    </row>
    <row r="419" spans="8:9" x14ac:dyDescent="0.25">
      <c r="H419">
        <v>418</v>
      </c>
      <c r="I419">
        <v>44.841070605376565</v>
      </c>
    </row>
    <row r="420" spans="8:9" x14ac:dyDescent="0.25">
      <c r="H420">
        <v>419</v>
      </c>
      <c r="I420">
        <v>48.857711690537009</v>
      </c>
    </row>
    <row r="421" spans="8:9" x14ac:dyDescent="0.25">
      <c r="H421">
        <v>420</v>
      </c>
      <c r="I421">
        <v>38.689976829590428</v>
      </c>
    </row>
    <row r="422" spans="8:9" x14ac:dyDescent="0.25">
      <c r="H422">
        <v>421</v>
      </c>
      <c r="I422">
        <v>46.120710624964254</v>
      </c>
    </row>
    <row r="423" spans="8:9" x14ac:dyDescent="0.25">
      <c r="H423">
        <v>422</v>
      </c>
      <c r="I423">
        <v>39.437446156746056</v>
      </c>
    </row>
    <row r="424" spans="8:9" x14ac:dyDescent="0.25">
      <c r="H424">
        <v>423</v>
      </c>
      <c r="I424">
        <v>38.017822860646802</v>
      </c>
    </row>
    <row r="425" spans="8:9" x14ac:dyDescent="0.25">
      <c r="H425">
        <v>424</v>
      </c>
      <c r="I425">
        <v>43.263969838724321</v>
      </c>
    </row>
    <row r="426" spans="8:9" x14ac:dyDescent="0.25">
      <c r="H426">
        <v>425</v>
      </c>
      <c r="I426">
        <v>48.584413850368357</v>
      </c>
    </row>
    <row r="427" spans="8:9" x14ac:dyDescent="0.25">
      <c r="H427">
        <v>426</v>
      </c>
      <c r="I427">
        <v>43.30201749516511</v>
      </c>
    </row>
    <row r="428" spans="8:9" x14ac:dyDescent="0.25">
      <c r="H428">
        <v>427</v>
      </c>
      <c r="I428">
        <v>49.248927963702322</v>
      </c>
    </row>
    <row r="429" spans="8:9" x14ac:dyDescent="0.25">
      <c r="H429">
        <v>428</v>
      </c>
      <c r="I429">
        <v>37.156734083292875</v>
      </c>
    </row>
    <row r="430" spans="8:9" x14ac:dyDescent="0.25">
      <c r="H430">
        <v>429</v>
      </c>
      <c r="I430">
        <v>50.035820334404235</v>
      </c>
    </row>
    <row r="431" spans="8:9" x14ac:dyDescent="0.25">
      <c r="H431">
        <v>430</v>
      </c>
      <c r="I431">
        <v>43.993078752774636</v>
      </c>
    </row>
    <row r="432" spans="8:9" x14ac:dyDescent="0.25">
      <c r="H432">
        <v>431</v>
      </c>
      <c r="I432">
        <v>47.976351050016085</v>
      </c>
    </row>
    <row r="433" spans="8:9" x14ac:dyDescent="0.25">
      <c r="H433">
        <v>432</v>
      </c>
      <c r="I433">
        <v>42.89646198517525</v>
      </c>
    </row>
    <row r="434" spans="8:9" x14ac:dyDescent="0.25">
      <c r="H434">
        <v>433</v>
      </c>
      <c r="I434">
        <v>39.213067205260444</v>
      </c>
    </row>
    <row r="435" spans="8:9" x14ac:dyDescent="0.25">
      <c r="H435">
        <v>434</v>
      </c>
      <c r="I435">
        <v>48.576489606398653</v>
      </c>
    </row>
    <row r="436" spans="8:9" x14ac:dyDescent="0.25">
      <c r="H436">
        <v>435</v>
      </c>
      <c r="I436">
        <v>50.586578814567325</v>
      </c>
    </row>
    <row r="437" spans="8:9" x14ac:dyDescent="0.25">
      <c r="H437">
        <v>436</v>
      </c>
      <c r="I437">
        <v>49.315731346664201</v>
      </c>
    </row>
    <row r="438" spans="8:9" x14ac:dyDescent="0.25">
      <c r="H438">
        <v>437</v>
      </c>
      <c r="I438">
        <v>43.863547695868029</v>
      </c>
    </row>
    <row r="439" spans="8:9" x14ac:dyDescent="0.25">
      <c r="H439">
        <v>438</v>
      </c>
      <c r="I439">
        <v>48.07085072878435</v>
      </c>
    </row>
    <row r="440" spans="8:9" x14ac:dyDescent="0.25">
      <c r="H440">
        <v>439</v>
      </c>
      <c r="I440">
        <v>48.156842030085834</v>
      </c>
    </row>
    <row r="441" spans="8:9" x14ac:dyDescent="0.25">
      <c r="H441">
        <v>440</v>
      </c>
      <c r="I441">
        <v>50.265292577829904</v>
      </c>
    </row>
    <row r="442" spans="8:9" x14ac:dyDescent="0.25">
      <c r="H442">
        <v>441</v>
      </c>
      <c r="I442">
        <v>41.153813682169776</v>
      </c>
    </row>
    <row r="443" spans="8:9" x14ac:dyDescent="0.25">
      <c r="H443">
        <v>442</v>
      </c>
      <c r="I443">
        <v>43.845567015497075</v>
      </c>
    </row>
    <row r="444" spans="8:9" x14ac:dyDescent="0.25">
      <c r="H444">
        <v>443</v>
      </c>
      <c r="I444">
        <v>39.642454532926415</v>
      </c>
    </row>
    <row r="445" spans="8:9" x14ac:dyDescent="0.25">
      <c r="H445">
        <v>444</v>
      </c>
      <c r="I445">
        <v>44.433715004041012</v>
      </c>
    </row>
    <row r="446" spans="8:9" x14ac:dyDescent="0.25">
      <c r="H446">
        <v>445</v>
      </c>
      <c r="I446">
        <v>42.412926654768363</v>
      </c>
    </row>
    <row r="447" spans="8:9" x14ac:dyDescent="0.25">
      <c r="H447">
        <v>446</v>
      </c>
      <c r="I447">
        <v>49.325387936132302</v>
      </c>
    </row>
    <row r="448" spans="8:9" x14ac:dyDescent="0.25">
      <c r="H448">
        <v>447</v>
      </c>
      <c r="I448">
        <v>49.869534516113561</v>
      </c>
    </row>
    <row r="449" spans="8:9" x14ac:dyDescent="0.25">
      <c r="H449">
        <v>448</v>
      </c>
      <c r="I449">
        <v>49.755749229004365</v>
      </c>
    </row>
    <row r="450" spans="8:9" x14ac:dyDescent="0.25">
      <c r="H450">
        <v>449</v>
      </c>
      <c r="I450">
        <v>40.025541066504552</v>
      </c>
    </row>
    <row r="451" spans="8:9" x14ac:dyDescent="0.25">
      <c r="H451">
        <v>450</v>
      </c>
      <c r="I451">
        <v>49.517958467449333</v>
      </c>
    </row>
    <row r="452" spans="8:9" x14ac:dyDescent="0.25">
      <c r="H452">
        <v>451</v>
      </c>
      <c r="I452">
        <v>44.711425259463965</v>
      </c>
    </row>
    <row r="453" spans="8:9" x14ac:dyDescent="0.25">
      <c r="H453">
        <v>452</v>
      </c>
      <c r="I453">
        <v>29.380266623544362</v>
      </c>
    </row>
    <row r="454" spans="8:9" x14ac:dyDescent="0.25">
      <c r="H454">
        <v>453</v>
      </c>
      <c r="I454">
        <v>32.465295629947221</v>
      </c>
    </row>
    <row r="455" spans="8:9" x14ac:dyDescent="0.25">
      <c r="H455">
        <v>454</v>
      </c>
      <c r="I455">
        <v>50.276136538270329</v>
      </c>
    </row>
    <row r="456" spans="8:9" x14ac:dyDescent="0.25">
      <c r="H456">
        <v>455</v>
      </c>
      <c r="I456">
        <v>48.921199515534475</v>
      </c>
    </row>
    <row r="457" spans="8:9" x14ac:dyDescent="0.25">
      <c r="H457">
        <v>456</v>
      </c>
      <c r="I457">
        <v>43.772721390800221</v>
      </c>
    </row>
    <row r="458" spans="8:9" x14ac:dyDescent="0.25">
      <c r="H458">
        <v>457</v>
      </c>
      <c r="I458">
        <v>36.955123865747225</v>
      </c>
    </row>
    <row r="459" spans="8:9" x14ac:dyDescent="0.25">
      <c r="H459">
        <v>458</v>
      </c>
      <c r="I459">
        <v>40.861847567400176</v>
      </c>
    </row>
    <row r="460" spans="8:9" x14ac:dyDescent="0.25">
      <c r="H460">
        <v>459</v>
      </c>
      <c r="I460">
        <v>49.423442841922046</v>
      </c>
    </row>
    <row r="461" spans="8:9" x14ac:dyDescent="0.25">
      <c r="H461">
        <v>460</v>
      </c>
      <c r="I461">
        <v>49.982189809473326</v>
      </c>
    </row>
    <row r="462" spans="8:9" x14ac:dyDescent="0.25">
      <c r="H462">
        <v>461</v>
      </c>
      <c r="I462">
        <v>46.22785291861846</v>
      </c>
    </row>
    <row r="463" spans="8:9" x14ac:dyDescent="0.25">
      <c r="H463">
        <v>462</v>
      </c>
      <c r="I463">
        <v>49.687782581254496</v>
      </c>
    </row>
    <row r="464" spans="8:9" x14ac:dyDescent="0.25">
      <c r="H464">
        <v>463</v>
      </c>
      <c r="I464">
        <v>40.891619300854813</v>
      </c>
    </row>
    <row r="465" spans="8:9" x14ac:dyDescent="0.25">
      <c r="H465">
        <v>464</v>
      </c>
      <c r="I465">
        <v>49.314910688895942</v>
      </c>
    </row>
    <row r="466" spans="8:9" x14ac:dyDescent="0.25">
      <c r="H466">
        <v>465</v>
      </c>
      <c r="I466">
        <v>42.954039615251233</v>
      </c>
    </row>
    <row r="467" spans="8:9" x14ac:dyDescent="0.25">
      <c r="H467">
        <v>466</v>
      </c>
      <c r="I467">
        <v>34.103816548933281</v>
      </c>
    </row>
    <row r="468" spans="8:9" x14ac:dyDescent="0.25">
      <c r="H468">
        <v>467</v>
      </c>
      <c r="I468">
        <v>44.170099091604797</v>
      </c>
    </row>
    <row r="469" spans="8:9" x14ac:dyDescent="0.25">
      <c r="H469">
        <v>468</v>
      </c>
      <c r="I469">
        <v>45.539855334015577</v>
      </c>
    </row>
    <row r="470" spans="8:9" x14ac:dyDescent="0.25">
      <c r="H470">
        <v>469</v>
      </c>
      <c r="I470">
        <v>50.071335470710963</v>
      </c>
    </row>
    <row r="471" spans="8:9" x14ac:dyDescent="0.25">
      <c r="H471">
        <v>470</v>
      </c>
      <c r="I471">
        <v>34.865607291094484</v>
      </c>
    </row>
    <row r="472" spans="8:9" x14ac:dyDescent="0.25">
      <c r="H472">
        <v>471</v>
      </c>
      <c r="I472">
        <v>48.287624838552532</v>
      </c>
    </row>
    <row r="473" spans="8:9" x14ac:dyDescent="0.25">
      <c r="H473">
        <v>472</v>
      </c>
      <c r="I473">
        <v>49.982019011712573</v>
      </c>
    </row>
    <row r="474" spans="8:9" x14ac:dyDescent="0.25">
      <c r="H474">
        <v>473</v>
      </c>
      <c r="I474">
        <v>42.882360855731825</v>
      </c>
    </row>
    <row r="475" spans="8:9" x14ac:dyDescent="0.25">
      <c r="H475">
        <v>474</v>
      </c>
      <c r="I475">
        <v>44.012683963537128</v>
      </c>
    </row>
    <row r="476" spans="8:9" x14ac:dyDescent="0.25">
      <c r="H476">
        <v>475</v>
      </c>
      <c r="I476">
        <v>49.114784459462726</v>
      </c>
    </row>
    <row r="477" spans="8:9" x14ac:dyDescent="0.25">
      <c r="H477">
        <v>476</v>
      </c>
      <c r="I477">
        <v>50.046021705793216</v>
      </c>
    </row>
    <row r="478" spans="8:9" x14ac:dyDescent="0.25">
      <c r="H478">
        <v>477</v>
      </c>
      <c r="I478">
        <v>49.179984869186995</v>
      </c>
    </row>
    <row r="479" spans="8:9" x14ac:dyDescent="0.25">
      <c r="H479">
        <v>478</v>
      </c>
      <c r="I479">
        <v>36.076968922904712</v>
      </c>
    </row>
    <row r="480" spans="8:9" x14ac:dyDescent="0.25">
      <c r="H480">
        <v>479</v>
      </c>
      <c r="I480">
        <v>39.75210205627932</v>
      </c>
    </row>
    <row r="481" spans="8:9" x14ac:dyDescent="0.25">
      <c r="H481">
        <v>480</v>
      </c>
      <c r="I481">
        <v>49.701037281665116</v>
      </c>
    </row>
    <row r="482" spans="8:9" x14ac:dyDescent="0.25">
      <c r="H482">
        <v>481</v>
      </c>
      <c r="I482">
        <v>44.782754413017102</v>
      </c>
    </row>
    <row r="483" spans="8:9" x14ac:dyDescent="0.25">
      <c r="H483">
        <v>482</v>
      </c>
      <c r="I483">
        <v>47.379979061149243</v>
      </c>
    </row>
    <row r="484" spans="8:9" x14ac:dyDescent="0.25">
      <c r="H484">
        <v>483</v>
      </c>
      <c r="I484">
        <v>43.780824313759446</v>
      </c>
    </row>
    <row r="485" spans="8:9" x14ac:dyDescent="0.25">
      <c r="H485">
        <v>484</v>
      </c>
      <c r="I485">
        <v>44.65142822749111</v>
      </c>
    </row>
    <row r="486" spans="8:9" x14ac:dyDescent="0.25">
      <c r="H486">
        <v>485</v>
      </c>
      <c r="I486">
        <v>42.306307388419427</v>
      </c>
    </row>
    <row r="487" spans="8:9" x14ac:dyDescent="0.25">
      <c r="H487">
        <v>486</v>
      </c>
      <c r="I487">
        <v>48.310012634406391</v>
      </c>
    </row>
    <row r="488" spans="8:9" x14ac:dyDescent="0.25">
      <c r="H488">
        <v>487</v>
      </c>
      <c r="I488">
        <v>39.857565947841643</v>
      </c>
    </row>
    <row r="489" spans="8:9" x14ac:dyDescent="0.25">
      <c r="H489">
        <v>488</v>
      </c>
      <c r="I489">
        <v>45.03672139302283</v>
      </c>
    </row>
    <row r="490" spans="8:9" x14ac:dyDescent="0.25">
      <c r="H490">
        <v>489</v>
      </c>
      <c r="I490">
        <v>50.949334089808708</v>
      </c>
    </row>
    <row r="491" spans="8:9" x14ac:dyDescent="0.25">
      <c r="H491">
        <v>490</v>
      </c>
      <c r="I491">
        <v>49.210271948411432</v>
      </c>
    </row>
    <row r="492" spans="8:9" x14ac:dyDescent="0.25">
      <c r="H492">
        <v>491</v>
      </c>
      <c r="I492">
        <v>33.127188626406586</v>
      </c>
    </row>
    <row r="493" spans="8:9" x14ac:dyDescent="0.25">
      <c r="H493">
        <v>492</v>
      </c>
      <c r="I493">
        <v>43.957151973985042</v>
      </c>
    </row>
    <row r="494" spans="8:9" x14ac:dyDescent="0.25">
      <c r="H494">
        <v>493</v>
      </c>
      <c r="I494">
        <v>47.962387889148935</v>
      </c>
    </row>
    <row r="495" spans="8:9" x14ac:dyDescent="0.25">
      <c r="H495">
        <v>494</v>
      </c>
      <c r="I495">
        <v>47.586451026881605</v>
      </c>
    </row>
    <row r="496" spans="8:9" x14ac:dyDescent="0.25">
      <c r="H496">
        <v>495</v>
      </c>
      <c r="I496">
        <v>40.643835843517621</v>
      </c>
    </row>
    <row r="497" spans="8:9" x14ac:dyDescent="0.25">
      <c r="H497">
        <v>496</v>
      </c>
      <c r="I497">
        <v>38.83426046548675</v>
      </c>
    </row>
    <row r="498" spans="8:9" x14ac:dyDescent="0.25">
      <c r="H498">
        <v>497</v>
      </c>
      <c r="I498">
        <v>38.843576688238784</v>
      </c>
    </row>
    <row r="499" spans="8:9" x14ac:dyDescent="0.25">
      <c r="H499">
        <v>498</v>
      </c>
      <c r="I499">
        <v>42.8930653824494</v>
      </c>
    </row>
    <row r="500" spans="8:9" x14ac:dyDescent="0.25">
      <c r="H500">
        <v>499</v>
      </c>
      <c r="I500">
        <v>48.571615710427722</v>
      </c>
    </row>
    <row r="501" spans="8:9" x14ac:dyDescent="0.25">
      <c r="H501">
        <v>500</v>
      </c>
      <c r="I501">
        <v>43.443452339143626</v>
      </c>
    </row>
    <row r="502" spans="8:9" x14ac:dyDescent="0.25">
      <c r="H502">
        <v>501</v>
      </c>
      <c r="I502">
        <v>38.640210001606576</v>
      </c>
    </row>
    <row r="503" spans="8:9" x14ac:dyDescent="0.25">
      <c r="H503">
        <v>502</v>
      </c>
      <c r="I503">
        <v>49.275676835162471</v>
      </c>
    </row>
    <row r="504" spans="8:9" x14ac:dyDescent="0.25">
      <c r="H504">
        <v>503</v>
      </c>
      <c r="I504">
        <v>50.547985347410496</v>
      </c>
    </row>
    <row r="505" spans="8:9" x14ac:dyDescent="0.25">
      <c r="H505">
        <v>504</v>
      </c>
      <c r="I505">
        <v>44.050766379188751</v>
      </c>
    </row>
    <row r="506" spans="8:9" x14ac:dyDescent="0.25">
      <c r="H506">
        <v>505</v>
      </c>
      <c r="I506">
        <v>50.167816164306359</v>
      </c>
    </row>
    <row r="507" spans="8:9" x14ac:dyDescent="0.25">
      <c r="H507">
        <v>506</v>
      </c>
      <c r="I507">
        <v>44.057092224448084</v>
      </c>
    </row>
    <row r="508" spans="8:9" x14ac:dyDescent="0.25">
      <c r="H508">
        <v>507</v>
      </c>
      <c r="I508">
        <v>49.956803760972505</v>
      </c>
    </row>
    <row r="509" spans="8:9" x14ac:dyDescent="0.25">
      <c r="H509">
        <v>508</v>
      </c>
      <c r="I509">
        <v>47.929199582984623</v>
      </c>
    </row>
    <row r="510" spans="8:9" x14ac:dyDescent="0.25">
      <c r="H510">
        <v>509</v>
      </c>
      <c r="I510">
        <v>48.553396416670971</v>
      </c>
    </row>
    <row r="511" spans="8:9" x14ac:dyDescent="0.25">
      <c r="H511">
        <v>510</v>
      </c>
      <c r="I511">
        <v>49.806489479909018</v>
      </c>
    </row>
    <row r="512" spans="8:9" x14ac:dyDescent="0.25">
      <c r="H512">
        <v>511</v>
      </c>
      <c r="I512">
        <v>42.417517864671588</v>
      </c>
    </row>
    <row r="513" spans="8:9" x14ac:dyDescent="0.25">
      <c r="H513">
        <v>512</v>
      </c>
      <c r="I513">
        <v>40.234493062059784</v>
      </c>
    </row>
    <row r="514" spans="8:9" x14ac:dyDescent="0.25">
      <c r="H514">
        <v>513</v>
      </c>
      <c r="I514">
        <v>28.894760282667228</v>
      </c>
    </row>
    <row r="515" spans="8:9" x14ac:dyDescent="0.25">
      <c r="H515">
        <v>514</v>
      </c>
      <c r="I515">
        <v>50.277876655830859</v>
      </c>
    </row>
    <row r="516" spans="8:9" x14ac:dyDescent="0.25">
      <c r="H516">
        <v>515</v>
      </c>
      <c r="I516">
        <v>39.607345621818908</v>
      </c>
    </row>
    <row r="517" spans="8:9" x14ac:dyDescent="0.25">
      <c r="H517">
        <v>516</v>
      </c>
      <c r="I517">
        <v>34.568115165114335</v>
      </c>
    </row>
    <row r="518" spans="8:9" x14ac:dyDescent="0.25">
      <c r="H518">
        <v>517</v>
      </c>
      <c r="I518">
        <v>42.914047784007209</v>
      </c>
    </row>
    <row r="519" spans="8:9" x14ac:dyDescent="0.25">
      <c r="H519">
        <v>518</v>
      </c>
      <c r="I519">
        <v>48.180192592072743</v>
      </c>
    </row>
    <row r="520" spans="8:9" x14ac:dyDescent="0.25">
      <c r="H520">
        <v>519</v>
      </c>
      <c r="I520">
        <v>47.218050632092435</v>
      </c>
    </row>
    <row r="521" spans="8:9" x14ac:dyDescent="0.25">
      <c r="H521">
        <v>520</v>
      </c>
      <c r="I521">
        <v>44.027178617731643</v>
      </c>
    </row>
    <row r="522" spans="8:9" x14ac:dyDescent="0.25">
      <c r="H522">
        <v>521</v>
      </c>
      <c r="I522">
        <v>44.421618667757855</v>
      </c>
    </row>
    <row r="523" spans="8:9" x14ac:dyDescent="0.25">
      <c r="H523">
        <v>522</v>
      </c>
      <c r="I523">
        <v>44.53240808738849</v>
      </c>
    </row>
    <row r="524" spans="8:9" x14ac:dyDescent="0.25">
      <c r="H524">
        <v>523</v>
      </c>
      <c r="I524">
        <v>38.833325556883956</v>
      </c>
    </row>
    <row r="525" spans="8:9" x14ac:dyDescent="0.25">
      <c r="H525">
        <v>524</v>
      </c>
      <c r="I525">
        <v>49.131860831224031</v>
      </c>
    </row>
    <row r="526" spans="8:9" x14ac:dyDescent="0.25">
      <c r="H526">
        <v>525</v>
      </c>
      <c r="I526">
        <v>41.530575032656877</v>
      </c>
    </row>
    <row r="527" spans="8:9" x14ac:dyDescent="0.25">
      <c r="H527">
        <v>526</v>
      </c>
      <c r="I527">
        <v>49.500601280834921</v>
      </c>
    </row>
    <row r="528" spans="8:9" x14ac:dyDescent="0.25">
      <c r="H528">
        <v>527</v>
      </c>
      <c r="I528">
        <v>48.793022966454529</v>
      </c>
    </row>
    <row r="529" spans="8:9" x14ac:dyDescent="0.25">
      <c r="H529">
        <v>528</v>
      </c>
      <c r="I529">
        <v>48.001407474749321</v>
      </c>
    </row>
    <row r="530" spans="8:9" x14ac:dyDescent="0.25">
      <c r="H530">
        <v>529</v>
      </c>
      <c r="I530">
        <v>42.370152854873268</v>
      </c>
    </row>
    <row r="531" spans="8:9" x14ac:dyDescent="0.25">
      <c r="H531">
        <v>530</v>
      </c>
      <c r="I531">
        <v>45.156522549499023</v>
      </c>
    </row>
    <row r="532" spans="8:9" x14ac:dyDescent="0.25">
      <c r="H532">
        <v>531</v>
      </c>
      <c r="I532">
        <v>48.159389154986179</v>
      </c>
    </row>
    <row r="533" spans="8:9" x14ac:dyDescent="0.25">
      <c r="H533">
        <v>532</v>
      </c>
      <c r="I533">
        <v>50.349279763247218</v>
      </c>
    </row>
    <row r="534" spans="8:9" x14ac:dyDescent="0.25">
      <c r="H534">
        <v>533</v>
      </c>
      <c r="I534">
        <v>36.36944727785113</v>
      </c>
    </row>
    <row r="535" spans="8:9" x14ac:dyDescent="0.25">
      <c r="H535">
        <v>534</v>
      </c>
      <c r="I535">
        <v>45.790130080518928</v>
      </c>
    </row>
    <row r="536" spans="8:9" x14ac:dyDescent="0.25">
      <c r="H536">
        <v>535</v>
      </c>
      <c r="I536">
        <v>42.852043364589811</v>
      </c>
    </row>
    <row r="537" spans="8:9" x14ac:dyDescent="0.25">
      <c r="H537">
        <v>536</v>
      </c>
      <c r="I537">
        <v>42.356370292054521</v>
      </c>
    </row>
    <row r="538" spans="8:9" x14ac:dyDescent="0.25">
      <c r="H538">
        <v>537</v>
      </c>
      <c r="I538">
        <v>38.729118916204548</v>
      </c>
    </row>
    <row r="539" spans="8:9" x14ac:dyDescent="0.25">
      <c r="H539">
        <v>538</v>
      </c>
      <c r="I539">
        <v>43.867210234462554</v>
      </c>
    </row>
    <row r="540" spans="8:9" x14ac:dyDescent="0.25">
      <c r="H540">
        <v>539</v>
      </c>
      <c r="I540">
        <v>50.060676157582016</v>
      </c>
    </row>
    <row r="541" spans="8:9" x14ac:dyDescent="0.25">
      <c r="H541">
        <v>540</v>
      </c>
      <c r="I541">
        <v>49.995731933670037</v>
      </c>
    </row>
    <row r="542" spans="8:9" x14ac:dyDescent="0.25">
      <c r="H542">
        <v>541</v>
      </c>
      <c r="I542">
        <v>39.606913853585723</v>
      </c>
    </row>
    <row r="543" spans="8:9" x14ac:dyDescent="0.25">
      <c r="H543">
        <v>542</v>
      </c>
      <c r="I543">
        <v>44.643004107140179</v>
      </c>
    </row>
    <row r="544" spans="8:9" x14ac:dyDescent="0.25">
      <c r="H544">
        <v>543</v>
      </c>
      <c r="I544">
        <v>49.278153463096345</v>
      </c>
    </row>
    <row r="545" spans="8:9" x14ac:dyDescent="0.25">
      <c r="H545">
        <v>544</v>
      </c>
      <c r="I545">
        <v>47.841086463348383</v>
      </c>
    </row>
    <row r="546" spans="8:9" x14ac:dyDescent="0.25">
      <c r="H546">
        <v>545</v>
      </c>
      <c r="I546">
        <v>43.862767011256672</v>
      </c>
    </row>
    <row r="547" spans="8:9" x14ac:dyDescent="0.25">
      <c r="H547">
        <v>546</v>
      </c>
      <c r="I547">
        <v>40.456971248351337</v>
      </c>
    </row>
    <row r="548" spans="8:9" x14ac:dyDescent="0.25">
      <c r="H548">
        <v>547</v>
      </c>
      <c r="I548">
        <v>39.149278277105608</v>
      </c>
    </row>
    <row r="549" spans="8:9" x14ac:dyDescent="0.25">
      <c r="H549">
        <v>548</v>
      </c>
      <c r="I549">
        <v>48.981293104304449</v>
      </c>
    </row>
    <row r="550" spans="8:9" x14ac:dyDescent="0.25">
      <c r="H550">
        <v>549</v>
      </c>
      <c r="I550">
        <v>40.546919093130029</v>
      </c>
    </row>
    <row r="551" spans="8:9" x14ac:dyDescent="0.25">
      <c r="H551">
        <v>550</v>
      </c>
      <c r="I551">
        <v>43.031227071147306</v>
      </c>
    </row>
    <row r="552" spans="8:9" x14ac:dyDescent="0.25">
      <c r="H552">
        <v>551</v>
      </c>
      <c r="I552">
        <v>39.10207924831149</v>
      </c>
    </row>
    <row r="553" spans="8:9" x14ac:dyDescent="0.25">
      <c r="H553">
        <v>552</v>
      </c>
      <c r="I553">
        <v>50.606107358787384</v>
      </c>
    </row>
    <row r="554" spans="8:9" x14ac:dyDescent="0.25">
      <c r="H554">
        <v>553</v>
      </c>
      <c r="I554">
        <v>50.569722829749146</v>
      </c>
    </row>
    <row r="555" spans="8:9" x14ac:dyDescent="0.25">
      <c r="H555">
        <v>554</v>
      </c>
      <c r="I555">
        <v>48.815712165082104</v>
      </c>
    </row>
    <row r="556" spans="8:9" x14ac:dyDescent="0.25">
      <c r="H556">
        <v>555</v>
      </c>
      <c r="I556">
        <v>49.502814476241753</v>
      </c>
    </row>
    <row r="557" spans="8:9" x14ac:dyDescent="0.25">
      <c r="H557">
        <v>556</v>
      </c>
      <c r="I557">
        <v>44.174940577050343</v>
      </c>
    </row>
    <row r="558" spans="8:9" x14ac:dyDescent="0.25">
      <c r="H558">
        <v>557</v>
      </c>
      <c r="I558">
        <v>37.275756152152496</v>
      </c>
    </row>
    <row r="559" spans="8:9" x14ac:dyDescent="0.25">
      <c r="H559">
        <v>558</v>
      </c>
      <c r="I559">
        <v>43.909417831587575</v>
      </c>
    </row>
    <row r="560" spans="8:9" x14ac:dyDescent="0.25">
      <c r="H560">
        <v>559</v>
      </c>
      <c r="I560">
        <v>39.559295841113965</v>
      </c>
    </row>
    <row r="561" spans="8:9" x14ac:dyDescent="0.25">
      <c r="H561">
        <v>560</v>
      </c>
      <c r="I561">
        <v>49.940704620516243</v>
      </c>
    </row>
    <row r="562" spans="8:9" x14ac:dyDescent="0.25">
      <c r="H562">
        <v>561</v>
      </c>
      <c r="I562">
        <v>47.842560553853865</v>
      </c>
    </row>
    <row r="563" spans="8:9" x14ac:dyDescent="0.25">
      <c r="H563">
        <v>562</v>
      </c>
      <c r="I563">
        <v>43.403491131705586</v>
      </c>
    </row>
    <row r="564" spans="8:9" x14ac:dyDescent="0.25">
      <c r="H564">
        <v>563</v>
      </c>
      <c r="I564">
        <v>42.999988492208573</v>
      </c>
    </row>
    <row r="565" spans="8:9" x14ac:dyDescent="0.25">
      <c r="H565">
        <v>564</v>
      </c>
      <c r="I565">
        <v>48.731099939856627</v>
      </c>
    </row>
    <row r="566" spans="8:9" x14ac:dyDescent="0.25">
      <c r="H566">
        <v>565</v>
      </c>
      <c r="I566">
        <v>43.106339962318962</v>
      </c>
    </row>
    <row r="567" spans="8:9" x14ac:dyDescent="0.25">
      <c r="H567">
        <v>566</v>
      </c>
      <c r="I567">
        <v>39.09420623215167</v>
      </c>
    </row>
    <row r="568" spans="8:9" x14ac:dyDescent="0.25">
      <c r="H568">
        <v>567</v>
      </c>
      <c r="I568">
        <v>48.760015197320456</v>
      </c>
    </row>
    <row r="569" spans="8:9" x14ac:dyDescent="0.25">
      <c r="H569">
        <v>568</v>
      </c>
      <c r="I569">
        <v>41.415025050970584</v>
      </c>
    </row>
    <row r="570" spans="8:9" x14ac:dyDescent="0.25">
      <c r="H570">
        <v>569</v>
      </c>
      <c r="I570">
        <v>43.427872907837099</v>
      </c>
    </row>
    <row r="571" spans="8:9" x14ac:dyDescent="0.25">
      <c r="H571">
        <v>570</v>
      </c>
      <c r="I571">
        <v>39.667829972157222</v>
      </c>
    </row>
    <row r="572" spans="8:9" x14ac:dyDescent="0.25">
      <c r="H572">
        <v>571</v>
      </c>
      <c r="I572">
        <v>43.428799803932712</v>
      </c>
    </row>
    <row r="573" spans="8:9" x14ac:dyDescent="0.25">
      <c r="H573">
        <v>572</v>
      </c>
      <c r="I573">
        <v>37.306567797745068</v>
      </c>
    </row>
    <row r="574" spans="8:9" x14ac:dyDescent="0.25">
      <c r="H574">
        <v>573</v>
      </c>
      <c r="I574">
        <v>50.519298241633869</v>
      </c>
    </row>
    <row r="575" spans="8:9" x14ac:dyDescent="0.25">
      <c r="H575">
        <v>574</v>
      </c>
      <c r="I575">
        <v>33.186762551058806</v>
      </c>
    </row>
    <row r="576" spans="8:9" x14ac:dyDescent="0.25">
      <c r="H576">
        <v>575</v>
      </c>
      <c r="I576">
        <v>35.302520235500957</v>
      </c>
    </row>
    <row r="577" spans="8:9" x14ac:dyDescent="0.25">
      <c r="H577">
        <v>576</v>
      </c>
      <c r="I577">
        <v>50.845614457626027</v>
      </c>
    </row>
    <row r="578" spans="8:9" x14ac:dyDescent="0.25">
      <c r="H578">
        <v>577</v>
      </c>
      <c r="I578">
        <v>49.28604696607686</v>
      </c>
    </row>
    <row r="579" spans="8:9" x14ac:dyDescent="0.25">
      <c r="H579">
        <v>578</v>
      </c>
      <c r="I579">
        <v>39.94228884072615</v>
      </c>
    </row>
    <row r="580" spans="8:9" x14ac:dyDescent="0.25">
      <c r="H580">
        <v>579</v>
      </c>
      <c r="I580">
        <v>50.909925363703131</v>
      </c>
    </row>
    <row r="581" spans="8:9" x14ac:dyDescent="0.25">
      <c r="H581">
        <v>580</v>
      </c>
      <c r="I581">
        <v>49.337952124873709</v>
      </c>
    </row>
    <row r="582" spans="8:9" x14ac:dyDescent="0.25">
      <c r="H582">
        <v>581</v>
      </c>
      <c r="I582">
        <v>43.471203255153547</v>
      </c>
    </row>
    <row r="583" spans="8:9" x14ac:dyDescent="0.25">
      <c r="H583">
        <v>582</v>
      </c>
      <c r="I583">
        <v>50.763977310245025</v>
      </c>
    </row>
    <row r="584" spans="8:9" x14ac:dyDescent="0.25">
      <c r="H584">
        <v>583</v>
      </c>
      <c r="I584">
        <v>47.613853127582914</v>
      </c>
    </row>
    <row r="585" spans="8:9" x14ac:dyDescent="0.25">
      <c r="H585">
        <v>584</v>
      </c>
      <c r="I585">
        <v>50.339778048299124</v>
      </c>
    </row>
    <row r="586" spans="8:9" x14ac:dyDescent="0.25">
      <c r="H586">
        <v>585</v>
      </c>
      <c r="I586">
        <v>40.151444682186195</v>
      </c>
    </row>
    <row r="587" spans="8:9" x14ac:dyDescent="0.25">
      <c r="H587">
        <v>586</v>
      </c>
      <c r="I587">
        <v>51.285399089802318</v>
      </c>
    </row>
    <row r="588" spans="8:9" x14ac:dyDescent="0.25">
      <c r="H588">
        <v>587</v>
      </c>
      <c r="I588">
        <v>50.544120127070975</v>
      </c>
    </row>
    <row r="589" spans="8:9" x14ac:dyDescent="0.25">
      <c r="H589">
        <v>588</v>
      </c>
      <c r="I589">
        <v>39.630074036578321</v>
      </c>
    </row>
    <row r="590" spans="8:9" x14ac:dyDescent="0.25">
      <c r="H590">
        <v>589</v>
      </c>
      <c r="I590">
        <v>46.545520342812729</v>
      </c>
    </row>
    <row r="591" spans="8:9" x14ac:dyDescent="0.25">
      <c r="H591">
        <v>590</v>
      </c>
      <c r="I591">
        <v>48.823913913341201</v>
      </c>
    </row>
    <row r="592" spans="8:9" x14ac:dyDescent="0.25">
      <c r="H592">
        <v>591</v>
      </c>
      <c r="I592">
        <v>51.103390279533613</v>
      </c>
    </row>
    <row r="593" spans="8:9" x14ac:dyDescent="0.25">
      <c r="H593">
        <v>592</v>
      </c>
      <c r="I593">
        <v>39.217359248228789</v>
      </c>
    </row>
    <row r="594" spans="8:9" x14ac:dyDescent="0.25">
      <c r="H594">
        <v>593</v>
      </c>
      <c r="I594">
        <v>38.703425702404871</v>
      </c>
    </row>
    <row r="595" spans="8:9" x14ac:dyDescent="0.25">
      <c r="H595">
        <v>594</v>
      </c>
      <c r="I595">
        <v>48.59722524065122</v>
      </c>
    </row>
    <row r="596" spans="8:9" x14ac:dyDescent="0.25">
      <c r="H596">
        <v>595</v>
      </c>
      <c r="I596">
        <v>49.176476378626099</v>
      </c>
    </row>
    <row r="597" spans="8:9" x14ac:dyDescent="0.25">
      <c r="H597">
        <v>596</v>
      </c>
      <c r="I597">
        <v>47.190561359708532</v>
      </c>
    </row>
    <row r="598" spans="8:9" x14ac:dyDescent="0.25">
      <c r="H598">
        <v>597</v>
      </c>
      <c r="I598">
        <v>35.232987161184084</v>
      </c>
    </row>
    <row r="599" spans="8:9" x14ac:dyDescent="0.25">
      <c r="H599">
        <v>598</v>
      </c>
      <c r="I599">
        <v>45.376949404616681</v>
      </c>
    </row>
    <row r="600" spans="8:9" x14ac:dyDescent="0.25">
      <c r="H600">
        <v>599</v>
      </c>
      <c r="I600">
        <v>45.329894900698463</v>
      </c>
    </row>
    <row r="601" spans="8:9" x14ac:dyDescent="0.25">
      <c r="H601">
        <v>600</v>
      </c>
      <c r="I601">
        <v>48.538469231321571</v>
      </c>
    </row>
    <row r="602" spans="8:9" x14ac:dyDescent="0.25">
      <c r="H602">
        <v>601</v>
      </c>
      <c r="I602">
        <v>43.575873729113887</v>
      </c>
    </row>
    <row r="603" spans="8:9" x14ac:dyDescent="0.25">
      <c r="H603">
        <v>602</v>
      </c>
      <c r="I603">
        <v>49.579517523021622</v>
      </c>
    </row>
    <row r="604" spans="8:9" x14ac:dyDescent="0.25">
      <c r="H604">
        <v>603</v>
      </c>
      <c r="I604">
        <v>50.026361096509802</v>
      </c>
    </row>
    <row r="605" spans="8:9" x14ac:dyDescent="0.25">
      <c r="H605">
        <v>604</v>
      </c>
      <c r="I605">
        <v>48.864829230709539</v>
      </c>
    </row>
    <row r="606" spans="8:9" x14ac:dyDescent="0.25">
      <c r="H606">
        <v>605</v>
      </c>
      <c r="I606">
        <v>30.420008790414943</v>
      </c>
    </row>
    <row r="607" spans="8:9" x14ac:dyDescent="0.25">
      <c r="H607">
        <v>606</v>
      </c>
      <c r="I607">
        <v>49.545913371915447</v>
      </c>
    </row>
    <row r="608" spans="8:9" x14ac:dyDescent="0.25">
      <c r="H608">
        <v>607</v>
      </c>
      <c r="I608">
        <v>44.417618872506665</v>
      </c>
    </row>
    <row r="609" spans="8:9" x14ac:dyDescent="0.25">
      <c r="H609">
        <v>608</v>
      </c>
      <c r="I609">
        <v>43.702157552670755</v>
      </c>
    </row>
    <row r="610" spans="8:9" x14ac:dyDescent="0.25">
      <c r="H610">
        <v>609</v>
      </c>
      <c r="I610">
        <v>44.399313498547365</v>
      </c>
    </row>
    <row r="611" spans="8:9" x14ac:dyDescent="0.25">
      <c r="H611">
        <v>610</v>
      </c>
      <c r="I611">
        <v>39.724262189886588</v>
      </c>
    </row>
    <row r="612" spans="8:9" x14ac:dyDescent="0.25">
      <c r="H612">
        <v>611</v>
      </c>
      <c r="I612">
        <v>50.441054455090992</v>
      </c>
    </row>
    <row r="613" spans="8:9" x14ac:dyDescent="0.25">
      <c r="H613">
        <v>612</v>
      </c>
      <c r="I613">
        <v>39.565002998911325</v>
      </c>
    </row>
    <row r="614" spans="8:9" x14ac:dyDescent="0.25">
      <c r="H614">
        <v>613</v>
      </c>
      <c r="I614">
        <v>44.349086677064747</v>
      </c>
    </row>
    <row r="615" spans="8:9" x14ac:dyDescent="0.25">
      <c r="H615">
        <v>614</v>
      </c>
      <c r="I615">
        <v>39.192793331446971</v>
      </c>
    </row>
    <row r="616" spans="8:9" x14ac:dyDescent="0.25">
      <c r="H616">
        <v>615</v>
      </c>
      <c r="I616">
        <v>44.908342697171562</v>
      </c>
    </row>
    <row r="617" spans="8:9" x14ac:dyDescent="0.25">
      <c r="H617">
        <v>616</v>
      </c>
      <c r="I617">
        <v>43.988634847481066</v>
      </c>
    </row>
    <row r="618" spans="8:9" x14ac:dyDescent="0.25">
      <c r="H618">
        <v>617</v>
      </c>
      <c r="I618">
        <v>38.641756233505639</v>
      </c>
    </row>
    <row r="619" spans="8:9" x14ac:dyDescent="0.25">
      <c r="H619">
        <v>618</v>
      </c>
      <c r="I619">
        <v>43.642980065363112</v>
      </c>
    </row>
    <row r="620" spans="8:9" x14ac:dyDescent="0.25">
      <c r="H620">
        <v>619</v>
      </c>
      <c r="I620">
        <v>49.57844148687785</v>
      </c>
    </row>
    <row r="621" spans="8:9" x14ac:dyDescent="0.25">
      <c r="H621">
        <v>620</v>
      </c>
      <c r="I621">
        <v>49.917728630297212</v>
      </c>
    </row>
    <row r="622" spans="8:9" x14ac:dyDescent="0.25">
      <c r="H622">
        <v>621</v>
      </c>
      <c r="I622">
        <v>49.189550615986612</v>
      </c>
    </row>
    <row r="623" spans="8:9" x14ac:dyDescent="0.25">
      <c r="H623">
        <v>622</v>
      </c>
      <c r="I623">
        <v>42.995824155613306</v>
      </c>
    </row>
    <row r="624" spans="8:9" x14ac:dyDescent="0.25">
      <c r="H624">
        <v>623</v>
      </c>
      <c r="I624">
        <v>51.284844143509439</v>
      </c>
    </row>
    <row r="625" spans="8:9" x14ac:dyDescent="0.25">
      <c r="H625">
        <v>624</v>
      </c>
      <c r="I625">
        <v>47.531062919716611</v>
      </c>
    </row>
    <row r="626" spans="8:9" x14ac:dyDescent="0.25">
      <c r="H626">
        <v>625</v>
      </c>
      <c r="I626">
        <v>50.402249802837872</v>
      </c>
    </row>
    <row r="627" spans="8:9" x14ac:dyDescent="0.25">
      <c r="H627">
        <v>626</v>
      </c>
      <c r="I627">
        <v>41.914880938584943</v>
      </c>
    </row>
    <row r="628" spans="8:9" x14ac:dyDescent="0.25">
      <c r="H628">
        <v>627</v>
      </c>
      <c r="I628">
        <v>47.84314544365143</v>
      </c>
    </row>
    <row r="629" spans="8:9" x14ac:dyDescent="0.25">
      <c r="H629">
        <v>628</v>
      </c>
      <c r="I629">
        <v>44.186338528909317</v>
      </c>
    </row>
    <row r="630" spans="8:9" x14ac:dyDescent="0.25">
      <c r="H630">
        <v>629</v>
      </c>
      <c r="I630">
        <v>38.123171647715552</v>
      </c>
    </row>
    <row r="631" spans="8:9" x14ac:dyDescent="0.25">
      <c r="H631">
        <v>630</v>
      </c>
      <c r="I631">
        <v>40.015351858913668</v>
      </c>
    </row>
    <row r="632" spans="8:9" x14ac:dyDescent="0.25">
      <c r="H632">
        <v>631</v>
      </c>
      <c r="I632">
        <v>40.897517007738344</v>
      </c>
    </row>
    <row r="633" spans="8:9" x14ac:dyDescent="0.25">
      <c r="H633">
        <v>632</v>
      </c>
      <c r="I633">
        <v>50.797553443638705</v>
      </c>
    </row>
    <row r="634" spans="8:9" x14ac:dyDescent="0.25">
      <c r="H634">
        <v>633</v>
      </c>
      <c r="I634">
        <v>43.838995779490823</v>
      </c>
    </row>
    <row r="635" spans="8:9" x14ac:dyDescent="0.25">
      <c r="H635">
        <v>634</v>
      </c>
      <c r="I635">
        <v>50.703642071182209</v>
      </c>
    </row>
    <row r="636" spans="8:9" x14ac:dyDescent="0.25">
      <c r="H636">
        <v>635</v>
      </c>
      <c r="I636">
        <v>49.307925981666344</v>
      </c>
    </row>
    <row r="637" spans="8:9" x14ac:dyDescent="0.25">
      <c r="H637">
        <v>636</v>
      </c>
      <c r="I637">
        <v>44.98597467819684</v>
      </c>
    </row>
    <row r="638" spans="8:9" x14ac:dyDescent="0.25">
      <c r="H638">
        <v>637</v>
      </c>
      <c r="I638">
        <v>43.829690093688477</v>
      </c>
    </row>
    <row r="639" spans="8:9" x14ac:dyDescent="0.25">
      <c r="H639">
        <v>638</v>
      </c>
      <c r="I639">
        <v>42.370386882444819</v>
      </c>
    </row>
    <row r="640" spans="8:9" x14ac:dyDescent="0.25">
      <c r="H640">
        <v>639</v>
      </c>
      <c r="I640">
        <v>38.985605931419499</v>
      </c>
    </row>
    <row r="641" spans="8:9" x14ac:dyDescent="0.25">
      <c r="H641">
        <v>640</v>
      </c>
      <c r="I641">
        <v>49.552587023406488</v>
      </c>
    </row>
    <row r="642" spans="8:9" x14ac:dyDescent="0.25">
      <c r="H642">
        <v>641</v>
      </c>
      <c r="I642">
        <v>50.245260287574148</v>
      </c>
    </row>
    <row r="643" spans="8:9" x14ac:dyDescent="0.25">
      <c r="H643">
        <v>642</v>
      </c>
      <c r="I643">
        <v>38.484069388983855</v>
      </c>
    </row>
    <row r="644" spans="8:9" x14ac:dyDescent="0.25">
      <c r="H644">
        <v>643</v>
      </c>
      <c r="I644">
        <v>43.26866715549474</v>
      </c>
    </row>
    <row r="645" spans="8:9" x14ac:dyDescent="0.25">
      <c r="H645">
        <v>644</v>
      </c>
      <c r="I645">
        <v>47.897836474010354</v>
      </c>
    </row>
    <row r="646" spans="8:9" x14ac:dyDescent="0.25">
      <c r="H646">
        <v>645</v>
      </c>
      <c r="I646">
        <v>42.435769507737923</v>
      </c>
    </row>
    <row r="647" spans="8:9" x14ac:dyDescent="0.25">
      <c r="H647">
        <v>646</v>
      </c>
      <c r="I647">
        <v>48.208707350074356</v>
      </c>
    </row>
    <row r="648" spans="8:9" x14ac:dyDescent="0.25">
      <c r="H648">
        <v>647</v>
      </c>
      <c r="I648">
        <v>44.390890989875935</v>
      </c>
    </row>
    <row r="649" spans="8:9" x14ac:dyDescent="0.25">
      <c r="H649">
        <v>648</v>
      </c>
      <c r="I649">
        <v>41.662589162160351</v>
      </c>
    </row>
    <row r="650" spans="8:9" x14ac:dyDescent="0.25">
      <c r="H650">
        <v>649</v>
      </c>
      <c r="I650">
        <v>41.779510730802265</v>
      </c>
    </row>
    <row r="651" spans="8:9" x14ac:dyDescent="0.25">
      <c r="H651">
        <v>650</v>
      </c>
      <c r="I651">
        <v>48.879253139962444</v>
      </c>
    </row>
    <row r="652" spans="8:9" x14ac:dyDescent="0.25">
      <c r="H652">
        <v>651</v>
      </c>
      <c r="I652">
        <v>47.309290622154492</v>
      </c>
    </row>
    <row r="653" spans="8:9" x14ac:dyDescent="0.25">
      <c r="H653">
        <v>652</v>
      </c>
      <c r="I653">
        <v>47.447130838886196</v>
      </c>
    </row>
    <row r="654" spans="8:9" x14ac:dyDescent="0.25">
      <c r="H654">
        <v>653</v>
      </c>
      <c r="I654">
        <v>41.806321384336627</v>
      </c>
    </row>
    <row r="655" spans="8:9" x14ac:dyDescent="0.25">
      <c r="H655">
        <v>654</v>
      </c>
      <c r="I655">
        <v>50.204488570051815</v>
      </c>
    </row>
    <row r="656" spans="8:9" x14ac:dyDescent="0.25">
      <c r="H656">
        <v>655</v>
      </c>
      <c r="I656">
        <v>42.331215784009437</v>
      </c>
    </row>
    <row r="657" spans="8:9" x14ac:dyDescent="0.25">
      <c r="H657">
        <v>656</v>
      </c>
      <c r="I657">
        <v>43.979402740236338</v>
      </c>
    </row>
    <row r="658" spans="8:9" x14ac:dyDescent="0.25">
      <c r="H658">
        <v>657</v>
      </c>
      <c r="I658">
        <v>51.311869933764626</v>
      </c>
    </row>
    <row r="659" spans="8:9" x14ac:dyDescent="0.25">
      <c r="H659">
        <v>658</v>
      </c>
      <c r="I659">
        <v>43.463009644633424</v>
      </c>
    </row>
    <row r="660" spans="8:9" x14ac:dyDescent="0.25">
      <c r="H660">
        <v>659</v>
      </c>
      <c r="I660">
        <v>38.117375204031191</v>
      </c>
    </row>
    <row r="661" spans="8:9" x14ac:dyDescent="0.25">
      <c r="H661">
        <v>660</v>
      </c>
      <c r="I661">
        <v>49.087481221606886</v>
      </c>
    </row>
    <row r="662" spans="8:9" x14ac:dyDescent="0.25">
      <c r="H662">
        <v>661</v>
      </c>
      <c r="I662">
        <v>41.994008267238698</v>
      </c>
    </row>
    <row r="663" spans="8:9" x14ac:dyDescent="0.25">
      <c r="H663">
        <v>662</v>
      </c>
      <c r="I663">
        <v>39.857202230124166</v>
      </c>
    </row>
    <row r="664" spans="8:9" x14ac:dyDescent="0.25">
      <c r="H664">
        <v>663</v>
      </c>
      <c r="I664">
        <v>41.99346922878005</v>
      </c>
    </row>
    <row r="665" spans="8:9" x14ac:dyDescent="0.25">
      <c r="H665">
        <v>664</v>
      </c>
      <c r="I665">
        <v>50.252403895764544</v>
      </c>
    </row>
    <row r="666" spans="8:9" x14ac:dyDescent="0.25">
      <c r="H666">
        <v>665</v>
      </c>
      <c r="I666">
        <v>43.713584069930484</v>
      </c>
    </row>
    <row r="667" spans="8:9" x14ac:dyDescent="0.25">
      <c r="H667">
        <v>666</v>
      </c>
      <c r="I667">
        <v>43.983632052723536</v>
      </c>
    </row>
    <row r="668" spans="8:9" x14ac:dyDescent="0.25">
      <c r="H668">
        <v>667</v>
      </c>
      <c r="I668">
        <v>33.31116181801648</v>
      </c>
    </row>
    <row r="669" spans="8:9" x14ac:dyDescent="0.25">
      <c r="H669">
        <v>668</v>
      </c>
      <c r="I669">
        <v>48.564441529633186</v>
      </c>
    </row>
    <row r="670" spans="8:9" x14ac:dyDescent="0.25">
      <c r="H670">
        <v>669</v>
      </c>
      <c r="I670">
        <v>50.759248486165134</v>
      </c>
    </row>
    <row r="671" spans="8:9" x14ac:dyDescent="0.25">
      <c r="H671">
        <v>670</v>
      </c>
      <c r="I671">
        <v>43.190438889237676</v>
      </c>
    </row>
    <row r="672" spans="8:9" x14ac:dyDescent="0.25">
      <c r="H672">
        <v>671</v>
      </c>
      <c r="I672">
        <v>39.699548148495431</v>
      </c>
    </row>
    <row r="673" spans="8:9" x14ac:dyDescent="0.25">
      <c r="H673">
        <v>672</v>
      </c>
      <c r="I673">
        <v>47.250460102571608</v>
      </c>
    </row>
    <row r="674" spans="8:9" x14ac:dyDescent="0.25">
      <c r="H674">
        <v>673</v>
      </c>
      <c r="I674">
        <v>45.011789687196824</v>
      </c>
    </row>
    <row r="675" spans="8:9" x14ac:dyDescent="0.25">
      <c r="H675">
        <v>674</v>
      </c>
      <c r="I675">
        <v>40.012539548516429</v>
      </c>
    </row>
    <row r="676" spans="8:9" x14ac:dyDescent="0.25">
      <c r="H676">
        <v>675</v>
      </c>
      <c r="I676">
        <v>48.425637367746546</v>
      </c>
    </row>
    <row r="677" spans="8:9" x14ac:dyDescent="0.25">
      <c r="H677">
        <v>676</v>
      </c>
      <c r="I677">
        <v>48.094981542208977</v>
      </c>
    </row>
    <row r="678" spans="8:9" x14ac:dyDescent="0.25">
      <c r="H678">
        <v>677</v>
      </c>
      <c r="I678">
        <v>48.428414692104127</v>
      </c>
    </row>
    <row r="679" spans="8:9" x14ac:dyDescent="0.25">
      <c r="H679">
        <v>678</v>
      </c>
      <c r="I679">
        <v>49.321884512360619</v>
      </c>
    </row>
    <row r="680" spans="8:9" x14ac:dyDescent="0.25">
      <c r="H680">
        <v>679</v>
      </c>
      <c r="I680">
        <v>45.071407957308871</v>
      </c>
    </row>
    <row r="681" spans="8:9" x14ac:dyDescent="0.25">
      <c r="H681">
        <v>680</v>
      </c>
      <c r="I681">
        <v>49.686230719426781</v>
      </c>
    </row>
    <row r="682" spans="8:9" x14ac:dyDescent="0.25">
      <c r="H682">
        <v>681</v>
      </c>
      <c r="I682">
        <v>49.878196945375244</v>
      </c>
    </row>
    <row r="683" spans="8:9" x14ac:dyDescent="0.25">
      <c r="H683">
        <v>682</v>
      </c>
      <c r="I683">
        <v>38.535423498921581</v>
      </c>
    </row>
    <row r="684" spans="8:9" x14ac:dyDescent="0.25">
      <c r="H684">
        <v>683</v>
      </c>
      <c r="I684">
        <v>48.455702745438543</v>
      </c>
    </row>
    <row r="685" spans="8:9" x14ac:dyDescent="0.25">
      <c r="H685">
        <v>684</v>
      </c>
      <c r="I685">
        <v>39.674553071392943</v>
      </c>
    </row>
    <row r="686" spans="8:9" x14ac:dyDescent="0.25">
      <c r="H686">
        <v>685</v>
      </c>
      <c r="I686">
        <v>32.791916342177927</v>
      </c>
    </row>
    <row r="687" spans="8:9" x14ac:dyDescent="0.25">
      <c r="H687">
        <v>686</v>
      </c>
      <c r="I687">
        <v>42.750310762675042</v>
      </c>
    </row>
    <row r="688" spans="8:9" x14ac:dyDescent="0.25">
      <c r="H688">
        <v>687</v>
      </c>
      <c r="I688">
        <v>49.689593749975089</v>
      </c>
    </row>
    <row r="689" spans="8:9" x14ac:dyDescent="0.25">
      <c r="H689">
        <v>688</v>
      </c>
      <c r="I689">
        <v>49.287581018800282</v>
      </c>
    </row>
    <row r="690" spans="8:9" x14ac:dyDescent="0.25">
      <c r="H690">
        <v>689</v>
      </c>
      <c r="I690">
        <v>40.325695219599815</v>
      </c>
    </row>
    <row r="691" spans="8:9" x14ac:dyDescent="0.25">
      <c r="H691">
        <v>690</v>
      </c>
      <c r="I691">
        <v>48.875297351297661</v>
      </c>
    </row>
    <row r="692" spans="8:9" x14ac:dyDescent="0.25">
      <c r="H692">
        <v>691</v>
      </c>
      <c r="I692">
        <v>37.328465664007382</v>
      </c>
    </row>
    <row r="693" spans="8:9" x14ac:dyDescent="0.25">
      <c r="H693">
        <v>692</v>
      </c>
      <c r="I693">
        <v>50.556740525737368</v>
      </c>
    </row>
    <row r="694" spans="8:9" x14ac:dyDescent="0.25">
      <c r="H694">
        <v>693</v>
      </c>
      <c r="I694">
        <v>44.423105956166886</v>
      </c>
    </row>
    <row r="695" spans="8:9" x14ac:dyDescent="0.25">
      <c r="H695">
        <v>694</v>
      </c>
      <c r="I695">
        <v>40.045652119144897</v>
      </c>
    </row>
    <row r="696" spans="8:9" x14ac:dyDescent="0.25">
      <c r="H696">
        <v>695</v>
      </c>
      <c r="I696">
        <v>50.890920604489935</v>
      </c>
    </row>
    <row r="697" spans="8:9" x14ac:dyDescent="0.25">
      <c r="H697">
        <v>696</v>
      </c>
      <c r="I697">
        <v>43.8037147061318</v>
      </c>
    </row>
    <row r="698" spans="8:9" x14ac:dyDescent="0.25">
      <c r="H698">
        <v>697</v>
      </c>
      <c r="I698">
        <v>43.011184458698338</v>
      </c>
    </row>
    <row r="699" spans="8:9" x14ac:dyDescent="0.25">
      <c r="H699">
        <v>698</v>
      </c>
      <c r="I699">
        <v>47.557898405121023</v>
      </c>
    </row>
    <row r="700" spans="8:9" x14ac:dyDescent="0.25">
      <c r="H700">
        <v>699</v>
      </c>
      <c r="I700">
        <v>47.748046323976375</v>
      </c>
    </row>
    <row r="701" spans="8:9" x14ac:dyDescent="0.25">
      <c r="H701">
        <v>700</v>
      </c>
      <c r="I701">
        <v>42.367431028900221</v>
      </c>
    </row>
    <row r="702" spans="8:9" x14ac:dyDescent="0.25">
      <c r="H702">
        <v>701</v>
      </c>
      <c r="I702">
        <v>50.509965696632463</v>
      </c>
    </row>
    <row r="703" spans="8:9" x14ac:dyDescent="0.25">
      <c r="H703">
        <v>702</v>
      </c>
      <c r="I703">
        <v>50.00109355551627</v>
      </c>
    </row>
    <row r="704" spans="8:9" x14ac:dyDescent="0.25">
      <c r="H704">
        <v>703</v>
      </c>
      <c r="I704">
        <v>32.611215573871029</v>
      </c>
    </row>
    <row r="705" spans="8:9" x14ac:dyDescent="0.25">
      <c r="H705">
        <v>704</v>
      </c>
      <c r="I705">
        <v>50.296304260341813</v>
      </c>
    </row>
    <row r="706" spans="8:9" x14ac:dyDescent="0.25">
      <c r="H706">
        <v>705</v>
      </c>
      <c r="I706">
        <v>48.096141299287574</v>
      </c>
    </row>
    <row r="707" spans="8:9" x14ac:dyDescent="0.25">
      <c r="H707">
        <v>706</v>
      </c>
      <c r="I707">
        <v>50.680175253586071</v>
      </c>
    </row>
    <row r="708" spans="8:9" x14ac:dyDescent="0.25">
      <c r="H708">
        <v>707</v>
      </c>
      <c r="I708">
        <v>40.418217456829737</v>
      </c>
    </row>
    <row r="709" spans="8:9" x14ac:dyDescent="0.25">
      <c r="H709">
        <v>708</v>
      </c>
      <c r="I709">
        <v>51.523552964986756</v>
      </c>
    </row>
    <row r="710" spans="8:9" x14ac:dyDescent="0.25">
      <c r="H710">
        <v>709</v>
      </c>
      <c r="I710">
        <v>43.432260719235209</v>
      </c>
    </row>
    <row r="711" spans="8:9" x14ac:dyDescent="0.25">
      <c r="H711">
        <v>710</v>
      </c>
      <c r="I711">
        <v>42.19827474188638</v>
      </c>
    </row>
    <row r="712" spans="8:9" x14ac:dyDescent="0.25">
      <c r="H712">
        <v>711</v>
      </c>
      <c r="I712">
        <v>43.189014703433074</v>
      </c>
    </row>
    <row r="713" spans="8:9" x14ac:dyDescent="0.25">
      <c r="H713">
        <v>712</v>
      </c>
      <c r="I713">
        <v>40.383263555797953</v>
      </c>
    </row>
    <row r="714" spans="8:9" x14ac:dyDescent="0.25">
      <c r="H714">
        <v>713</v>
      </c>
      <c r="I714">
        <v>34.189463674526827</v>
      </c>
    </row>
    <row r="715" spans="8:9" x14ac:dyDescent="0.25">
      <c r="H715">
        <v>714</v>
      </c>
      <c r="I715">
        <v>35.192032289754572</v>
      </c>
    </row>
    <row r="716" spans="8:9" x14ac:dyDescent="0.25">
      <c r="H716">
        <v>715</v>
      </c>
      <c r="I716">
        <v>44.297320751423193</v>
      </c>
    </row>
    <row r="717" spans="8:9" x14ac:dyDescent="0.25">
      <c r="H717">
        <v>716</v>
      </c>
      <c r="I717">
        <v>50.479875414855634</v>
      </c>
    </row>
    <row r="718" spans="8:9" x14ac:dyDescent="0.25">
      <c r="H718">
        <v>717</v>
      </c>
      <c r="I718">
        <v>39.793448451743643</v>
      </c>
    </row>
    <row r="719" spans="8:9" x14ac:dyDescent="0.25">
      <c r="H719">
        <v>718</v>
      </c>
      <c r="I719">
        <v>45.479899250851197</v>
      </c>
    </row>
    <row r="720" spans="8:9" x14ac:dyDescent="0.25">
      <c r="H720">
        <v>719</v>
      </c>
      <c r="I720">
        <v>35.26258332371841</v>
      </c>
    </row>
    <row r="721" spans="8:9" x14ac:dyDescent="0.25">
      <c r="H721">
        <v>720</v>
      </c>
      <c r="I721">
        <v>50.348941528288563</v>
      </c>
    </row>
    <row r="722" spans="8:9" x14ac:dyDescent="0.25">
      <c r="H722">
        <v>721</v>
      </c>
      <c r="I722">
        <v>43.13102711317881</v>
      </c>
    </row>
    <row r="723" spans="8:9" x14ac:dyDescent="0.25">
      <c r="H723">
        <v>722</v>
      </c>
      <c r="I723">
        <v>48.960813132754438</v>
      </c>
    </row>
    <row r="724" spans="8:9" x14ac:dyDescent="0.25">
      <c r="H724">
        <v>723</v>
      </c>
      <c r="I724">
        <v>43.241660474424854</v>
      </c>
    </row>
    <row r="725" spans="8:9" x14ac:dyDescent="0.25">
      <c r="H725">
        <v>724</v>
      </c>
      <c r="I725">
        <v>50.195930444822736</v>
      </c>
    </row>
    <row r="726" spans="8:9" x14ac:dyDescent="0.25">
      <c r="H726">
        <v>725</v>
      </c>
      <c r="I726">
        <v>40.829853854695735</v>
      </c>
    </row>
    <row r="727" spans="8:9" x14ac:dyDescent="0.25">
      <c r="H727">
        <v>726</v>
      </c>
      <c r="I727">
        <v>49.468643150014969</v>
      </c>
    </row>
    <row r="728" spans="8:9" x14ac:dyDescent="0.25">
      <c r="H728">
        <v>727</v>
      </c>
      <c r="I728">
        <v>45.272590136095474</v>
      </c>
    </row>
    <row r="729" spans="8:9" x14ac:dyDescent="0.25">
      <c r="H729">
        <v>728</v>
      </c>
      <c r="I729">
        <v>33.350479947329163</v>
      </c>
    </row>
    <row r="730" spans="8:9" x14ac:dyDescent="0.25">
      <c r="H730">
        <v>729</v>
      </c>
      <c r="I730">
        <v>50.456587011447517</v>
      </c>
    </row>
    <row r="731" spans="8:9" x14ac:dyDescent="0.25">
      <c r="H731">
        <v>730</v>
      </c>
      <c r="I731">
        <v>48.271631546194762</v>
      </c>
    </row>
    <row r="732" spans="8:9" x14ac:dyDescent="0.25">
      <c r="H732">
        <v>731</v>
      </c>
      <c r="I732">
        <v>47.826547878525723</v>
      </c>
    </row>
    <row r="733" spans="8:9" x14ac:dyDescent="0.25">
      <c r="H733">
        <v>732</v>
      </c>
      <c r="I733">
        <v>42.415288683831022</v>
      </c>
    </row>
    <row r="734" spans="8:9" x14ac:dyDescent="0.25">
      <c r="H734">
        <v>733</v>
      </c>
      <c r="I734">
        <v>42.746850783340726</v>
      </c>
    </row>
    <row r="735" spans="8:9" x14ac:dyDescent="0.25">
      <c r="H735">
        <v>734</v>
      </c>
      <c r="I735">
        <v>48.466288716388028</v>
      </c>
    </row>
    <row r="736" spans="8:9" x14ac:dyDescent="0.25">
      <c r="H736">
        <v>735</v>
      </c>
      <c r="I736">
        <v>48.68561238988768</v>
      </c>
    </row>
    <row r="737" spans="8:9" x14ac:dyDescent="0.25">
      <c r="H737">
        <v>736</v>
      </c>
      <c r="I737">
        <v>47.776765484116012</v>
      </c>
    </row>
    <row r="738" spans="8:9" x14ac:dyDescent="0.25">
      <c r="H738">
        <v>737</v>
      </c>
      <c r="I738">
        <v>49.135447042162312</v>
      </c>
    </row>
    <row r="739" spans="8:9" x14ac:dyDescent="0.25">
      <c r="H739">
        <v>738</v>
      </c>
      <c r="I739">
        <v>48.611824980055303</v>
      </c>
    </row>
    <row r="740" spans="8:9" x14ac:dyDescent="0.25">
      <c r="H740">
        <v>739</v>
      </c>
      <c r="I740">
        <v>39.178003230357163</v>
      </c>
    </row>
    <row r="741" spans="8:9" x14ac:dyDescent="0.25">
      <c r="H741">
        <v>740</v>
      </c>
      <c r="I741">
        <v>40.538391126215807</v>
      </c>
    </row>
    <row r="742" spans="8:9" x14ac:dyDescent="0.25">
      <c r="H742">
        <v>741</v>
      </c>
      <c r="I742">
        <v>48.066398745351194</v>
      </c>
    </row>
    <row r="743" spans="8:9" x14ac:dyDescent="0.25">
      <c r="H743">
        <v>742</v>
      </c>
      <c r="I743">
        <v>43.913094653207658</v>
      </c>
    </row>
    <row r="744" spans="8:9" x14ac:dyDescent="0.25">
      <c r="H744">
        <v>743</v>
      </c>
      <c r="I744">
        <v>50.440010483797629</v>
      </c>
    </row>
    <row r="745" spans="8:9" x14ac:dyDescent="0.25">
      <c r="H745">
        <v>744</v>
      </c>
      <c r="I745">
        <v>47.015980721407672</v>
      </c>
    </row>
    <row r="746" spans="8:9" x14ac:dyDescent="0.25">
      <c r="H746">
        <v>745</v>
      </c>
      <c r="I746">
        <v>50.225205801015775</v>
      </c>
    </row>
    <row r="747" spans="8:9" x14ac:dyDescent="0.25">
      <c r="H747">
        <v>746</v>
      </c>
      <c r="I747">
        <v>49.037011145535153</v>
      </c>
    </row>
    <row r="748" spans="8:9" x14ac:dyDescent="0.25">
      <c r="H748">
        <v>747</v>
      </c>
      <c r="I748">
        <v>51.340834236709284</v>
      </c>
    </row>
    <row r="749" spans="8:9" x14ac:dyDescent="0.25">
      <c r="H749">
        <v>748</v>
      </c>
      <c r="I749">
        <v>46.725015506750836</v>
      </c>
    </row>
    <row r="750" spans="8:9" x14ac:dyDescent="0.25">
      <c r="H750">
        <v>749</v>
      </c>
      <c r="I750">
        <v>49.4233309244023</v>
      </c>
    </row>
    <row r="751" spans="8:9" x14ac:dyDescent="0.25">
      <c r="H751">
        <v>750</v>
      </c>
      <c r="I751">
        <v>43.925164559105241</v>
      </c>
    </row>
    <row r="752" spans="8:9" x14ac:dyDescent="0.25">
      <c r="H752">
        <v>751</v>
      </c>
      <c r="I752">
        <v>48.316638419438291</v>
      </c>
    </row>
    <row r="753" spans="8:9" x14ac:dyDescent="0.25">
      <c r="H753">
        <v>752</v>
      </c>
      <c r="I753">
        <v>44.811510931263925</v>
      </c>
    </row>
    <row r="754" spans="8:9" x14ac:dyDescent="0.25">
      <c r="H754">
        <v>753</v>
      </c>
      <c r="I754">
        <v>30.26101612599809</v>
      </c>
    </row>
    <row r="755" spans="8:9" x14ac:dyDescent="0.25">
      <c r="H755">
        <v>754</v>
      </c>
      <c r="I755">
        <v>43.245062324408103</v>
      </c>
    </row>
    <row r="756" spans="8:9" x14ac:dyDescent="0.25">
      <c r="H756">
        <v>755</v>
      </c>
      <c r="I756">
        <v>34.123842709973538</v>
      </c>
    </row>
    <row r="757" spans="8:9" x14ac:dyDescent="0.25">
      <c r="H757">
        <v>756</v>
      </c>
      <c r="I757">
        <v>48.449316087657202</v>
      </c>
    </row>
    <row r="758" spans="8:9" x14ac:dyDescent="0.25">
      <c r="H758">
        <v>757</v>
      </c>
      <c r="I758">
        <v>40.059669893029849</v>
      </c>
    </row>
    <row r="759" spans="8:9" x14ac:dyDescent="0.25">
      <c r="H759">
        <v>758</v>
      </c>
      <c r="I759">
        <v>33.860212134320477</v>
      </c>
    </row>
    <row r="760" spans="8:9" x14ac:dyDescent="0.25">
      <c r="H760">
        <v>759</v>
      </c>
      <c r="I760">
        <v>42.751022158970578</v>
      </c>
    </row>
    <row r="761" spans="8:9" x14ac:dyDescent="0.25">
      <c r="H761">
        <v>760</v>
      </c>
      <c r="I761">
        <v>45.097534890060182</v>
      </c>
    </row>
    <row r="762" spans="8:9" x14ac:dyDescent="0.25">
      <c r="H762">
        <v>761</v>
      </c>
      <c r="I762">
        <v>51.353470537877747</v>
      </c>
    </row>
    <row r="763" spans="8:9" x14ac:dyDescent="0.25">
      <c r="H763">
        <v>762</v>
      </c>
      <c r="I763">
        <v>42.016670598159543</v>
      </c>
    </row>
    <row r="764" spans="8:9" x14ac:dyDescent="0.25">
      <c r="H764">
        <v>763</v>
      </c>
      <c r="I764">
        <v>39.695659260145696</v>
      </c>
    </row>
    <row r="765" spans="8:9" x14ac:dyDescent="0.25">
      <c r="H765">
        <v>764</v>
      </c>
      <c r="I765">
        <v>50.263474656639126</v>
      </c>
    </row>
    <row r="766" spans="8:9" x14ac:dyDescent="0.25">
      <c r="H766">
        <v>765</v>
      </c>
      <c r="I766">
        <v>48.313446977720453</v>
      </c>
    </row>
    <row r="767" spans="8:9" x14ac:dyDescent="0.25">
      <c r="H767">
        <v>766</v>
      </c>
      <c r="I767">
        <v>43.318735340371603</v>
      </c>
    </row>
    <row r="768" spans="8:9" x14ac:dyDescent="0.25">
      <c r="H768">
        <v>767</v>
      </c>
      <c r="I768">
        <v>43.968326126161273</v>
      </c>
    </row>
    <row r="769" spans="8:9" x14ac:dyDescent="0.25">
      <c r="H769">
        <v>768</v>
      </c>
      <c r="I769">
        <v>37.640984350701167</v>
      </c>
    </row>
    <row r="770" spans="8:9" x14ac:dyDescent="0.25">
      <c r="H770">
        <v>769</v>
      </c>
      <c r="I770">
        <v>44.721150755790532</v>
      </c>
    </row>
    <row r="771" spans="8:9" x14ac:dyDescent="0.25">
      <c r="H771">
        <v>770</v>
      </c>
      <c r="I771">
        <v>42.410175613665039</v>
      </c>
    </row>
    <row r="772" spans="8:9" x14ac:dyDescent="0.25">
      <c r="H772">
        <v>771</v>
      </c>
      <c r="I772">
        <v>29.549529979514158</v>
      </c>
    </row>
    <row r="773" spans="8:9" x14ac:dyDescent="0.25">
      <c r="H773">
        <v>772</v>
      </c>
      <c r="I773">
        <v>28.878266345111712</v>
      </c>
    </row>
    <row r="774" spans="8:9" x14ac:dyDescent="0.25">
      <c r="H774">
        <v>773</v>
      </c>
      <c r="I774">
        <v>48.863077496224385</v>
      </c>
    </row>
    <row r="775" spans="8:9" x14ac:dyDescent="0.25">
      <c r="H775">
        <v>774</v>
      </c>
      <c r="I775">
        <v>49.689424176686899</v>
      </c>
    </row>
    <row r="776" spans="8:9" x14ac:dyDescent="0.25">
      <c r="H776">
        <v>775</v>
      </c>
      <c r="I776">
        <v>44.746346876982528</v>
      </c>
    </row>
    <row r="777" spans="8:9" x14ac:dyDescent="0.25">
      <c r="H777">
        <v>776</v>
      </c>
      <c r="I777">
        <v>48.263811813210204</v>
      </c>
    </row>
    <row r="778" spans="8:9" x14ac:dyDescent="0.25">
      <c r="H778">
        <v>777</v>
      </c>
      <c r="I778">
        <v>48.651974589378703</v>
      </c>
    </row>
    <row r="779" spans="8:9" x14ac:dyDescent="0.25">
      <c r="H779">
        <v>778</v>
      </c>
      <c r="I779">
        <v>49.167662864416229</v>
      </c>
    </row>
    <row r="780" spans="8:9" x14ac:dyDescent="0.25">
      <c r="H780">
        <v>779</v>
      </c>
      <c r="I780">
        <v>43.641956524579122</v>
      </c>
    </row>
    <row r="781" spans="8:9" x14ac:dyDescent="0.25">
      <c r="H781">
        <v>780</v>
      </c>
      <c r="I781">
        <v>46.011097365355752</v>
      </c>
    </row>
    <row r="782" spans="8:9" x14ac:dyDescent="0.25">
      <c r="H782">
        <v>781</v>
      </c>
      <c r="I782">
        <v>38.59307711601393</v>
      </c>
    </row>
    <row r="783" spans="8:9" x14ac:dyDescent="0.25">
      <c r="H783">
        <v>782</v>
      </c>
      <c r="I783">
        <v>42.278796604394145</v>
      </c>
    </row>
    <row r="784" spans="8:9" x14ac:dyDescent="0.25">
      <c r="H784">
        <v>783</v>
      </c>
      <c r="I784">
        <v>49.95027808067389</v>
      </c>
    </row>
    <row r="785" spans="8:9" x14ac:dyDescent="0.25">
      <c r="H785">
        <v>784</v>
      </c>
      <c r="I785">
        <v>39.658444990617021</v>
      </c>
    </row>
    <row r="786" spans="8:9" x14ac:dyDescent="0.25">
      <c r="H786">
        <v>785</v>
      </c>
      <c r="I786">
        <v>50.841555084386151</v>
      </c>
    </row>
    <row r="787" spans="8:9" x14ac:dyDescent="0.25">
      <c r="H787">
        <v>786</v>
      </c>
      <c r="I787">
        <v>41.035570610804385</v>
      </c>
    </row>
    <row r="788" spans="8:9" x14ac:dyDescent="0.25">
      <c r="H788">
        <v>787</v>
      </c>
      <c r="I788">
        <v>50.060544544486412</v>
      </c>
    </row>
    <row r="789" spans="8:9" x14ac:dyDescent="0.25">
      <c r="H789">
        <v>788</v>
      </c>
      <c r="I789">
        <v>46.365928023481352</v>
      </c>
    </row>
    <row r="790" spans="8:9" x14ac:dyDescent="0.25">
      <c r="H790">
        <v>789</v>
      </c>
      <c r="I790">
        <v>50.05573860611392</v>
      </c>
    </row>
    <row r="791" spans="8:9" x14ac:dyDescent="0.25">
      <c r="H791">
        <v>790</v>
      </c>
      <c r="I791">
        <v>31.870043354662545</v>
      </c>
    </row>
    <row r="792" spans="8:9" x14ac:dyDescent="0.25">
      <c r="H792">
        <v>791</v>
      </c>
      <c r="I792">
        <v>49.141702923132996</v>
      </c>
    </row>
    <row r="793" spans="8:9" x14ac:dyDescent="0.25">
      <c r="H793">
        <v>792</v>
      </c>
      <c r="I793">
        <v>50.246393348455918</v>
      </c>
    </row>
    <row r="794" spans="8:9" x14ac:dyDescent="0.25">
      <c r="H794">
        <v>793</v>
      </c>
      <c r="I794">
        <v>43.415296212650695</v>
      </c>
    </row>
    <row r="795" spans="8:9" x14ac:dyDescent="0.25">
      <c r="H795">
        <v>794</v>
      </c>
      <c r="I795">
        <v>47.478435913781162</v>
      </c>
    </row>
    <row r="796" spans="8:9" x14ac:dyDescent="0.25">
      <c r="H796">
        <v>795</v>
      </c>
      <c r="I796">
        <v>45.276418605402576</v>
      </c>
    </row>
    <row r="797" spans="8:9" x14ac:dyDescent="0.25">
      <c r="H797">
        <v>796</v>
      </c>
      <c r="I797">
        <v>49.297698490110406</v>
      </c>
    </row>
    <row r="798" spans="8:9" x14ac:dyDescent="0.25">
      <c r="H798">
        <v>797</v>
      </c>
      <c r="I798">
        <v>51.42483565017001</v>
      </c>
    </row>
    <row r="799" spans="8:9" x14ac:dyDescent="0.25">
      <c r="H799">
        <v>798</v>
      </c>
      <c r="I799">
        <v>47.729406085643873</v>
      </c>
    </row>
    <row r="800" spans="8:9" x14ac:dyDescent="0.25">
      <c r="H800">
        <v>799</v>
      </c>
      <c r="I800">
        <v>49.243633619705463</v>
      </c>
    </row>
    <row r="801" spans="8:9" x14ac:dyDescent="0.25">
      <c r="H801">
        <v>800</v>
      </c>
      <c r="I801">
        <v>48.969967559307889</v>
      </c>
    </row>
    <row r="802" spans="8:9" x14ac:dyDescent="0.25">
      <c r="H802">
        <v>801</v>
      </c>
      <c r="I802">
        <v>48.890523838904237</v>
      </c>
    </row>
    <row r="803" spans="8:9" x14ac:dyDescent="0.25">
      <c r="H803">
        <v>802</v>
      </c>
      <c r="I803">
        <v>44.005145525450168</v>
      </c>
    </row>
    <row r="804" spans="8:9" x14ac:dyDescent="0.25">
      <c r="H804">
        <v>803</v>
      </c>
      <c r="I804">
        <v>32.583135003963498</v>
      </c>
    </row>
    <row r="805" spans="8:9" x14ac:dyDescent="0.25">
      <c r="H805">
        <v>804</v>
      </c>
      <c r="I805">
        <v>48.980923865955845</v>
      </c>
    </row>
    <row r="806" spans="8:9" x14ac:dyDescent="0.25">
      <c r="H806">
        <v>805</v>
      </c>
      <c r="I806">
        <v>48.982105404635867</v>
      </c>
    </row>
    <row r="807" spans="8:9" x14ac:dyDescent="0.25">
      <c r="H807">
        <v>806</v>
      </c>
      <c r="I807">
        <v>49.617384625188926</v>
      </c>
    </row>
    <row r="808" spans="8:9" x14ac:dyDescent="0.25">
      <c r="H808">
        <v>807</v>
      </c>
      <c r="I808">
        <v>50.418832805397535</v>
      </c>
    </row>
    <row r="809" spans="8:9" x14ac:dyDescent="0.25">
      <c r="H809">
        <v>808</v>
      </c>
      <c r="I809">
        <v>49.286880670443573</v>
      </c>
    </row>
    <row r="810" spans="8:9" x14ac:dyDescent="0.25">
      <c r="H810">
        <v>809</v>
      </c>
      <c r="I810">
        <v>50.90049739871256</v>
      </c>
    </row>
    <row r="811" spans="8:9" x14ac:dyDescent="0.25">
      <c r="H811">
        <v>810</v>
      </c>
      <c r="I811">
        <v>45.439260352143044</v>
      </c>
    </row>
    <row r="812" spans="8:9" x14ac:dyDescent="0.25">
      <c r="H812">
        <v>811</v>
      </c>
      <c r="I812">
        <v>33.005317209874534</v>
      </c>
    </row>
    <row r="813" spans="8:9" x14ac:dyDescent="0.25">
      <c r="H813">
        <v>812</v>
      </c>
      <c r="I813">
        <v>50.576766539623328</v>
      </c>
    </row>
    <row r="814" spans="8:9" x14ac:dyDescent="0.25">
      <c r="H814">
        <v>813</v>
      </c>
      <c r="I814">
        <v>45.148921122039852</v>
      </c>
    </row>
    <row r="815" spans="8:9" x14ac:dyDescent="0.25">
      <c r="H815">
        <v>814</v>
      </c>
      <c r="I815">
        <v>47.697031597822892</v>
      </c>
    </row>
    <row r="816" spans="8:9" x14ac:dyDescent="0.25">
      <c r="H816">
        <v>815</v>
      </c>
      <c r="I816">
        <v>48.639079292947585</v>
      </c>
    </row>
    <row r="817" spans="8:9" x14ac:dyDescent="0.25">
      <c r="H817">
        <v>816</v>
      </c>
      <c r="I817">
        <v>35.225190978341551</v>
      </c>
    </row>
    <row r="818" spans="8:9" x14ac:dyDescent="0.25">
      <c r="H818">
        <v>817</v>
      </c>
      <c r="I818">
        <v>41.796569410579821</v>
      </c>
    </row>
    <row r="819" spans="8:9" x14ac:dyDescent="0.25">
      <c r="H819">
        <v>818</v>
      </c>
      <c r="I819">
        <v>39.668209552679734</v>
      </c>
    </row>
    <row r="820" spans="8:9" x14ac:dyDescent="0.25">
      <c r="H820">
        <v>819</v>
      </c>
      <c r="I820">
        <v>50.323420349850252</v>
      </c>
    </row>
    <row r="821" spans="8:9" x14ac:dyDescent="0.25">
      <c r="H821">
        <v>820</v>
      </c>
      <c r="I821">
        <v>37.137068300830691</v>
      </c>
    </row>
    <row r="822" spans="8:9" x14ac:dyDescent="0.25">
      <c r="H822">
        <v>821</v>
      </c>
      <c r="I822">
        <v>44.354014979625148</v>
      </c>
    </row>
    <row r="823" spans="8:9" x14ac:dyDescent="0.25">
      <c r="H823">
        <v>822</v>
      </c>
      <c r="I823">
        <v>33.061024531878445</v>
      </c>
    </row>
    <row r="824" spans="8:9" x14ac:dyDescent="0.25">
      <c r="H824">
        <v>823</v>
      </c>
      <c r="I824">
        <v>48.023627156930701</v>
      </c>
    </row>
    <row r="825" spans="8:9" x14ac:dyDescent="0.25">
      <c r="H825">
        <v>824</v>
      </c>
      <c r="I825">
        <v>40.715261505259839</v>
      </c>
    </row>
    <row r="826" spans="8:9" x14ac:dyDescent="0.25">
      <c r="H826">
        <v>825</v>
      </c>
      <c r="I826">
        <v>43.901677135311111</v>
      </c>
    </row>
    <row r="827" spans="8:9" x14ac:dyDescent="0.25">
      <c r="H827">
        <v>826</v>
      </c>
      <c r="I827">
        <v>42.355144537695296</v>
      </c>
    </row>
    <row r="828" spans="8:9" x14ac:dyDescent="0.25">
      <c r="H828">
        <v>827</v>
      </c>
      <c r="I828">
        <v>49.438612558917391</v>
      </c>
    </row>
    <row r="829" spans="8:9" x14ac:dyDescent="0.25">
      <c r="H829">
        <v>828</v>
      </c>
      <c r="I829">
        <v>43.515719296343754</v>
      </c>
    </row>
    <row r="830" spans="8:9" x14ac:dyDescent="0.25">
      <c r="H830">
        <v>829</v>
      </c>
      <c r="I830">
        <v>49.824755413867273</v>
      </c>
    </row>
    <row r="831" spans="8:9" x14ac:dyDescent="0.25">
      <c r="H831">
        <v>830</v>
      </c>
      <c r="I831">
        <v>35.213105560205946</v>
      </c>
    </row>
    <row r="832" spans="8:9" x14ac:dyDescent="0.25">
      <c r="H832">
        <v>831</v>
      </c>
      <c r="I832">
        <v>49.123726486153039</v>
      </c>
    </row>
    <row r="833" spans="8:9" x14ac:dyDescent="0.25">
      <c r="H833">
        <v>832</v>
      </c>
      <c r="I833">
        <v>46.296346103375058</v>
      </c>
    </row>
    <row r="834" spans="8:9" x14ac:dyDescent="0.25">
      <c r="H834">
        <v>833</v>
      </c>
      <c r="I834">
        <v>49.259854500663181</v>
      </c>
    </row>
    <row r="835" spans="8:9" x14ac:dyDescent="0.25">
      <c r="H835">
        <v>834</v>
      </c>
      <c r="I835">
        <v>33.173171097622067</v>
      </c>
    </row>
    <row r="836" spans="8:9" x14ac:dyDescent="0.25">
      <c r="H836">
        <v>835</v>
      </c>
      <c r="I836">
        <v>40.985143491834627</v>
      </c>
    </row>
    <row r="837" spans="8:9" x14ac:dyDescent="0.25">
      <c r="H837">
        <v>836</v>
      </c>
      <c r="I837">
        <v>34.242078641889393</v>
      </c>
    </row>
    <row r="838" spans="8:9" x14ac:dyDescent="0.25">
      <c r="H838">
        <v>837</v>
      </c>
      <c r="I838">
        <v>50.853601372598618</v>
      </c>
    </row>
    <row r="839" spans="8:9" x14ac:dyDescent="0.25">
      <c r="H839">
        <v>838</v>
      </c>
      <c r="I839">
        <v>47.621264357563774</v>
      </c>
    </row>
    <row r="840" spans="8:9" x14ac:dyDescent="0.25">
      <c r="H840">
        <v>839</v>
      </c>
      <c r="I840">
        <v>51.801151681904969</v>
      </c>
    </row>
    <row r="841" spans="8:9" x14ac:dyDescent="0.25">
      <c r="H841">
        <v>840</v>
      </c>
      <c r="I841">
        <v>49.318660733020309</v>
      </c>
    </row>
    <row r="842" spans="8:9" x14ac:dyDescent="0.25">
      <c r="H842">
        <v>841</v>
      </c>
      <c r="I842">
        <v>39.887675944633223</v>
      </c>
    </row>
    <row r="843" spans="8:9" x14ac:dyDescent="0.25">
      <c r="H843">
        <v>842</v>
      </c>
      <c r="I843">
        <v>40.661975345953451</v>
      </c>
    </row>
    <row r="844" spans="8:9" x14ac:dyDescent="0.25">
      <c r="H844">
        <v>843</v>
      </c>
      <c r="I844">
        <v>35.75724810030259</v>
      </c>
    </row>
    <row r="845" spans="8:9" x14ac:dyDescent="0.25">
      <c r="H845">
        <v>844</v>
      </c>
      <c r="I845">
        <v>47.807056602216875</v>
      </c>
    </row>
    <row r="846" spans="8:9" x14ac:dyDescent="0.25">
      <c r="H846">
        <v>845</v>
      </c>
      <c r="I846">
        <v>46.212665767050112</v>
      </c>
    </row>
    <row r="847" spans="8:9" x14ac:dyDescent="0.25">
      <c r="H847">
        <v>846</v>
      </c>
      <c r="I847">
        <v>50.699134813323994</v>
      </c>
    </row>
    <row r="848" spans="8:9" x14ac:dyDescent="0.25">
      <c r="H848">
        <v>847</v>
      </c>
      <c r="I848">
        <v>47.640005170827592</v>
      </c>
    </row>
    <row r="849" spans="8:9" x14ac:dyDescent="0.25">
      <c r="H849">
        <v>848</v>
      </c>
      <c r="I849">
        <v>44.298062558151372</v>
      </c>
    </row>
    <row r="850" spans="8:9" x14ac:dyDescent="0.25">
      <c r="H850">
        <v>849</v>
      </c>
      <c r="I850">
        <v>39.483391620208181</v>
      </c>
    </row>
    <row r="851" spans="8:9" x14ac:dyDescent="0.25">
      <c r="H851">
        <v>850</v>
      </c>
      <c r="I851">
        <v>34.645945667904108</v>
      </c>
    </row>
    <row r="852" spans="8:9" x14ac:dyDescent="0.25">
      <c r="H852">
        <v>851</v>
      </c>
      <c r="I852">
        <v>48.33027829770041</v>
      </c>
    </row>
    <row r="853" spans="8:9" x14ac:dyDescent="0.25">
      <c r="H853">
        <v>852</v>
      </c>
      <c r="I853">
        <v>46.034341583271754</v>
      </c>
    </row>
    <row r="854" spans="8:9" x14ac:dyDescent="0.25">
      <c r="H854">
        <v>853</v>
      </c>
      <c r="I854">
        <v>42.686230054214832</v>
      </c>
    </row>
    <row r="855" spans="8:9" x14ac:dyDescent="0.25">
      <c r="H855">
        <v>854</v>
      </c>
      <c r="I855">
        <v>29.268151568057981</v>
      </c>
    </row>
    <row r="856" spans="8:9" x14ac:dyDescent="0.25">
      <c r="H856">
        <v>855</v>
      </c>
      <c r="I856">
        <v>44.16279540024064</v>
      </c>
    </row>
    <row r="857" spans="8:9" x14ac:dyDescent="0.25">
      <c r="H857">
        <v>856</v>
      </c>
      <c r="I857">
        <v>37.896416864627511</v>
      </c>
    </row>
    <row r="858" spans="8:9" x14ac:dyDescent="0.25">
      <c r="H858">
        <v>857</v>
      </c>
      <c r="I858">
        <v>46.378097017860817</v>
      </c>
    </row>
    <row r="859" spans="8:9" x14ac:dyDescent="0.25">
      <c r="H859">
        <v>858</v>
      </c>
      <c r="I859">
        <v>50.576189318975651</v>
      </c>
    </row>
    <row r="860" spans="8:9" x14ac:dyDescent="0.25">
      <c r="H860">
        <v>859</v>
      </c>
      <c r="I860">
        <v>33.61871921898161</v>
      </c>
    </row>
    <row r="861" spans="8:9" x14ac:dyDescent="0.25">
      <c r="H861">
        <v>860</v>
      </c>
      <c r="I861">
        <v>49.742996098960248</v>
      </c>
    </row>
    <row r="862" spans="8:9" x14ac:dyDescent="0.25">
      <c r="H862">
        <v>861</v>
      </c>
      <c r="I862">
        <v>37.492869074546448</v>
      </c>
    </row>
    <row r="863" spans="8:9" x14ac:dyDescent="0.25">
      <c r="H863">
        <v>862</v>
      </c>
      <c r="I863">
        <v>49.564727873198343</v>
      </c>
    </row>
    <row r="864" spans="8:9" x14ac:dyDescent="0.25">
      <c r="H864">
        <v>863</v>
      </c>
      <c r="I864">
        <v>45.571911256599918</v>
      </c>
    </row>
    <row r="865" spans="8:9" x14ac:dyDescent="0.25">
      <c r="H865">
        <v>864</v>
      </c>
      <c r="I865">
        <v>42.575423032986279</v>
      </c>
    </row>
    <row r="866" spans="8:9" x14ac:dyDescent="0.25">
      <c r="H866">
        <v>865</v>
      </c>
      <c r="I866">
        <v>49.294868549901508</v>
      </c>
    </row>
    <row r="867" spans="8:9" x14ac:dyDescent="0.25">
      <c r="H867">
        <v>866</v>
      </c>
      <c r="I867">
        <v>43.774341196288603</v>
      </c>
    </row>
    <row r="868" spans="8:9" x14ac:dyDescent="0.25">
      <c r="H868">
        <v>867</v>
      </c>
      <c r="I868">
        <v>48.400859442283426</v>
      </c>
    </row>
    <row r="869" spans="8:9" x14ac:dyDescent="0.25">
      <c r="H869">
        <v>868</v>
      </c>
      <c r="I869">
        <v>51.406658398311322</v>
      </c>
    </row>
    <row r="870" spans="8:9" x14ac:dyDescent="0.25">
      <c r="H870">
        <v>869</v>
      </c>
      <c r="I870">
        <v>42.342740727945539</v>
      </c>
    </row>
    <row r="871" spans="8:9" x14ac:dyDescent="0.25">
      <c r="H871">
        <v>870</v>
      </c>
      <c r="I871">
        <v>43.460506422738469</v>
      </c>
    </row>
    <row r="872" spans="8:9" x14ac:dyDescent="0.25">
      <c r="H872">
        <v>871</v>
      </c>
      <c r="I872">
        <v>44.131439740235045</v>
      </c>
    </row>
    <row r="873" spans="8:9" x14ac:dyDescent="0.25">
      <c r="H873">
        <v>872</v>
      </c>
      <c r="I873">
        <v>46.214119852875086</v>
      </c>
    </row>
    <row r="874" spans="8:9" x14ac:dyDescent="0.25">
      <c r="H874">
        <v>873</v>
      </c>
      <c r="I874">
        <v>37.444822227234866</v>
      </c>
    </row>
    <row r="875" spans="8:9" x14ac:dyDescent="0.25">
      <c r="H875">
        <v>874</v>
      </c>
      <c r="I875">
        <v>40.599118814579676</v>
      </c>
    </row>
    <row r="876" spans="8:9" x14ac:dyDescent="0.25">
      <c r="H876">
        <v>875</v>
      </c>
      <c r="I876">
        <v>42.251981094446144</v>
      </c>
    </row>
    <row r="877" spans="8:9" x14ac:dyDescent="0.25">
      <c r="H877">
        <v>876</v>
      </c>
      <c r="I877">
        <v>44.288326121054993</v>
      </c>
    </row>
    <row r="878" spans="8:9" x14ac:dyDescent="0.25">
      <c r="H878">
        <v>877</v>
      </c>
      <c r="I878">
        <v>49.012588712711974</v>
      </c>
    </row>
    <row r="879" spans="8:9" x14ac:dyDescent="0.25">
      <c r="H879">
        <v>878</v>
      </c>
      <c r="I879">
        <v>34.018863121624001</v>
      </c>
    </row>
    <row r="880" spans="8:9" x14ac:dyDescent="0.25">
      <c r="H880">
        <v>879</v>
      </c>
      <c r="I880">
        <v>48.28749630310768</v>
      </c>
    </row>
    <row r="881" spans="8:9" x14ac:dyDescent="0.25">
      <c r="H881">
        <v>880</v>
      </c>
      <c r="I881">
        <v>45.521468709104489</v>
      </c>
    </row>
    <row r="882" spans="8:9" x14ac:dyDescent="0.25">
      <c r="H882">
        <v>881</v>
      </c>
      <c r="I882">
        <v>47.319151537159243</v>
      </c>
    </row>
    <row r="883" spans="8:9" x14ac:dyDescent="0.25">
      <c r="H883">
        <v>882</v>
      </c>
      <c r="I883">
        <v>39.936775467314384</v>
      </c>
    </row>
    <row r="884" spans="8:9" x14ac:dyDescent="0.25">
      <c r="H884">
        <v>883</v>
      </c>
      <c r="I884">
        <v>47.355683144662081</v>
      </c>
    </row>
    <row r="885" spans="8:9" x14ac:dyDescent="0.25">
      <c r="H885">
        <v>884</v>
      </c>
      <c r="I885">
        <v>36.445661982772762</v>
      </c>
    </row>
    <row r="886" spans="8:9" x14ac:dyDescent="0.25">
      <c r="H886">
        <v>885</v>
      </c>
      <c r="I886">
        <v>39.143017524850059</v>
      </c>
    </row>
    <row r="887" spans="8:9" x14ac:dyDescent="0.25">
      <c r="H887">
        <v>886</v>
      </c>
      <c r="I887">
        <v>50.34216814070416</v>
      </c>
    </row>
    <row r="888" spans="8:9" x14ac:dyDescent="0.25">
      <c r="H888">
        <v>887</v>
      </c>
      <c r="I888">
        <v>45.767974325706071</v>
      </c>
    </row>
    <row r="889" spans="8:9" x14ac:dyDescent="0.25">
      <c r="H889">
        <v>888</v>
      </c>
      <c r="I889">
        <v>49.465455605783433</v>
      </c>
    </row>
    <row r="890" spans="8:9" x14ac:dyDescent="0.25">
      <c r="H890">
        <v>889</v>
      </c>
      <c r="I890">
        <v>49.309155916917298</v>
      </c>
    </row>
    <row r="891" spans="8:9" x14ac:dyDescent="0.25">
      <c r="H891">
        <v>890</v>
      </c>
      <c r="I891">
        <v>44.166431238447842</v>
      </c>
    </row>
    <row r="892" spans="8:9" x14ac:dyDescent="0.25">
      <c r="H892">
        <v>891</v>
      </c>
      <c r="I892">
        <v>49.295940506587407</v>
      </c>
    </row>
    <row r="893" spans="8:9" x14ac:dyDescent="0.25">
      <c r="H893">
        <v>892</v>
      </c>
      <c r="I893">
        <v>44.365612150550845</v>
      </c>
    </row>
    <row r="894" spans="8:9" x14ac:dyDescent="0.25">
      <c r="H894">
        <v>893</v>
      </c>
      <c r="I894">
        <v>48.253796656351561</v>
      </c>
    </row>
    <row r="895" spans="8:9" x14ac:dyDescent="0.25">
      <c r="H895">
        <v>894</v>
      </c>
      <c r="I895">
        <v>48.369098182029283</v>
      </c>
    </row>
    <row r="896" spans="8:9" x14ac:dyDescent="0.25">
      <c r="H896">
        <v>895</v>
      </c>
      <c r="I896">
        <v>43.157614390317626</v>
      </c>
    </row>
    <row r="897" spans="8:9" x14ac:dyDescent="0.25">
      <c r="H897">
        <v>896</v>
      </c>
      <c r="I897">
        <v>43.852374504280824</v>
      </c>
    </row>
    <row r="898" spans="8:9" x14ac:dyDescent="0.25">
      <c r="H898">
        <v>897</v>
      </c>
      <c r="I898">
        <v>48.48614701952399</v>
      </c>
    </row>
    <row r="899" spans="8:9" x14ac:dyDescent="0.25">
      <c r="H899">
        <v>898</v>
      </c>
      <c r="I899">
        <v>49.377205755592499</v>
      </c>
    </row>
    <row r="900" spans="8:9" x14ac:dyDescent="0.25">
      <c r="H900">
        <v>899</v>
      </c>
      <c r="I900">
        <v>49.075189464779356</v>
      </c>
    </row>
    <row r="901" spans="8:9" x14ac:dyDescent="0.25">
      <c r="H901">
        <v>900</v>
      </c>
      <c r="I901">
        <v>51.113838435874108</v>
      </c>
    </row>
    <row r="902" spans="8:9" x14ac:dyDescent="0.25">
      <c r="H902">
        <v>901</v>
      </c>
      <c r="I902">
        <v>37.437583104968674</v>
      </c>
    </row>
    <row r="903" spans="8:9" x14ac:dyDescent="0.25">
      <c r="H903">
        <v>902</v>
      </c>
      <c r="I903">
        <v>40.852126636903833</v>
      </c>
    </row>
    <row r="904" spans="8:9" x14ac:dyDescent="0.25">
      <c r="H904">
        <v>903</v>
      </c>
      <c r="I904">
        <v>49.664969323164229</v>
      </c>
    </row>
    <row r="905" spans="8:9" x14ac:dyDescent="0.25">
      <c r="H905">
        <v>904</v>
      </c>
      <c r="I905">
        <v>48.876356888629644</v>
      </c>
    </row>
    <row r="906" spans="8:9" x14ac:dyDescent="0.25">
      <c r="H906">
        <v>905</v>
      </c>
      <c r="I906">
        <v>51.733202182530725</v>
      </c>
    </row>
    <row r="907" spans="8:9" x14ac:dyDescent="0.25">
      <c r="H907">
        <v>906</v>
      </c>
      <c r="I907">
        <v>44.115522205797376</v>
      </c>
    </row>
    <row r="908" spans="8:9" x14ac:dyDescent="0.25">
      <c r="H908">
        <v>907</v>
      </c>
      <c r="I908">
        <v>38.374439450089426</v>
      </c>
    </row>
    <row r="909" spans="8:9" x14ac:dyDescent="0.25">
      <c r="H909">
        <v>908</v>
      </c>
      <c r="I909">
        <v>42.061657153177713</v>
      </c>
    </row>
    <row r="910" spans="8:9" x14ac:dyDescent="0.25">
      <c r="H910">
        <v>909</v>
      </c>
      <c r="I910">
        <v>51.143886214888212</v>
      </c>
    </row>
    <row r="911" spans="8:9" x14ac:dyDescent="0.25">
      <c r="H911">
        <v>910</v>
      </c>
      <c r="I911">
        <v>33.454248231259513</v>
      </c>
    </row>
    <row r="912" spans="8:9" x14ac:dyDescent="0.25">
      <c r="H912">
        <v>911</v>
      </c>
      <c r="I912">
        <v>33.237505647331076</v>
      </c>
    </row>
    <row r="913" spans="8:9" x14ac:dyDescent="0.25">
      <c r="H913">
        <v>912</v>
      </c>
      <c r="I913">
        <v>48.191581514218143</v>
      </c>
    </row>
    <row r="914" spans="8:9" x14ac:dyDescent="0.25">
      <c r="H914">
        <v>913</v>
      </c>
      <c r="I914">
        <v>49.687004942064732</v>
      </c>
    </row>
    <row r="915" spans="8:9" x14ac:dyDescent="0.25">
      <c r="H915">
        <v>914</v>
      </c>
      <c r="I915">
        <v>43.570615457181887</v>
      </c>
    </row>
    <row r="916" spans="8:9" x14ac:dyDescent="0.25">
      <c r="H916">
        <v>915</v>
      </c>
      <c r="I916">
        <v>47.876055434135644</v>
      </c>
    </row>
    <row r="917" spans="8:9" x14ac:dyDescent="0.25">
      <c r="H917">
        <v>916</v>
      </c>
      <c r="I917">
        <v>43.220526683420793</v>
      </c>
    </row>
    <row r="918" spans="8:9" x14ac:dyDescent="0.25">
      <c r="H918">
        <v>917</v>
      </c>
      <c r="I918">
        <v>50.211060446055455</v>
      </c>
    </row>
    <row r="919" spans="8:9" x14ac:dyDescent="0.25">
      <c r="H919">
        <v>918</v>
      </c>
      <c r="I919">
        <v>48.450605108318868</v>
      </c>
    </row>
    <row r="920" spans="8:9" x14ac:dyDescent="0.25">
      <c r="H920">
        <v>919</v>
      </c>
      <c r="I920">
        <v>49.565555491683639</v>
      </c>
    </row>
    <row r="921" spans="8:9" x14ac:dyDescent="0.25">
      <c r="H921">
        <v>920</v>
      </c>
      <c r="I921">
        <v>48.586807502334082</v>
      </c>
    </row>
    <row r="922" spans="8:9" x14ac:dyDescent="0.25">
      <c r="H922">
        <v>921</v>
      </c>
      <c r="I922">
        <v>50.600394802446594</v>
      </c>
    </row>
    <row r="923" spans="8:9" x14ac:dyDescent="0.25">
      <c r="H923">
        <v>922</v>
      </c>
      <c r="I923">
        <v>43.383553707861886</v>
      </c>
    </row>
    <row r="924" spans="8:9" x14ac:dyDescent="0.25">
      <c r="H924">
        <v>923</v>
      </c>
      <c r="I924">
        <v>45.083066795720399</v>
      </c>
    </row>
    <row r="925" spans="8:9" x14ac:dyDescent="0.25">
      <c r="H925">
        <v>924</v>
      </c>
      <c r="I925">
        <v>40.713189664819737</v>
      </c>
    </row>
    <row r="926" spans="8:9" x14ac:dyDescent="0.25">
      <c r="H926">
        <v>925</v>
      </c>
      <c r="I926">
        <v>36.725279261778155</v>
      </c>
    </row>
    <row r="927" spans="8:9" x14ac:dyDescent="0.25">
      <c r="H927">
        <v>926</v>
      </c>
      <c r="I927">
        <v>41.279899038640806</v>
      </c>
    </row>
    <row r="928" spans="8:9" x14ac:dyDescent="0.25">
      <c r="H928">
        <v>927</v>
      </c>
      <c r="I928">
        <v>50.146851015127368</v>
      </c>
    </row>
    <row r="929" spans="8:9" x14ac:dyDescent="0.25">
      <c r="H929">
        <v>928</v>
      </c>
      <c r="I929">
        <v>48.696465906811781</v>
      </c>
    </row>
    <row r="930" spans="8:9" x14ac:dyDescent="0.25">
      <c r="H930">
        <v>929</v>
      </c>
      <c r="I930">
        <v>44.266199640852371</v>
      </c>
    </row>
    <row r="931" spans="8:9" x14ac:dyDescent="0.25">
      <c r="H931">
        <v>930</v>
      </c>
      <c r="I931">
        <v>47.297483162784403</v>
      </c>
    </row>
    <row r="932" spans="8:9" x14ac:dyDescent="0.25">
      <c r="H932">
        <v>931</v>
      </c>
      <c r="I932">
        <v>49.056129522697923</v>
      </c>
    </row>
    <row r="933" spans="8:9" x14ac:dyDescent="0.25">
      <c r="H933">
        <v>932</v>
      </c>
      <c r="I933">
        <v>38.787436127898268</v>
      </c>
    </row>
    <row r="934" spans="8:9" x14ac:dyDescent="0.25">
      <c r="H934">
        <v>933</v>
      </c>
      <c r="I934">
        <v>48.336432761773217</v>
      </c>
    </row>
    <row r="935" spans="8:9" x14ac:dyDescent="0.25">
      <c r="H935">
        <v>934</v>
      </c>
      <c r="I935">
        <v>44.414786022830519</v>
      </c>
    </row>
    <row r="936" spans="8:9" x14ac:dyDescent="0.25">
      <c r="H936">
        <v>935</v>
      </c>
      <c r="I936">
        <v>38.339991993727075</v>
      </c>
    </row>
    <row r="937" spans="8:9" x14ac:dyDescent="0.25">
      <c r="H937">
        <v>936</v>
      </c>
      <c r="I937">
        <v>33.936040999864673</v>
      </c>
    </row>
    <row r="938" spans="8:9" x14ac:dyDescent="0.25">
      <c r="H938">
        <v>937</v>
      </c>
      <c r="I938">
        <v>49.795721427480807</v>
      </c>
    </row>
    <row r="939" spans="8:9" x14ac:dyDescent="0.25">
      <c r="H939">
        <v>938</v>
      </c>
      <c r="I939">
        <v>44.663113098877453</v>
      </c>
    </row>
    <row r="940" spans="8:9" x14ac:dyDescent="0.25">
      <c r="H940">
        <v>939</v>
      </c>
      <c r="I940">
        <v>48.495912280139471</v>
      </c>
    </row>
    <row r="941" spans="8:9" x14ac:dyDescent="0.25">
      <c r="H941">
        <v>940</v>
      </c>
      <c r="I941">
        <v>33.176667888391073</v>
      </c>
    </row>
    <row r="942" spans="8:9" x14ac:dyDescent="0.25">
      <c r="H942">
        <v>941</v>
      </c>
      <c r="I942">
        <v>49.299758165956852</v>
      </c>
    </row>
    <row r="943" spans="8:9" x14ac:dyDescent="0.25">
      <c r="H943">
        <v>942</v>
      </c>
      <c r="I943">
        <v>49.314689974834266</v>
      </c>
    </row>
    <row r="944" spans="8:9" x14ac:dyDescent="0.25">
      <c r="H944">
        <v>943</v>
      </c>
      <c r="I944">
        <v>50.549125618239408</v>
      </c>
    </row>
    <row r="945" spans="8:9" x14ac:dyDescent="0.25">
      <c r="H945">
        <v>944</v>
      </c>
      <c r="I945">
        <v>49.029426460271132</v>
      </c>
    </row>
    <row r="946" spans="8:9" x14ac:dyDescent="0.25">
      <c r="H946">
        <v>945</v>
      </c>
      <c r="I946">
        <v>40.524031550084203</v>
      </c>
    </row>
    <row r="947" spans="8:9" x14ac:dyDescent="0.25">
      <c r="H947">
        <v>946</v>
      </c>
      <c r="I947">
        <v>45.307444300767067</v>
      </c>
    </row>
    <row r="948" spans="8:9" x14ac:dyDescent="0.25">
      <c r="H948">
        <v>947</v>
      </c>
      <c r="I948">
        <v>43.469994069616725</v>
      </c>
    </row>
    <row r="949" spans="8:9" x14ac:dyDescent="0.25">
      <c r="H949">
        <v>948</v>
      </c>
      <c r="I949">
        <v>39.60932084731774</v>
      </c>
    </row>
    <row r="950" spans="8:9" x14ac:dyDescent="0.25">
      <c r="H950">
        <v>949</v>
      </c>
      <c r="I950">
        <v>51.516398580403582</v>
      </c>
    </row>
    <row r="951" spans="8:9" x14ac:dyDescent="0.25">
      <c r="H951">
        <v>950</v>
      </c>
      <c r="I951">
        <v>49.662143526201241</v>
      </c>
    </row>
    <row r="952" spans="8:9" x14ac:dyDescent="0.25">
      <c r="H952">
        <v>951</v>
      </c>
      <c r="I952">
        <v>49.619800764733903</v>
      </c>
    </row>
    <row r="953" spans="8:9" x14ac:dyDescent="0.25">
      <c r="H953">
        <v>952</v>
      </c>
      <c r="I953">
        <v>49.636453505589465</v>
      </c>
    </row>
    <row r="954" spans="8:9" x14ac:dyDescent="0.25">
      <c r="H954">
        <v>953</v>
      </c>
      <c r="I954">
        <v>39.938650249718911</v>
      </c>
    </row>
    <row r="955" spans="8:9" x14ac:dyDescent="0.25">
      <c r="H955">
        <v>954</v>
      </c>
      <c r="I955">
        <v>32.006061308102289</v>
      </c>
    </row>
    <row r="956" spans="8:9" x14ac:dyDescent="0.25">
      <c r="H956">
        <v>955</v>
      </c>
      <c r="I956">
        <v>49.33818101658202</v>
      </c>
    </row>
    <row r="957" spans="8:9" x14ac:dyDescent="0.25">
      <c r="H957">
        <v>956</v>
      </c>
      <c r="I957">
        <v>44.012787577896447</v>
      </c>
    </row>
    <row r="958" spans="8:9" x14ac:dyDescent="0.25">
      <c r="H958">
        <v>957</v>
      </c>
      <c r="I958">
        <v>48.831660867391378</v>
      </c>
    </row>
    <row r="959" spans="8:9" x14ac:dyDescent="0.25">
      <c r="H959">
        <v>958</v>
      </c>
      <c r="I959">
        <v>48.18278033757835</v>
      </c>
    </row>
    <row r="960" spans="8:9" x14ac:dyDescent="0.25">
      <c r="H960">
        <v>959</v>
      </c>
      <c r="I960">
        <v>49.446012527229428</v>
      </c>
    </row>
    <row r="961" spans="8:9" x14ac:dyDescent="0.25">
      <c r="H961">
        <v>960</v>
      </c>
      <c r="I961">
        <v>42.58673081769038</v>
      </c>
    </row>
    <row r="962" spans="8:9" x14ac:dyDescent="0.25">
      <c r="H962">
        <v>961</v>
      </c>
      <c r="I962">
        <v>24.618558794194541</v>
      </c>
    </row>
    <row r="963" spans="8:9" x14ac:dyDescent="0.25">
      <c r="H963">
        <v>962</v>
      </c>
      <c r="I963">
        <v>43.082318190283274</v>
      </c>
    </row>
    <row r="964" spans="8:9" x14ac:dyDescent="0.25">
      <c r="H964">
        <v>963</v>
      </c>
      <c r="I964">
        <v>41.817983293094279</v>
      </c>
    </row>
    <row r="965" spans="8:9" x14ac:dyDescent="0.25">
      <c r="H965">
        <v>964</v>
      </c>
      <c r="I965">
        <v>43.446193965176938</v>
      </c>
    </row>
    <row r="966" spans="8:9" x14ac:dyDescent="0.25">
      <c r="H966">
        <v>965</v>
      </c>
      <c r="I966">
        <v>44.838783571590049</v>
      </c>
    </row>
    <row r="967" spans="8:9" x14ac:dyDescent="0.25">
      <c r="H967">
        <v>966</v>
      </c>
      <c r="I967">
        <v>49.815212208956311</v>
      </c>
    </row>
    <row r="968" spans="8:9" x14ac:dyDescent="0.25">
      <c r="H968">
        <v>967</v>
      </c>
      <c r="I968">
        <v>47.909843514910364</v>
      </c>
    </row>
    <row r="969" spans="8:9" x14ac:dyDescent="0.25">
      <c r="H969">
        <v>968</v>
      </c>
      <c r="I969">
        <v>49.278213877206703</v>
      </c>
    </row>
    <row r="970" spans="8:9" x14ac:dyDescent="0.25">
      <c r="H970">
        <v>969</v>
      </c>
      <c r="I970">
        <v>49.528201299841228</v>
      </c>
    </row>
    <row r="971" spans="8:9" x14ac:dyDescent="0.25">
      <c r="H971">
        <v>970</v>
      </c>
      <c r="I971">
        <v>48.827315009622637</v>
      </c>
    </row>
    <row r="972" spans="8:9" x14ac:dyDescent="0.25">
      <c r="H972">
        <v>971</v>
      </c>
      <c r="I972">
        <v>31.879099342929454</v>
      </c>
    </row>
    <row r="973" spans="8:9" x14ac:dyDescent="0.25">
      <c r="H973">
        <v>972</v>
      </c>
      <c r="I973">
        <v>49.449631800395707</v>
      </c>
    </row>
    <row r="974" spans="8:9" x14ac:dyDescent="0.25">
      <c r="H974">
        <v>973</v>
      </c>
      <c r="I974">
        <v>48.623014022319587</v>
      </c>
    </row>
    <row r="975" spans="8:9" x14ac:dyDescent="0.25">
      <c r="H975">
        <v>974</v>
      </c>
      <c r="I975">
        <v>42.391182667753675</v>
      </c>
    </row>
    <row r="976" spans="8:9" x14ac:dyDescent="0.25">
      <c r="H976">
        <v>975</v>
      </c>
      <c r="I976">
        <v>39.733575450787384</v>
      </c>
    </row>
    <row r="977" spans="8:9" x14ac:dyDescent="0.25">
      <c r="H977">
        <v>976</v>
      </c>
      <c r="I977">
        <v>40.140493024274562</v>
      </c>
    </row>
    <row r="978" spans="8:9" x14ac:dyDescent="0.25">
      <c r="H978">
        <v>977</v>
      </c>
      <c r="I978">
        <v>48.761664781378926</v>
      </c>
    </row>
    <row r="979" spans="8:9" x14ac:dyDescent="0.25">
      <c r="H979">
        <v>978</v>
      </c>
      <c r="I979">
        <v>38.21180701088889</v>
      </c>
    </row>
    <row r="980" spans="8:9" x14ac:dyDescent="0.25">
      <c r="H980">
        <v>979</v>
      </c>
      <c r="I980">
        <v>33.179940809890908</v>
      </c>
    </row>
    <row r="981" spans="8:9" x14ac:dyDescent="0.25">
      <c r="H981">
        <v>980</v>
      </c>
      <c r="I981">
        <v>29.856421160171269</v>
      </c>
    </row>
    <row r="982" spans="8:9" x14ac:dyDescent="0.25">
      <c r="H982">
        <v>981</v>
      </c>
      <c r="I982">
        <v>49.270666061490445</v>
      </c>
    </row>
    <row r="983" spans="8:9" x14ac:dyDescent="0.25">
      <c r="H983">
        <v>982</v>
      </c>
      <c r="I983">
        <v>40.591392943663259</v>
      </c>
    </row>
    <row r="984" spans="8:9" x14ac:dyDescent="0.25">
      <c r="H984">
        <v>983</v>
      </c>
      <c r="I984">
        <v>39.506025104718468</v>
      </c>
    </row>
    <row r="985" spans="8:9" x14ac:dyDescent="0.25">
      <c r="H985">
        <v>984</v>
      </c>
      <c r="I985">
        <v>49.44942637030406</v>
      </c>
    </row>
    <row r="986" spans="8:9" x14ac:dyDescent="0.25">
      <c r="H986">
        <v>985</v>
      </c>
      <c r="I986">
        <v>43.713241576911081</v>
      </c>
    </row>
    <row r="987" spans="8:9" x14ac:dyDescent="0.25">
      <c r="H987">
        <v>986</v>
      </c>
      <c r="I987">
        <v>49.409910617015619</v>
      </c>
    </row>
    <row r="988" spans="8:9" x14ac:dyDescent="0.25">
      <c r="H988">
        <v>987</v>
      </c>
      <c r="I988">
        <v>45.557540601153555</v>
      </c>
    </row>
    <row r="989" spans="8:9" x14ac:dyDescent="0.25">
      <c r="H989">
        <v>988</v>
      </c>
      <c r="I989">
        <v>48.917256206762424</v>
      </c>
    </row>
    <row r="990" spans="8:9" x14ac:dyDescent="0.25">
      <c r="H990">
        <v>989</v>
      </c>
      <c r="I990">
        <v>42.630342341555739</v>
      </c>
    </row>
    <row r="991" spans="8:9" x14ac:dyDescent="0.25">
      <c r="H991">
        <v>990</v>
      </c>
      <c r="I991">
        <v>48.172720258183467</v>
      </c>
    </row>
    <row r="992" spans="8:9" x14ac:dyDescent="0.25">
      <c r="H992">
        <v>991</v>
      </c>
      <c r="I992">
        <v>43.220124252031809</v>
      </c>
    </row>
    <row r="993" spans="8:9" x14ac:dyDescent="0.25">
      <c r="H993">
        <v>992</v>
      </c>
      <c r="I993">
        <v>47.802870501231332</v>
      </c>
    </row>
    <row r="994" spans="8:9" x14ac:dyDescent="0.25">
      <c r="H994">
        <v>993</v>
      </c>
      <c r="I994">
        <v>38.930438810205899</v>
      </c>
    </row>
    <row r="995" spans="8:9" x14ac:dyDescent="0.25">
      <c r="H995">
        <v>994</v>
      </c>
      <c r="I995">
        <v>33.897043689969699</v>
      </c>
    </row>
    <row r="996" spans="8:9" x14ac:dyDescent="0.25">
      <c r="H996">
        <v>995</v>
      </c>
      <c r="I996">
        <v>41.469779433252924</v>
      </c>
    </row>
    <row r="997" spans="8:9" x14ac:dyDescent="0.25">
      <c r="H997">
        <v>996</v>
      </c>
      <c r="I997">
        <v>44.961573928698641</v>
      </c>
    </row>
    <row r="998" spans="8:9" x14ac:dyDescent="0.25">
      <c r="H998">
        <v>997</v>
      </c>
      <c r="I998">
        <v>45.363005526532469</v>
      </c>
    </row>
    <row r="999" spans="8:9" x14ac:dyDescent="0.25">
      <c r="H999">
        <v>998</v>
      </c>
      <c r="I999">
        <v>41.246690349133246</v>
      </c>
    </row>
    <row r="1000" spans="8:9" x14ac:dyDescent="0.25">
      <c r="H1000">
        <v>999</v>
      </c>
      <c r="I1000">
        <v>33.452157631120478</v>
      </c>
    </row>
    <row r="1001" spans="8:9" x14ac:dyDescent="0.25">
      <c r="H1001">
        <v>1000</v>
      </c>
      <c r="I1001">
        <v>44.190002078772238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F9C8-2488-4042-B610-2EDB2CE6DCFD}">
  <dimension ref="A1:N1001"/>
  <sheetViews>
    <sheetView workbookViewId="0">
      <selection activeCell="P23" sqref="P23"/>
    </sheetView>
  </sheetViews>
  <sheetFormatPr defaultRowHeight="15" x14ac:dyDescent="0.25"/>
  <cols>
    <col min="1" max="1" width="18.28515625" bestFit="1" customWidth="1"/>
    <col min="2" max="2" width="14.85546875" customWidth="1"/>
    <col min="3" max="3" width="14.140625" bestFit="1" customWidth="1"/>
    <col min="5" max="5" width="11.140625" bestFit="1" customWidth="1"/>
    <col min="6" max="6" width="12" bestFit="1" customWidth="1"/>
    <col min="9" max="9" width="15" bestFit="1" customWidth="1"/>
    <col min="14" max="14" width="10.7109375" bestFit="1" customWidth="1"/>
  </cols>
  <sheetData>
    <row r="1" spans="1:14" x14ac:dyDescent="0.25">
      <c r="A1" s="1" t="s">
        <v>0</v>
      </c>
      <c r="B1" s="7" t="s">
        <v>552</v>
      </c>
      <c r="C1" s="1" t="s">
        <v>570</v>
      </c>
      <c r="D1" s="1" t="s">
        <v>569</v>
      </c>
      <c r="E1" s="1"/>
      <c r="F1" s="1" t="s">
        <v>572</v>
      </c>
      <c r="G1" s="1" t="s">
        <v>575</v>
      </c>
      <c r="H1" s="1" t="s">
        <v>573</v>
      </c>
      <c r="I1" s="1" t="s">
        <v>574</v>
      </c>
      <c r="J1" s="1"/>
      <c r="K1" s="1" t="s">
        <v>576</v>
      </c>
      <c r="L1" s="1" t="s">
        <v>577</v>
      </c>
      <c r="M1" s="1" t="s">
        <v>578</v>
      </c>
      <c r="N1" s="1" t="s">
        <v>579</v>
      </c>
    </row>
    <row r="2" spans="1:14" x14ac:dyDescent="0.25">
      <c r="A2" s="6" t="s">
        <v>445</v>
      </c>
      <c r="B2" s="8">
        <v>2.2000000000000002</v>
      </c>
      <c r="C2">
        <f ca="1">(RAND()-0.5)/5</f>
        <v>-7.1302491373822054E-3</v>
      </c>
      <c r="D2">
        <f ca="1">IF(RAND()&lt;0.1, 0, B2*(1+C2))</f>
        <v>2.1843134518977592</v>
      </c>
      <c r="F2">
        <f ca="1">SUM(D2:D13)</f>
        <v>25.915371870528574</v>
      </c>
      <c r="G2">
        <v>0</v>
      </c>
      <c r="H2">
        <v>1</v>
      </c>
      <c r="I2">
        <f ca="1">F2</f>
        <v>25.915371870528574</v>
      </c>
      <c r="K2" s="10">
        <f ca="1">AVERAGE(I2:I1001)</f>
        <v>27.142002624493838</v>
      </c>
      <c r="L2" s="10">
        <f ca="1">_xlfn.STDEV.S(I2:I1001)</f>
        <v>3.6676729507184045</v>
      </c>
      <c r="M2" s="10">
        <f ca="1">MAX(I2:I1001)</f>
        <v>32.038355515117104</v>
      </c>
      <c r="N2" s="10">
        <f ca="1">MIN(I2:I1001)</f>
        <v>12.424731546662686</v>
      </c>
    </row>
    <row r="3" spans="1:14" x14ac:dyDescent="0.25">
      <c r="A3" s="6" t="s">
        <v>112</v>
      </c>
      <c r="B3" s="8">
        <v>8</v>
      </c>
      <c r="C3">
        <f t="shared" ref="C3:C9" ca="1" si="0">(RAND()-0.5)/5</f>
        <v>-3.6757691755756806E-2</v>
      </c>
      <c r="D3">
        <f t="shared" ref="D3:D9" ca="1" si="1">IF(RAND()&lt;0.1, 0, B3*(1+C3))</f>
        <v>7.7059384659539454</v>
      </c>
      <c r="H3">
        <v>2</v>
      </c>
      <c r="I3">
        <f t="dataTable" ref="I3:I1001" dt2D="0" dtr="0" r1="G2" ca="1"/>
        <v>30.813111945855766</v>
      </c>
    </row>
    <row r="4" spans="1:14" x14ac:dyDescent="0.25">
      <c r="A4" s="6" t="s">
        <v>119</v>
      </c>
      <c r="B4" s="8">
        <v>3.15</v>
      </c>
      <c r="C4">
        <f t="shared" ca="1" si="0"/>
        <v>7.4198135177341751E-2</v>
      </c>
      <c r="D4">
        <f t="shared" ca="1" si="1"/>
        <v>3.3837241258086266</v>
      </c>
      <c r="H4">
        <v>3</v>
      </c>
      <c r="I4">
        <v>29.591881472571501</v>
      </c>
    </row>
    <row r="5" spans="1:14" x14ac:dyDescent="0.25">
      <c r="A5" s="6" t="s">
        <v>125</v>
      </c>
      <c r="B5" s="8">
        <v>4.8</v>
      </c>
      <c r="C5">
        <f t="shared" ca="1" si="0"/>
        <v>-9.3412975301321199E-2</v>
      </c>
      <c r="D5">
        <f t="shared" ca="1" si="1"/>
        <v>4.3516177185536584</v>
      </c>
      <c r="H5">
        <v>4</v>
      </c>
      <c r="I5">
        <v>21.330639425946654</v>
      </c>
    </row>
    <row r="6" spans="1:14" x14ac:dyDescent="0.25">
      <c r="A6" s="6" t="s">
        <v>131</v>
      </c>
      <c r="B6" s="8">
        <v>4.3</v>
      </c>
      <c r="C6">
        <f t="shared" ca="1" si="0"/>
        <v>-6.0684695357831074E-2</v>
      </c>
      <c r="D6">
        <f t="shared" ca="1" si="1"/>
        <v>0</v>
      </c>
      <c r="E6" t="s">
        <v>571</v>
      </c>
      <c r="H6">
        <v>5</v>
      </c>
      <c r="I6">
        <v>29.082940309526137</v>
      </c>
    </row>
    <row r="7" spans="1:14" x14ac:dyDescent="0.25">
      <c r="A7" s="6" t="s">
        <v>154</v>
      </c>
      <c r="B7" s="8">
        <v>1.35</v>
      </c>
      <c r="C7">
        <f t="shared" ca="1" si="0"/>
        <v>-4.955828774244344E-2</v>
      </c>
      <c r="D7">
        <f t="shared" ca="1" si="1"/>
        <v>1.2830963115477014</v>
      </c>
      <c r="E7" t="s">
        <v>571</v>
      </c>
      <c r="H7">
        <v>6</v>
      </c>
      <c r="I7">
        <v>27.600224833913735</v>
      </c>
    </row>
    <row r="8" spans="1:14" x14ac:dyDescent="0.25">
      <c r="A8" s="6" t="s">
        <v>155</v>
      </c>
      <c r="B8" s="8">
        <v>4.9000000000000004</v>
      </c>
      <c r="C8">
        <f t="shared" ca="1" si="0"/>
        <v>6.1063026235751813E-2</v>
      </c>
      <c r="D8">
        <f t="shared" ca="1" si="1"/>
        <v>5.199208828555185</v>
      </c>
      <c r="H8">
        <v>7</v>
      </c>
      <c r="I8">
        <v>23.121766823376177</v>
      </c>
      <c r="K8" t="s">
        <v>571</v>
      </c>
    </row>
    <row r="9" spans="1:14" x14ac:dyDescent="0.25">
      <c r="A9" s="6" t="s">
        <v>299</v>
      </c>
      <c r="B9" s="8">
        <v>1.6500000000000001</v>
      </c>
      <c r="C9">
        <f t="shared" ca="1" si="0"/>
        <v>9.5438162552544378E-2</v>
      </c>
      <c r="D9">
        <f t="shared" ca="1" si="1"/>
        <v>1.8074729682116986</v>
      </c>
      <c r="H9">
        <v>8</v>
      </c>
      <c r="I9">
        <v>28.761353354994309</v>
      </c>
    </row>
    <row r="10" spans="1:14" x14ac:dyDescent="0.25">
      <c r="H10">
        <v>9</v>
      </c>
      <c r="I10">
        <v>23.32978377964146</v>
      </c>
    </row>
    <row r="11" spans="1:14" x14ac:dyDescent="0.25">
      <c r="H11">
        <v>10</v>
      </c>
      <c r="I11">
        <v>29.114132953841864</v>
      </c>
    </row>
    <row r="12" spans="1:14" x14ac:dyDescent="0.25">
      <c r="H12">
        <v>11</v>
      </c>
      <c r="I12">
        <v>27.120446785596339</v>
      </c>
    </row>
    <row r="13" spans="1:14" x14ac:dyDescent="0.25">
      <c r="H13">
        <v>12</v>
      </c>
      <c r="I13">
        <v>26.597543099721417</v>
      </c>
    </row>
    <row r="14" spans="1:14" x14ac:dyDescent="0.25">
      <c r="H14">
        <v>13</v>
      </c>
      <c r="I14">
        <v>30.753013935536377</v>
      </c>
    </row>
    <row r="15" spans="1:14" x14ac:dyDescent="0.25">
      <c r="H15">
        <v>14</v>
      </c>
      <c r="I15">
        <v>30.206272741248284</v>
      </c>
    </row>
    <row r="16" spans="1:14" x14ac:dyDescent="0.25">
      <c r="H16">
        <v>15</v>
      </c>
      <c r="I16">
        <v>22.665543657886928</v>
      </c>
    </row>
    <row r="17" spans="8:9" x14ac:dyDescent="0.25">
      <c r="H17">
        <v>16</v>
      </c>
      <c r="I17">
        <v>29.15313805278026</v>
      </c>
    </row>
    <row r="18" spans="8:9" x14ac:dyDescent="0.25">
      <c r="H18">
        <v>17</v>
      </c>
      <c r="I18">
        <v>23.124772610502852</v>
      </c>
    </row>
    <row r="19" spans="8:9" x14ac:dyDescent="0.25">
      <c r="H19">
        <v>18</v>
      </c>
      <c r="I19">
        <v>30.17768207644782</v>
      </c>
    </row>
    <row r="20" spans="8:9" x14ac:dyDescent="0.25">
      <c r="H20">
        <v>19</v>
      </c>
      <c r="I20">
        <v>30.252409710294124</v>
      </c>
    </row>
    <row r="21" spans="8:9" x14ac:dyDescent="0.25">
      <c r="H21">
        <v>20</v>
      </c>
      <c r="I21">
        <v>31.231679851163065</v>
      </c>
    </row>
    <row r="22" spans="8:9" x14ac:dyDescent="0.25">
      <c r="H22">
        <v>21</v>
      </c>
      <c r="I22">
        <v>14.558912098438828</v>
      </c>
    </row>
    <row r="23" spans="8:9" x14ac:dyDescent="0.25">
      <c r="H23">
        <v>22</v>
      </c>
      <c r="I23">
        <v>25.313319438325959</v>
      </c>
    </row>
    <row r="24" spans="8:9" x14ac:dyDescent="0.25">
      <c r="H24">
        <v>23</v>
      </c>
      <c r="I24">
        <v>29.642690211099204</v>
      </c>
    </row>
    <row r="25" spans="8:9" x14ac:dyDescent="0.25">
      <c r="H25">
        <v>24</v>
      </c>
      <c r="I25">
        <v>28.117794014343275</v>
      </c>
    </row>
    <row r="26" spans="8:9" x14ac:dyDescent="0.25">
      <c r="H26">
        <v>25</v>
      </c>
      <c r="I26">
        <v>29.731815171409476</v>
      </c>
    </row>
    <row r="27" spans="8:9" x14ac:dyDescent="0.25">
      <c r="H27">
        <v>26</v>
      </c>
      <c r="I27">
        <v>30.353626261018384</v>
      </c>
    </row>
    <row r="28" spans="8:9" x14ac:dyDescent="0.25">
      <c r="H28">
        <v>27</v>
      </c>
      <c r="I28">
        <v>25.760829121659278</v>
      </c>
    </row>
    <row r="29" spans="8:9" x14ac:dyDescent="0.25">
      <c r="H29">
        <v>28</v>
      </c>
      <c r="I29">
        <v>27.984617684069097</v>
      </c>
    </row>
    <row r="30" spans="8:9" x14ac:dyDescent="0.25">
      <c r="H30">
        <v>29</v>
      </c>
      <c r="I30">
        <v>24.59539553532435</v>
      </c>
    </row>
    <row r="31" spans="8:9" x14ac:dyDescent="0.25">
      <c r="H31">
        <v>30</v>
      </c>
      <c r="I31">
        <v>30.726297282338844</v>
      </c>
    </row>
    <row r="32" spans="8:9" x14ac:dyDescent="0.25">
      <c r="H32">
        <v>31</v>
      </c>
      <c r="I32">
        <v>22.913620627025125</v>
      </c>
    </row>
    <row r="33" spans="8:9" x14ac:dyDescent="0.25">
      <c r="H33">
        <v>32</v>
      </c>
      <c r="I33">
        <v>30.371818687467965</v>
      </c>
    </row>
    <row r="34" spans="8:9" x14ac:dyDescent="0.25">
      <c r="H34">
        <v>33</v>
      </c>
      <c r="I34">
        <v>24.990518781606131</v>
      </c>
    </row>
    <row r="35" spans="8:9" x14ac:dyDescent="0.25">
      <c r="H35">
        <v>34</v>
      </c>
      <c r="I35">
        <v>29.880567107779996</v>
      </c>
    </row>
    <row r="36" spans="8:9" x14ac:dyDescent="0.25">
      <c r="H36">
        <v>35</v>
      </c>
      <c r="I36">
        <v>25.71784731476367</v>
      </c>
    </row>
    <row r="37" spans="8:9" x14ac:dyDescent="0.25">
      <c r="H37">
        <v>36</v>
      </c>
      <c r="I37">
        <v>29.114577354391574</v>
      </c>
    </row>
    <row r="38" spans="8:9" x14ac:dyDescent="0.25">
      <c r="H38">
        <v>37</v>
      </c>
      <c r="I38">
        <v>25.410117564385587</v>
      </c>
    </row>
    <row r="39" spans="8:9" x14ac:dyDescent="0.25">
      <c r="H39">
        <v>38</v>
      </c>
      <c r="I39">
        <v>26.484549071212953</v>
      </c>
    </row>
    <row r="40" spans="8:9" x14ac:dyDescent="0.25">
      <c r="H40">
        <v>39</v>
      </c>
      <c r="I40">
        <v>31.217733074847111</v>
      </c>
    </row>
    <row r="41" spans="8:9" x14ac:dyDescent="0.25">
      <c r="H41">
        <v>40</v>
      </c>
      <c r="I41">
        <v>26.684526438208199</v>
      </c>
    </row>
    <row r="42" spans="8:9" x14ac:dyDescent="0.25">
      <c r="H42">
        <v>41</v>
      </c>
      <c r="I42">
        <v>30.699319330939197</v>
      </c>
    </row>
    <row r="43" spans="8:9" x14ac:dyDescent="0.25">
      <c r="H43">
        <v>42</v>
      </c>
      <c r="I43">
        <v>26.972454921330772</v>
      </c>
    </row>
    <row r="44" spans="8:9" x14ac:dyDescent="0.25">
      <c r="H44">
        <v>43</v>
      </c>
      <c r="I44">
        <v>12.424731546662686</v>
      </c>
    </row>
    <row r="45" spans="8:9" x14ac:dyDescent="0.25">
      <c r="H45">
        <v>44</v>
      </c>
      <c r="I45">
        <v>27.33506458330961</v>
      </c>
    </row>
    <row r="46" spans="8:9" x14ac:dyDescent="0.25">
      <c r="H46">
        <v>45</v>
      </c>
      <c r="I46">
        <v>29.969508063115576</v>
      </c>
    </row>
    <row r="47" spans="8:9" x14ac:dyDescent="0.25">
      <c r="H47">
        <v>46</v>
      </c>
      <c r="I47">
        <v>30.413067893406382</v>
      </c>
    </row>
    <row r="48" spans="8:9" x14ac:dyDescent="0.25">
      <c r="H48">
        <v>47</v>
      </c>
      <c r="I48">
        <v>30.57959084486005</v>
      </c>
    </row>
    <row r="49" spans="8:9" x14ac:dyDescent="0.25">
      <c r="H49">
        <v>48</v>
      </c>
      <c r="I49">
        <v>23.646594569140145</v>
      </c>
    </row>
    <row r="50" spans="8:9" x14ac:dyDescent="0.25">
      <c r="H50">
        <v>49</v>
      </c>
      <c r="I50">
        <v>29.612614351181382</v>
      </c>
    </row>
    <row r="51" spans="8:9" x14ac:dyDescent="0.25">
      <c r="H51">
        <v>50</v>
      </c>
      <c r="I51">
        <v>26.901876054119661</v>
      </c>
    </row>
    <row r="52" spans="8:9" x14ac:dyDescent="0.25">
      <c r="H52">
        <v>51</v>
      </c>
      <c r="I52">
        <v>30.065389335746541</v>
      </c>
    </row>
    <row r="53" spans="8:9" x14ac:dyDescent="0.25">
      <c r="H53">
        <v>52</v>
      </c>
      <c r="I53">
        <v>24.721051787015689</v>
      </c>
    </row>
    <row r="54" spans="8:9" x14ac:dyDescent="0.25">
      <c r="H54">
        <v>53</v>
      </c>
      <c r="I54">
        <v>27.170709364425175</v>
      </c>
    </row>
    <row r="55" spans="8:9" x14ac:dyDescent="0.25">
      <c r="H55">
        <v>54</v>
      </c>
      <c r="I55">
        <v>22.247973675308071</v>
      </c>
    </row>
    <row r="56" spans="8:9" x14ac:dyDescent="0.25">
      <c r="H56">
        <v>55</v>
      </c>
      <c r="I56">
        <v>20.702569566575061</v>
      </c>
    </row>
    <row r="57" spans="8:9" x14ac:dyDescent="0.25">
      <c r="H57">
        <v>56</v>
      </c>
      <c r="I57">
        <v>29.833805545306596</v>
      </c>
    </row>
    <row r="58" spans="8:9" x14ac:dyDescent="0.25">
      <c r="H58">
        <v>57</v>
      </c>
      <c r="I58">
        <v>24.89839789757114</v>
      </c>
    </row>
    <row r="59" spans="8:9" x14ac:dyDescent="0.25">
      <c r="H59">
        <v>58</v>
      </c>
      <c r="I59">
        <v>27.747704760222586</v>
      </c>
    </row>
    <row r="60" spans="8:9" x14ac:dyDescent="0.25">
      <c r="H60">
        <v>59</v>
      </c>
      <c r="I60">
        <v>30.663025338897977</v>
      </c>
    </row>
    <row r="61" spans="8:9" x14ac:dyDescent="0.25">
      <c r="H61">
        <v>60</v>
      </c>
      <c r="I61">
        <v>27.244048138590053</v>
      </c>
    </row>
    <row r="62" spans="8:9" x14ac:dyDescent="0.25">
      <c r="H62">
        <v>61</v>
      </c>
      <c r="I62">
        <v>17.271129665470148</v>
      </c>
    </row>
    <row r="63" spans="8:9" x14ac:dyDescent="0.25">
      <c r="H63">
        <v>62</v>
      </c>
      <c r="I63">
        <v>25.275769590034763</v>
      </c>
    </row>
    <row r="64" spans="8:9" x14ac:dyDescent="0.25">
      <c r="H64">
        <v>63</v>
      </c>
      <c r="I64">
        <v>24.015423603479363</v>
      </c>
    </row>
    <row r="65" spans="8:9" x14ac:dyDescent="0.25">
      <c r="H65">
        <v>64</v>
      </c>
      <c r="I65">
        <v>29.151451652920535</v>
      </c>
    </row>
    <row r="66" spans="8:9" x14ac:dyDescent="0.25">
      <c r="H66">
        <v>65</v>
      </c>
      <c r="I66">
        <v>24.527241814145803</v>
      </c>
    </row>
    <row r="67" spans="8:9" x14ac:dyDescent="0.25">
      <c r="H67">
        <v>66</v>
      </c>
      <c r="I67">
        <v>22.264073674312407</v>
      </c>
    </row>
    <row r="68" spans="8:9" x14ac:dyDescent="0.25">
      <c r="H68">
        <v>67</v>
      </c>
      <c r="I68">
        <v>16.684785467495267</v>
      </c>
    </row>
    <row r="69" spans="8:9" x14ac:dyDescent="0.25">
      <c r="H69">
        <v>68</v>
      </c>
      <c r="I69">
        <v>22.518150397765975</v>
      </c>
    </row>
    <row r="70" spans="8:9" x14ac:dyDescent="0.25">
      <c r="H70">
        <v>69</v>
      </c>
      <c r="I70">
        <v>26.334974152746266</v>
      </c>
    </row>
    <row r="71" spans="8:9" x14ac:dyDescent="0.25">
      <c r="H71">
        <v>70</v>
      </c>
      <c r="I71">
        <v>30.830868480658165</v>
      </c>
    </row>
    <row r="72" spans="8:9" x14ac:dyDescent="0.25">
      <c r="H72">
        <v>71</v>
      </c>
      <c r="I72">
        <v>30.883633979889598</v>
      </c>
    </row>
    <row r="73" spans="8:9" x14ac:dyDescent="0.25">
      <c r="H73">
        <v>72</v>
      </c>
      <c r="I73">
        <v>29.150359737573186</v>
      </c>
    </row>
    <row r="74" spans="8:9" x14ac:dyDescent="0.25">
      <c r="H74">
        <v>73</v>
      </c>
      <c r="I74">
        <v>30.312693661738258</v>
      </c>
    </row>
    <row r="75" spans="8:9" x14ac:dyDescent="0.25">
      <c r="H75">
        <v>74</v>
      </c>
      <c r="I75">
        <v>26.466148125340727</v>
      </c>
    </row>
    <row r="76" spans="8:9" x14ac:dyDescent="0.25">
      <c r="H76">
        <v>75</v>
      </c>
      <c r="I76">
        <v>23.830920802737882</v>
      </c>
    </row>
    <row r="77" spans="8:9" x14ac:dyDescent="0.25">
      <c r="H77">
        <v>76</v>
      </c>
      <c r="I77">
        <v>27.431465243788338</v>
      </c>
    </row>
    <row r="78" spans="8:9" x14ac:dyDescent="0.25">
      <c r="H78">
        <v>77</v>
      </c>
      <c r="I78">
        <v>28.837816512730004</v>
      </c>
    </row>
    <row r="79" spans="8:9" x14ac:dyDescent="0.25">
      <c r="H79">
        <v>78</v>
      </c>
      <c r="I79">
        <v>30.867024131455821</v>
      </c>
    </row>
    <row r="80" spans="8:9" x14ac:dyDescent="0.25">
      <c r="H80">
        <v>79</v>
      </c>
      <c r="I80">
        <v>30.789176203971735</v>
      </c>
    </row>
    <row r="81" spans="8:9" x14ac:dyDescent="0.25">
      <c r="H81">
        <v>80</v>
      </c>
      <c r="I81">
        <v>28.408277934180155</v>
      </c>
    </row>
    <row r="82" spans="8:9" x14ac:dyDescent="0.25">
      <c r="H82">
        <v>81</v>
      </c>
      <c r="I82">
        <v>31.221648790311239</v>
      </c>
    </row>
    <row r="83" spans="8:9" x14ac:dyDescent="0.25">
      <c r="H83">
        <v>82</v>
      </c>
      <c r="I83">
        <v>28.914714476433396</v>
      </c>
    </row>
    <row r="84" spans="8:9" x14ac:dyDescent="0.25">
      <c r="H84">
        <v>83</v>
      </c>
      <c r="I84">
        <v>29.668786671420083</v>
      </c>
    </row>
    <row r="85" spans="8:9" x14ac:dyDescent="0.25">
      <c r="H85">
        <v>84</v>
      </c>
      <c r="I85">
        <v>30.96000936700197</v>
      </c>
    </row>
    <row r="86" spans="8:9" x14ac:dyDescent="0.25">
      <c r="H86">
        <v>85</v>
      </c>
      <c r="I86">
        <v>30.279722680839871</v>
      </c>
    </row>
    <row r="87" spans="8:9" x14ac:dyDescent="0.25">
      <c r="H87">
        <v>86</v>
      </c>
      <c r="I87">
        <v>21.570375332726407</v>
      </c>
    </row>
    <row r="88" spans="8:9" x14ac:dyDescent="0.25">
      <c r="H88">
        <v>87</v>
      </c>
      <c r="I88">
        <v>30.695442091805106</v>
      </c>
    </row>
    <row r="89" spans="8:9" x14ac:dyDescent="0.25">
      <c r="H89">
        <v>88</v>
      </c>
      <c r="I89">
        <v>25.96556014566012</v>
      </c>
    </row>
    <row r="90" spans="8:9" x14ac:dyDescent="0.25">
      <c r="H90">
        <v>89</v>
      </c>
      <c r="I90">
        <v>25.609855276552711</v>
      </c>
    </row>
    <row r="91" spans="8:9" x14ac:dyDescent="0.25">
      <c r="H91">
        <v>90</v>
      </c>
      <c r="I91">
        <v>14.840455446461997</v>
      </c>
    </row>
    <row r="92" spans="8:9" x14ac:dyDescent="0.25">
      <c r="H92">
        <v>91</v>
      </c>
      <c r="I92">
        <v>30.400044437986221</v>
      </c>
    </row>
    <row r="93" spans="8:9" x14ac:dyDescent="0.25">
      <c r="H93">
        <v>92</v>
      </c>
      <c r="I93">
        <v>29.996895568822413</v>
      </c>
    </row>
    <row r="94" spans="8:9" x14ac:dyDescent="0.25">
      <c r="H94">
        <v>93</v>
      </c>
      <c r="I94">
        <v>21.538028889504517</v>
      </c>
    </row>
    <row r="95" spans="8:9" x14ac:dyDescent="0.25">
      <c r="H95">
        <v>94</v>
      </c>
      <c r="I95">
        <v>31.098044977750142</v>
      </c>
    </row>
    <row r="96" spans="8:9" x14ac:dyDescent="0.25">
      <c r="H96">
        <v>95</v>
      </c>
      <c r="I96">
        <v>30.522274248538924</v>
      </c>
    </row>
    <row r="97" spans="8:9" x14ac:dyDescent="0.25">
      <c r="H97">
        <v>96</v>
      </c>
      <c r="I97">
        <v>30.689339271498987</v>
      </c>
    </row>
    <row r="98" spans="8:9" x14ac:dyDescent="0.25">
      <c r="H98">
        <v>97</v>
      </c>
      <c r="I98">
        <v>31.640721912381867</v>
      </c>
    </row>
    <row r="99" spans="8:9" x14ac:dyDescent="0.25">
      <c r="H99">
        <v>98</v>
      </c>
      <c r="I99">
        <v>30.707812761851816</v>
      </c>
    </row>
    <row r="100" spans="8:9" x14ac:dyDescent="0.25">
      <c r="H100">
        <v>99</v>
      </c>
      <c r="I100">
        <v>25.808045898257546</v>
      </c>
    </row>
    <row r="101" spans="8:9" x14ac:dyDescent="0.25">
      <c r="H101">
        <v>100</v>
      </c>
      <c r="I101">
        <v>26.141077934116829</v>
      </c>
    </row>
    <row r="102" spans="8:9" x14ac:dyDescent="0.25">
      <c r="H102">
        <v>101</v>
      </c>
      <c r="I102">
        <v>25.78625856175989</v>
      </c>
    </row>
    <row r="103" spans="8:9" x14ac:dyDescent="0.25">
      <c r="H103">
        <v>102</v>
      </c>
      <c r="I103">
        <v>26.721270083702962</v>
      </c>
    </row>
    <row r="104" spans="8:9" x14ac:dyDescent="0.25">
      <c r="H104">
        <v>103</v>
      </c>
      <c r="I104">
        <v>28.316923982854277</v>
      </c>
    </row>
    <row r="105" spans="8:9" x14ac:dyDescent="0.25">
      <c r="H105">
        <v>104</v>
      </c>
      <c r="I105">
        <v>30.758523829298717</v>
      </c>
    </row>
    <row r="106" spans="8:9" x14ac:dyDescent="0.25">
      <c r="H106">
        <v>105</v>
      </c>
      <c r="I106">
        <v>25.394107327864646</v>
      </c>
    </row>
    <row r="107" spans="8:9" x14ac:dyDescent="0.25">
      <c r="H107">
        <v>106</v>
      </c>
      <c r="I107">
        <v>28.658394995353301</v>
      </c>
    </row>
    <row r="108" spans="8:9" x14ac:dyDescent="0.25">
      <c r="H108">
        <v>107</v>
      </c>
      <c r="I108">
        <v>29.392980881877556</v>
      </c>
    </row>
    <row r="109" spans="8:9" x14ac:dyDescent="0.25">
      <c r="H109">
        <v>108</v>
      </c>
      <c r="I109">
        <v>24.4388541807424</v>
      </c>
    </row>
    <row r="110" spans="8:9" x14ac:dyDescent="0.25">
      <c r="H110">
        <v>109</v>
      </c>
      <c r="I110">
        <v>27.533471250860948</v>
      </c>
    </row>
    <row r="111" spans="8:9" x14ac:dyDescent="0.25">
      <c r="H111">
        <v>110</v>
      </c>
      <c r="I111">
        <v>25.512113336731051</v>
      </c>
    </row>
    <row r="112" spans="8:9" x14ac:dyDescent="0.25">
      <c r="H112">
        <v>111</v>
      </c>
      <c r="I112">
        <v>22.832613578107093</v>
      </c>
    </row>
    <row r="113" spans="8:9" x14ac:dyDescent="0.25">
      <c r="H113">
        <v>112</v>
      </c>
      <c r="I113">
        <v>22.789207808969948</v>
      </c>
    </row>
    <row r="114" spans="8:9" x14ac:dyDescent="0.25">
      <c r="H114">
        <v>113</v>
      </c>
      <c r="I114">
        <v>30.279029223942555</v>
      </c>
    </row>
    <row r="115" spans="8:9" x14ac:dyDescent="0.25">
      <c r="H115">
        <v>114</v>
      </c>
      <c r="I115">
        <v>28.095430266495857</v>
      </c>
    </row>
    <row r="116" spans="8:9" x14ac:dyDescent="0.25">
      <c r="H116">
        <v>115</v>
      </c>
      <c r="I116">
        <v>18.965842194035723</v>
      </c>
    </row>
    <row r="117" spans="8:9" x14ac:dyDescent="0.25">
      <c r="H117">
        <v>116</v>
      </c>
      <c r="I117">
        <v>30.66218735244637</v>
      </c>
    </row>
    <row r="118" spans="8:9" x14ac:dyDescent="0.25">
      <c r="H118">
        <v>117</v>
      </c>
      <c r="I118">
        <v>23.908803531344908</v>
      </c>
    </row>
    <row r="119" spans="8:9" x14ac:dyDescent="0.25">
      <c r="H119">
        <v>118</v>
      </c>
      <c r="I119">
        <v>23.311286205245395</v>
      </c>
    </row>
    <row r="120" spans="8:9" x14ac:dyDescent="0.25">
      <c r="H120">
        <v>119</v>
      </c>
      <c r="I120">
        <v>30.66328791322951</v>
      </c>
    </row>
    <row r="121" spans="8:9" x14ac:dyDescent="0.25">
      <c r="H121">
        <v>120</v>
      </c>
      <c r="I121">
        <v>28.034298747077489</v>
      </c>
    </row>
    <row r="122" spans="8:9" x14ac:dyDescent="0.25">
      <c r="H122">
        <v>121</v>
      </c>
      <c r="I122">
        <v>30.028890198601832</v>
      </c>
    </row>
    <row r="123" spans="8:9" x14ac:dyDescent="0.25">
      <c r="H123">
        <v>122</v>
      </c>
      <c r="I123">
        <v>30.042119361138045</v>
      </c>
    </row>
    <row r="124" spans="8:9" x14ac:dyDescent="0.25">
      <c r="H124">
        <v>123</v>
      </c>
      <c r="I124">
        <v>29.959491737433318</v>
      </c>
    </row>
    <row r="125" spans="8:9" x14ac:dyDescent="0.25">
      <c r="H125">
        <v>124</v>
      </c>
      <c r="I125">
        <v>29.749314763269734</v>
      </c>
    </row>
    <row r="126" spans="8:9" x14ac:dyDescent="0.25">
      <c r="H126">
        <v>125</v>
      </c>
      <c r="I126">
        <v>27.937695674771305</v>
      </c>
    </row>
    <row r="127" spans="8:9" x14ac:dyDescent="0.25">
      <c r="H127">
        <v>126</v>
      </c>
      <c r="I127">
        <v>29.140718861144268</v>
      </c>
    </row>
    <row r="128" spans="8:9" x14ac:dyDescent="0.25">
      <c r="H128">
        <v>127</v>
      </c>
      <c r="I128">
        <v>25.802600587629247</v>
      </c>
    </row>
    <row r="129" spans="8:9" x14ac:dyDescent="0.25">
      <c r="H129">
        <v>128</v>
      </c>
      <c r="I129">
        <v>31.215930446248162</v>
      </c>
    </row>
    <row r="130" spans="8:9" x14ac:dyDescent="0.25">
      <c r="H130">
        <v>129</v>
      </c>
      <c r="I130">
        <v>28.677022362133698</v>
      </c>
    </row>
    <row r="131" spans="8:9" x14ac:dyDescent="0.25">
      <c r="H131">
        <v>130</v>
      </c>
      <c r="I131">
        <v>26.323519470034931</v>
      </c>
    </row>
    <row r="132" spans="8:9" x14ac:dyDescent="0.25">
      <c r="H132">
        <v>131</v>
      </c>
      <c r="I132">
        <v>25.108508637042945</v>
      </c>
    </row>
    <row r="133" spans="8:9" x14ac:dyDescent="0.25">
      <c r="H133">
        <v>132</v>
      </c>
      <c r="I133">
        <v>26.169279716622416</v>
      </c>
    </row>
    <row r="134" spans="8:9" x14ac:dyDescent="0.25">
      <c r="H134">
        <v>133</v>
      </c>
      <c r="I134">
        <v>18.722592619404644</v>
      </c>
    </row>
    <row r="135" spans="8:9" x14ac:dyDescent="0.25">
      <c r="H135">
        <v>134</v>
      </c>
      <c r="I135">
        <v>18.915348691027482</v>
      </c>
    </row>
    <row r="136" spans="8:9" x14ac:dyDescent="0.25">
      <c r="H136">
        <v>135</v>
      </c>
      <c r="I136">
        <v>30.394268521065126</v>
      </c>
    </row>
    <row r="137" spans="8:9" x14ac:dyDescent="0.25">
      <c r="H137">
        <v>136</v>
      </c>
      <c r="I137">
        <v>24.687338419788286</v>
      </c>
    </row>
    <row r="138" spans="8:9" x14ac:dyDescent="0.25">
      <c r="H138">
        <v>137</v>
      </c>
      <c r="I138">
        <v>30.49836790343868</v>
      </c>
    </row>
    <row r="139" spans="8:9" x14ac:dyDescent="0.25">
      <c r="H139">
        <v>138</v>
      </c>
      <c r="I139">
        <v>28.864180436888567</v>
      </c>
    </row>
    <row r="140" spans="8:9" x14ac:dyDescent="0.25">
      <c r="H140">
        <v>139</v>
      </c>
      <c r="I140">
        <v>29.250185443437552</v>
      </c>
    </row>
    <row r="141" spans="8:9" x14ac:dyDescent="0.25">
      <c r="H141">
        <v>140</v>
      </c>
      <c r="I141">
        <v>26.456346094699484</v>
      </c>
    </row>
    <row r="142" spans="8:9" x14ac:dyDescent="0.25">
      <c r="H142">
        <v>141</v>
      </c>
      <c r="I142">
        <v>25.775063715693697</v>
      </c>
    </row>
    <row r="143" spans="8:9" x14ac:dyDescent="0.25">
      <c r="H143">
        <v>142</v>
      </c>
      <c r="I143">
        <v>30.986429899580141</v>
      </c>
    </row>
    <row r="144" spans="8:9" x14ac:dyDescent="0.25">
      <c r="H144">
        <v>143</v>
      </c>
      <c r="I144">
        <v>21.294903549420372</v>
      </c>
    </row>
    <row r="145" spans="8:9" x14ac:dyDescent="0.25">
      <c r="H145">
        <v>144</v>
      </c>
      <c r="I145">
        <v>21.53701493678188</v>
      </c>
    </row>
    <row r="146" spans="8:9" x14ac:dyDescent="0.25">
      <c r="H146">
        <v>145</v>
      </c>
      <c r="I146">
        <v>24.500083872989197</v>
      </c>
    </row>
    <row r="147" spans="8:9" x14ac:dyDescent="0.25">
      <c r="H147">
        <v>146</v>
      </c>
      <c r="I147">
        <v>30.173970702157494</v>
      </c>
    </row>
    <row r="148" spans="8:9" x14ac:dyDescent="0.25">
      <c r="H148">
        <v>147</v>
      </c>
      <c r="I148">
        <v>23.929869180579718</v>
      </c>
    </row>
    <row r="149" spans="8:9" x14ac:dyDescent="0.25">
      <c r="H149">
        <v>148</v>
      </c>
      <c r="I149">
        <v>30.359223065927999</v>
      </c>
    </row>
    <row r="150" spans="8:9" x14ac:dyDescent="0.25">
      <c r="H150">
        <v>149</v>
      </c>
      <c r="I150">
        <v>29.053068134658449</v>
      </c>
    </row>
    <row r="151" spans="8:9" x14ac:dyDescent="0.25">
      <c r="H151">
        <v>150</v>
      </c>
      <c r="I151">
        <v>30.491273946811461</v>
      </c>
    </row>
    <row r="152" spans="8:9" x14ac:dyDescent="0.25">
      <c r="H152">
        <v>151</v>
      </c>
      <c r="I152">
        <v>31.479193580660258</v>
      </c>
    </row>
    <row r="153" spans="8:9" x14ac:dyDescent="0.25">
      <c r="H153">
        <v>152</v>
      </c>
      <c r="I153">
        <v>30.012504416042532</v>
      </c>
    </row>
    <row r="154" spans="8:9" x14ac:dyDescent="0.25">
      <c r="H154">
        <v>153</v>
      </c>
      <c r="I154">
        <v>30.132582895664054</v>
      </c>
    </row>
    <row r="155" spans="8:9" x14ac:dyDescent="0.25">
      <c r="H155">
        <v>154</v>
      </c>
      <c r="I155">
        <v>27.878815092147004</v>
      </c>
    </row>
    <row r="156" spans="8:9" x14ac:dyDescent="0.25">
      <c r="H156">
        <v>155</v>
      </c>
      <c r="I156">
        <v>25.672667388736304</v>
      </c>
    </row>
    <row r="157" spans="8:9" x14ac:dyDescent="0.25">
      <c r="H157">
        <v>156</v>
      </c>
      <c r="I157">
        <v>20.806537184640185</v>
      </c>
    </row>
    <row r="158" spans="8:9" x14ac:dyDescent="0.25">
      <c r="H158">
        <v>157</v>
      </c>
      <c r="I158">
        <v>21.899578860579034</v>
      </c>
    </row>
    <row r="159" spans="8:9" x14ac:dyDescent="0.25">
      <c r="H159">
        <v>158</v>
      </c>
      <c r="I159">
        <v>28.166893092776647</v>
      </c>
    </row>
    <row r="160" spans="8:9" x14ac:dyDescent="0.25">
      <c r="H160">
        <v>159</v>
      </c>
      <c r="I160">
        <v>30.286558949659419</v>
      </c>
    </row>
    <row r="161" spans="8:9" x14ac:dyDescent="0.25">
      <c r="H161">
        <v>160</v>
      </c>
      <c r="I161">
        <v>30.759290440541321</v>
      </c>
    </row>
    <row r="162" spans="8:9" x14ac:dyDescent="0.25">
      <c r="H162">
        <v>161</v>
      </c>
      <c r="I162">
        <v>25.4278463746341</v>
      </c>
    </row>
    <row r="163" spans="8:9" x14ac:dyDescent="0.25">
      <c r="H163">
        <v>162</v>
      </c>
      <c r="I163">
        <v>28.143213512872158</v>
      </c>
    </row>
    <row r="164" spans="8:9" x14ac:dyDescent="0.25">
      <c r="H164">
        <v>163</v>
      </c>
      <c r="I164">
        <v>32.038355515117104</v>
      </c>
    </row>
    <row r="165" spans="8:9" x14ac:dyDescent="0.25">
      <c r="H165">
        <v>164</v>
      </c>
      <c r="I165">
        <v>30.928989039596896</v>
      </c>
    </row>
    <row r="166" spans="8:9" x14ac:dyDescent="0.25">
      <c r="H166">
        <v>165</v>
      </c>
      <c r="I166">
        <v>29.866252487497484</v>
      </c>
    </row>
    <row r="167" spans="8:9" x14ac:dyDescent="0.25">
      <c r="H167">
        <v>166</v>
      </c>
      <c r="I167">
        <v>31.235143755279726</v>
      </c>
    </row>
    <row r="168" spans="8:9" x14ac:dyDescent="0.25">
      <c r="H168">
        <v>167</v>
      </c>
      <c r="I168">
        <v>26.081093959773558</v>
      </c>
    </row>
    <row r="169" spans="8:9" x14ac:dyDescent="0.25">
      <c r="H169">
        <v>168</v>
      </c>
      <c r="I169">
        <v>30.456996406573584</v>
      </c>
    </row>
    <row r="170" spans="8:9" x14ac:dyDescent="0.25">
      <c r="H170">
        <v>169</v>
      </c>
      <c r="I170">
        <v>30.727322990516157</v>
      </c>
    </row>
    <row r="171" spans="8:9" x14ac:dyDescent="0.25">
      <c r="H171">
        <v>170</v>
      </c>
      <c r="I171">
        <v>24.33289035523817</v>
      </c>
    </row>
    <row r="172" spans="8:9" x14ac:dyDescent="0.25">
      <c r="H172">
        <v>171</v>
      </c>
      <c r="I172">
        <v>24.751716011864122</v>
      </c>
    </row>
    <row r="173" spans="8:9" x14ac:dyDescent="0.25">
      <c r="H173">
        <v>172</v>
      </c>
      <c r="I173">
        <v>29.758363758791383</v>
      </c>
    </row>
    <row r="174" spans="8:9" x14ac:dyDescent="0.25">
      <c r="H174">
        <v>173</v>
      </c>
      <c r="I174">
        <v>28.994969634718277</v>
      </c>
    </row>
    <row r="175" spans="8:9" x14ac:dyDescent="0.25">
      <c r="H175">
        <v>174</v>
      </c>
      <c r="I175">
        <v>23.203635191292008</v>
      </c>
    </row>
    <row r="176" spans="8:9" x14ac:dyDescent="0.25">
      <c r="H176">
        <v>175</v>
      </c>
      <c r="I176">
        <v>30.36953989384843</v>
      </c>
    </row>
    <row r="177" spans="8:9" x14ac:dyDescent="0.25">
      <c r="H177">
        <v>176</v>
      </c>
      <c r="I177">
        <v>24.838347797604325</v>
      </c>
    </row>
    <row r="178" spans="8:9" x14ac:dyDescent="0.25">
      <c r="H178">
        <v>177</v>
      </c>
      <c r="I178">
        <v>31.57556066202217</v>
      </c>
    </row>
    <row r="179" spans="8:9" x14ac:dyDescent="0.25">
      <c r="H179">
        <v>178</v>
      </c>
      <c r="I179">
        <v>29.039076035036871</v>
      </c>
    </row>
    <row r="180" spans="8:9" x14ac:dyDescent="0.25">
      <c r="H180">
        <v>179</v>
      </c>
      <c r="I180">
        <v>21.741204945221188</v>
      </c>
    </row>
    <row r="181" spans="8:9" x14ac:dyDescent="0.25">
      <c r="H181">
        <v>180</v>
      </c>
      <c r="I181">
        <v>30.42853220291747</v>
      </c>
    </row>
    <row r="182" spans="8:9" x14ac:dyDescent="0.25">
      <c r="H182">
        <v>181</v>
      </c>
      <c r="I182">
        <v>30.808283130258765</v>
      </c>
    </row>
    <row r="183" spans="8:9" x14ac:dyDescent="0.25">
      <c r="H183">
        <v>182</v>
      </c>
      <c r="I183">
        <v>25.456688880789713</v>
      </c>
    </row>
    <row r="184" spans="8:9" x14ac:dyDescent="0.25">
      <c r="H184">
        <v>183</v>
      </c>
      <c r="I184">
        <v>19.210430378526965</v>
      </c>
    </row>
    <row r="185" spans="8:9" x14ac:dyDescent="0.25">
      <c r="H185">
        <v>184</v>
      </c>
      <c r="I185">
        <v>28.917936641591215</v>
      </c>
    </row>
    <row r="186" spans="8:9" x14ac:dyDescent="0.25">
      <c r="H186">
        <v>185</v>
      </c>
      <c r="I186">
        <v>16.600629684888254</v>
      </c>
    </row>
    <row r="187" spans="8:9" x14ac:dyDescent="0.25">
      <c r="H187">
        <v>186</v>
      </c>
      <c r="I187">
        <v>19.543767306819547</v>
      </c>
    </row>
    <row r="188" spans="8:9" x14ac:dyDescent="0.25">
      <c r="H188">
        <v>187</v>
      </c>
      <c r="I188">
        <v>25.797953595642277</v>
      </c>
    </row>
    <row r="189" spans="8:9" x14ac:dyDescent="0.25">
      <c r="H189">
        <v>188</v>
      </c>
      <c r="I189">
        <v>22.872067276623131</v>
      </c>
    </row>
    <row r="190" spans="8:9" x14ac:dyDescent="0.25">
      <c r="H190">
        <v>189</v>
      </c>
      <c r="I190">
        <v>28.647207515584221</v>
      </c>
    </row>
    <row r="191" spans="8:9" x14ac:dyDescent="0.25">
      <c r="H191">
        <v>190</v>
      </c>
      <c r="I191">
        <v>31.367183995865538</v>
      </c>
    </row>
    <row r="192" spans="8:9" x14ac:dyDescent="0.25">
      <c r="H192">
        <v>191</v>
      </c>
      <c r="I192">
        <v>30.836657788298236</v>
      </c>
    </row>
    <row r="193" spans="8:9" x14ac:dyDescent="0.25">
      <c r="H193">
        <v>192</v>
      </c>
      <c r="I193">
        <v>30.92126847884975</v>
      </c>
    </row>
    <row r="194" spans="8:9" x14ac:dyDescent="0.25">
      <c r="H194">
        <v>193</v>
      </c>
      <c r="I194">
        <v>29.219514875544455</v>
      </c>
    </row>
    <row r="195" spans="8:9" x14ac:dyDescent="0.25">
      <c r="H195">
        <v>194</v>
      </c>
      <c r="I195">
        <v>20.990607831705201</v>
      </c>
    </row>
    <row r="196" spans="8:9" x14ac:dyDescent="0.25">
      <c r="H196">
        <v>195</v>
      </c>
      <c r="I196">
        <v>30.125604433962469</v>
      </c>
    </row>
    <row r="197" spans="8:9" x14ac:dyDescent="0.25">
      <c r="H197">
        <v>196</v>
      </c>
      <c r="I197">
        <v>30.860434979117887</v>
      </c>
    </row>
    <row r="198" spans="8:9" x14ac:dyDescent="0.25">
      <c r="H198">
        <v>197</v>
      </c>
      <c r="I198">
        <v>25.37997042896755</v>
      </c>
    </row>
    <row r="199" spans="8:9" x14ac:dyDescent="0.25">
      <c r="H199">
        <v>198</v>
      </c>
      <c r="I199">
        <v>30.737231470072352</v>
      </c>
    </row>
    <row r="200" spans="8:9" x14ac:dyDescent="0.25">
      <c r="H200">
        <v>199</v>
      </c>
      <c r="I200">
        <v>21.865417311154513</v>
      </c>
    </row>
    <row r="201" spans="8:9" x14ac:dyDescent="0.25">
      <c r="H201">
        <v>200</v>
      </c>
      <c r="I201">
        <v>28.141715705925911</v>
      </c>
    </row>
    <row r="202" spans="8:9" x14ac:dyDescent="0.25">
      <c r="H202">
        <v>201</v>
      </c>
      <c r="I202">
        <v>30.786987837314019</v>
      </c>
    </row>
    <row r="203" spans="8:9" x14ac:dyDescent="0.25">
      <c r="H203">
        <v>202</v>
      </c>
      <c r="I203">
        <v>28.003565829813837</v>
      </c>
    </row>
    <row r="204" spans="8:9" x14ac:dyDescent="0.25">
      <c r="H204">
        <v>203</v>
      </c>
      <c r="I204">
        <v>27.852873553153817</v>
      </c>
    </row>
    <row r="205" spans="8:9" x14ac:dyDescent="0.25">
      <c r="H205">
        <v>204</v>
      </c>
      <c r="I205">
        <v>22.526675262786313</v>
      </c>
    </row>
    <row r="206" spans="8:9" x14ac:dyDescent="0.25">
      <c r="H206">
        <v>205</v>
      </c>
      <c r="I206">
        <v>26.363340716852679</v>
      </c>
    </row>
    <row r="207" spans="8:9" x14ac:dyDescent="0.25">
      <c r="H207">
        <v>206</v>
      </c>
      <c r="I207">
        <v>28.761947460753948</v>
      </c>
    </row>
    <row r="208" spans="8:9" x14ac:dyDescent="0.25">
      <c r="H208">
        <v>207</v>
      </c>
      <c r="I208">
        <v>30.841925482108742</v>
      </c>
    </row>
    <row r="209" spans="8:9" x14ac:dyDescent="0.25">
      <c r="H209">
        <v>208</v>
      </c>
      <c r="I209">
        <v>30.261269226454019</v>
      </c>
    </row>
    <row r="210" spans="8:9" x14ac:dyDescent="0.25">
      <c r="H210">
        <v>209</v>
      </c>
      <c r="I210">
        <v>29.805594220709253</v>
      </c>
    </row>
    <row r="211" spans="8:9" x14ac:dyDescent="0.25">
      <c r="H211">
        <v>210</v>
      </c>
      <c r="I211">
        <v>27.268843994876999</v>
      </c>
    </row>
    <row r="212" spans="8:9" x14ac:dyDescent="0.25">
      <c r="H212">
        <v>211</v>
      </c>
      <c r="I212">
        <v>22.081796564647195</v>
      </c>
    </row>
    <row r="213" spans="8:9" x14ac:dyDescent="0.25">
      <c r="H213">
        <v>212</v>
      </c>
      <c r="I213">
        <v>26.425722209667992</v>
      </c>
    </row>
    <row r="214" spans="8:9" x14ac:dyDescent="0.25">
      <c r="H214">
        <v>213</v>
      </c>
      <c r="I214">
        <v>25.841790710948178</v>
      </c>
    </row>
    <row r="215" spans="8:9" x14ac:dyDescent="0.25">
      <c r="H215">
        <v>214</v>
      </c>
      <c r="I215">
        <v>30.39176061770404</v>
      </c>
    </row>
    <row r="216" spans="8:9" x14ac:dyDescent="0.25">
      <c r="H216">
        <v>215</v>
      </c>
      <c r="I216">
        <v>30.704895726548148</v>
      </c>
    </row>
    <row r="217" spans="8:9" x14ac:dyDescent="0.25">
      <c r="H217">
        <v>216</v>
      </c>
      <c r="I217">
        <v>22.257951370333213</v>
      </c>
    </row>
    <row r="218" spans="8:9" x14ac:dyDescent="0.25">
      <c r="H218">
        <v>217</v>
      </c>
      <c r="I218">
        <v>29.805667745486847</v>
      </c>
    </row>
    <row r="219" spans="8:9" x14ac:dyDescent="0.25">
      <c r="H219">
        <v>218</v>
      </c>
      <c r="I219">
        <v>25.102239666974292</v>
      </c>
    </row>
    <row r="220" spans="8:9" x14ac:dyDescent="0.25">
      <c r="H220">
        <v>219</v>
      </c>
      <c r="I220">
        <v>29.965154286074235</v>
      </c>
    </row>
    <row r="221" spans="8:9" x14ac:dyDescent="0.25">
      <c r="H221">
        <v>220</v>
      </c>
      <c r="I221">
        <v>30.549067533691819</v>
      </c>
    </row>
    <row r="222" spans="8:9" x14ac:dyDescent="0.25">
      <c r="H222">
        <v>221</v>
      </c>
      <c r="I222">
        <v>30.241229202472987</v>
      </c>
    </row>
    <row r="223" spans="8:9" x14ac:dyDescent="0.25">
      <c r="H223">
        <v>222</v>
      </c>
      <c r="I223">
        <v>23.781940123700387</v>
      </c>
    </row>
    <row r="224" spans="8:9" x14ac:dyDescent="0.25">
      <c r="H224">
        <v>223</v>
      </c>
      <c r="I224">
        <v>21.961441292902496</v>
      </c>
    </row>
    <row r="225" spans="8:9" x14ac:dyDescent="0.25">
      <c r="H225">
        <v>224</v>
      </c>
      <c r="I225">
        <v>24.451272539553315</v>
      </c>
    </row>
    <row r="226" spans="8:9" x14ac:dyDescent="0.25">
      <c r="H226">
        <v>225</v>
      </c>
      <c r="I226">
        <v>25.743546111179686</v>
      </c>
    </row>
    <row r="227" spans="8:9" x14ac:dyDescent="0.25">
      <c r="H227">
        <v>226</v>
      </c>
      <c r="I227">
        <v>25.440772069210965</v>
      </c>
    </row>
    <row r="228" spans="8:9" x14ac:dyDescent="0.25">
      <c r="H228">
        <v>227</v>
      </c>
      <c r="I228">
        <v>28.977313380702952</v>
      </c>
    </row>
    <row r="229" spans="8:9" x14ac:dyDescent="0.25">
      <c r="H229">
        <v>228</v>
      </c>
      <c r="I229">
        <v>21.281730355824909</v>
      </c>
    </row>
    <row r="230" spans="8:9" x14ac:dyDescent="0.25">
      <c r="H230">
        <v>229</v>
      </c>
      <c r="I230">
        <v>26.790936469359306</v>
      </c>
    </row>
    <row r="231" spans="8:9" x14ac:dyDescent="0.25">
      <c r="H231">
        <v>230</v>
      </c>
      <c r="I231">
        <v>25.440605070560842</v>
      </c>
    </row>
    <row r="232" spans="8:9" x14ac:dyDescent="0.25">
      <c r="H232">
        <v>231</v>
      </c>
      <c r="I232">
        <v>21.681069437037259</v>
      </c>
    </row>
    <row r="233" spans="8:9" x14ac:dyDescent="0.25">
      <c r="H233">
        <v>232</v>
      </c>
      <c r="I233">
        <v>26.848006224669842</v>
      </c>
    </row>
    <row r="234" spans="8:9" x14ac:dyDescent="0.25">
      <c r="H234">
        <v>233</v>
      </c>
      <c r="I234">
        <v>26.622209703360113</v>
      </c>
    </row>
    <row r="235" spans="8:9" x14ac:dyDescent="0.25">
      <c r="H235">
        <v>234</v>
      </c>
      <c r="I235">
        <v>30.13190503741901</v>
      </c>
    </row>
    <row r="236" spans="8:9" x14ac:dyDescent="0.25">
      <c r="H236">
        <v>235</v>
      </c>
      <c r="I236">
        <v>22.936448418274864</v>
      </c>
    </row>
    <row r="237" spans="8:9" x14ac:dyDescent="0.25">
      <c r="H237">
        <v>236</v>
      </c>
      <c r="I237">
        <v>22.814639187183236</v>
      </c>
    </row>
    <row r="238" spans="8:9" x14ac:dyDescent="0.25">
      <c r="H238">
        <v>237</v>
      </c>
      <c r="I238">
        <v>31.031947705019601</v>
      </c>
    </row>
    <row r="239" spans="8:9" x14ac:dyDescent="0.25">
      <c r="H239">
        <v>238</v>
      </c>
      <c r="I239">
        <v>22.344950112005037</v>
      </c>
    </row>
    <row r="240" spans="8:9" x14ac:dyDescent="0.25">
      <c r="H240">
        <v>239</v>
      </c>
      <c r="I240">
        <v>30.852631139456967</v>
      </c>
    </row>
    <row r="241" spans="8:9" x14ac:dyDescent="0.25">
      <c r="H241">
        <v>240</v>
      </c>
      <c r="I241">
        <v>25.150657752629641</v>
      </c>
    </row>
    <row r="242" spans="8:9" x14ac:dyDescent="0.25">
      <c r="H242">
        <v>241</v>
      </c>
      <c r="I242">
        <v>26.897893724059944</v>
      </c>
    </row>
    <row r="243" spans="8:9" x14ac:dyDescent="0.25">
      <c r="H243">
        <v>242</v>
      </c>
      <c r="I243">
        <v>24.891812922110585</v>
      </c>
    </row>
    <row r="244" spans="8:9" x14ac:dyDescent="0.25">
      <c r="H244">
        <v>243</v>
      </c>
      <c r="I244">
        <v>30.587909178213344</v>
      </c>
    </row>
    <row r="245" spans="8:9" x14ac:dyDescent="0.25">
      <c r="H245">
        <v>244</v>
      </c>
      <c r="I245">
        <v>30.873525667186467</v>
      </c>
    </row>
    <row r="246" spans="8:9" x14ac:dyDescent="0.25">
      <c r="H246">
        <v>245</v>
      </c>
      <c r="I246">
        <v>25.316933409787627</v>
      </c>
    </row>
    <row r="247" spans="8:9" x14ac:dyDescent="0.25">
      <c r="H247">
        <v>246</v>
      </c>
      <c r="I247">
        <v>26.475144666195852</v>
      </c>
    </row>
    <row r="248" spans="8:9" x14ac:dyDescent="0.25">
      <c r="H248">
        <v>247</v>
      </c>
      <c r="I248">
        <v>24.111744018144883</v>
      </c>
    </row>
    <row r="249" spans="8:9" x14ac:dyDescent="0.25">
      <c r="H249">
        <v>248</v>
      </c>
      <c r="I249">
        <v>24.097111073808755</v>
      </c>
    </row>
    <row r="250" spans="8:9" x14ac:dyDescent="0.25">
      <c r="H250">
        <v>249</v>
      </c>
      <c r="I250">
        <v>23.102557807173387</v>
      </c>
    </row>
    <row r="251" spans="8:9" x14ac:dyDescent="0.25">
      <c r="H251">
        <v>250</v>
      </c>
      <c r="I251">
        <v>16.270563509153849</v>
      </c>
    </row>
    <row r="252" spans="8:9" x14ac:dyDescent="0.25">
      <c r="H252">
        <v>251</v>
      </c>
      <c r="I252">
        <v>24.870657380533991</v>
      </c>
    </row>
    <row r="253" spans="8:9" x14ac:dyDescent="0.25">
      <c r="H253">
        <v>252</v>
      </c>
      <c r="I253">
        <v>26.883442531500965</v>
      </c>
    </row>
    <row r="254" spans="8:9" x14ac:dyDescent="0.25">
      <c r="H254">
        <v>253</v>
      </c>
      <c r="I254">
        <v>26.50727510213764</v>
      </c>
    </row>
    <row r="255" spans="8:9" x14ac:dyDescent="0.25">
      <c r="H255">
        <v>254</v>
      </c>
      <c r="I255">
        <v>21.758337952000147</v>
      </c>
    </row>
    <row r="256" spans="8:9" x14ac:dyDescent="0.25">
      <c r="H256">
        <v>255</v>
      </c>
      <c r="I256">
        <v>29.083934449253089</v>
      </c>
    </row>
    <row r="257" spans="8:9" x14ac:dyDescent="0.25">
      <c r="H257">
        <v>256</v>
      </c>
      <c r="I257">
        <v>31.189289368189318</v>
      </c>
    </row>
    <row r="258" spans="8:9" x14ac:dyDescent="0.25">
      <c r="H258">
        <v>257</v>
      </c>
      <c r="I258">
        <v>23.14917364558811</v>
      </c>
    </row>
    <row r="259" spans="8:9" x14ac:dyDescent="0.25">
      <c r="H259">
        <v>258</v>
      </c>
      <c r="I259">
        <v>25.911552200591917</v>
      </c>
    </row>
    <row r="260" spans="8:9" x14ac:dyDescent="0.25">
      <c r="H260">
        <v>259</v>
      </c>
      <c r="I260">
        <v>19.952121602244659</v>
      </c>
    </row>
    <row r="261" spans="8:9" x14ac:dyDescent="0.25">
      <c r="H261">
        <v>260</v>
      </c>
      <c r="I261">
        <v>29.593612718788879</v>
      </c>
    </row>
    <row r="262" spans="8:9" x14ac:dyDescent="0.25">
      <c r="H262">
        <v>261</v>
      </c>
      <c r="I262">
        <v>29.280616318953317</v>
      </c>
    </row>
    <row r="263" spans="8:9" x14ac:dyDescent="0.25">
      <c r="H263">
        <v>262</v>
      </c>
      <c r="I263">
        <v>30.611989839994443</v>
      </c>
    </row>
    <row r="264" spans="8:9" x14ac:dyDescent="0.25">
      <c r="H264">
        <v>263</v>
      </c>
      <c r="I264">
        <v>30.212407726524976</v>
      </c>
    </row>
    <row r="265" spans="8:9" x14ac:dyDescent="0.25">
      <c r="H265">
        <v>264</v>
      </c>
      <c r="I265">
        <v>19.722301036719603</v>
      </c>
    </row>
    <row r="266" spans="8:9" x14ac:dyDescent="0.25">
      <c r="H266">
        <v>265</v>
      </c>
      <c r="I266">
        <v>25.645735907170128</v>
      </c>
    </row>
    <row r="267" spans="8:9" x14ac:dyDescent="0.25">
      <c r="H267">
        <v>266</v>
      </c>
      <c r="I267">
        <v>27.645329438623193</v>
      </c>
    </row>
    <row r="268" spans="8:9" x14ac:dyDescent="0.25">
      <c r="H268">
        <v>267</v>
      </c>
      <c r="I268">
        <v>31.148990473827919</v>
      </c>
    </row>
    <row r="269" spans="8:9" x14ac:dyDescent="0.25">
      <c r="H269">
        <v>268</v>
      </c>
      <c r="I269">
        <v>28.526406612436098</v>
      </c>
    </row>
    <row r="270" spans="8:9" x14ac:dyDescent="0.25">
      <c r="H270">
        <v>269</v>
      </c>
      <c r="I270">
        <v>27.178981228025634</v>
      </c>
    </row>
    <row r="271" spans="8:9" x14ac:dyDescent="0.25">
      <c r="H271">
        <v>270</v>
      </c>
      <c r="I271">
        <v>26.64820852686065</v>
      </c>
    </row>
    <row r="272" spans="8:9" x14ac:dyDescent="0.25">
      <c r="H272">
        <v>271</v>
      </c>
      <c r="I272">
        <v>30.020340474753855</v>
      </c>
    </row>
    <row r="273" spans="8:9" x14ac:dyDescent="0.25">
      <c r="H273">
        <v>272</v>
      </c>
      <c r="I273">
        <v>30.146376940140595</v>
      </c>
    </row>
    <row r="274" spans="8:9" x14ac:dyDescent="0.25">
      <c r="H274">
        <v>273</v>
      </c>
      <c r="I274">
        <v>27.055851484845409</v>
      </c>
    </row>
    <row r="275" spans="8:9" x14ac:dyDescent="0.25">
      <c r="H275">
        <v>274</v>
      </c>
      <c r="I275">
        <v>21.689498369294522</v>
      </c>
    </row>
    <row r="276" spans="8:9" x14ac:dyDescent="0.25">
      <c r="H276">
        <v>275</v>
      </c>
      <c r="I276">
        <v>20.634688120866045</v>
      </c>
    </row>
    <row r="277" spans="8:9" x14ac:dyDescent="0.25">
      <c r="H277">
        <v>276</v>
      </c>
      <c r="I277">
        <v>32.002761919530222</v>
      </c>
    </row>
    <row r="278" spans="8:9" x14ac:dyDescent="0.25">
      <c r="H278">
        <v>277</v>
      </c>
      <c r="I278">
        <v>23.42094821722441</v>
      </c>
    </row>
    <row r="279" spans="8:9" x14ac:dyDescent="0.25">
      <c r="H279">
        <v>278</v>
      </c>
      <c r="I279">
        <v>25.583806344299042</v>
      </c>
    </row>
    <row r="280" spans="8:9" x14ac:dyDescent="0.25">
      <c r="H280">
        <v>279</v>
      </c>
      <c r="I280">
        <v>23.27918868680111</v>
      </c>
    </row>
    <row r="281" spans="8:9" x14ac:dyDescent="0.25">
      <c r="H281">
        <v>280</v>
      </c>
      <c r="I281">
        <v>25.442829745966556</v>
      </c>
    </row>
    <row r="282" spans="8:9" x14ac:dyDescent="0.25">
      <c r="H282">
        <v>281</v>
      </c>
      <c r="I282">
        <v>16.261070789438691</v>
      </c>
    </row>
    <row r="283" spans="8:9" x14ac:dyDescent="0.25">
      <c r="H283">
        <v>282</v>
      </c>
      <c r="I283">
        <v>29.21009174978709</v>
      </c>
    </row>
    <row r="284" spans="8:9" x14ac:dyDescent="0.25">
      <c r="H284">
        <v>283</v>
      </c>
      <c r="I284">
        <v>23.769683304914132</v>
      </c>
    </row>
    <row r="285" spans="8:9" x14ac:dyDescent="0.25">
      <c r="H285">
        <v>284</v>
      </c>
      <c r="I285">
        <v>29.837132290242668</v>
      </c>
    </row>
    <row r="286" spans="8:9" x14ac:dyDescent="0.25">
      <c r="H286">
        <v>285</v>
      </c>
      <c r="I286">
        <v>24.582836023162965</v>
      </c>
    </row>
    <row r="287" spans="8:9" x14ac:dyDescent="0.25">
      <c r="H287">
        <v>286</v>
      </c>
      <c r="I287">
        <v>19.791296036823116</v>
      </c>
    </row>
    <row r="288" spans="8:9" x14ac:dyDescent="0.25">
      <c r="H288">
        <v>287</v>
      </c>
      <c r="I288">
        <v>24.892407080531562</v>
      </c>
    </row>
    <row r="289" spans="8:9" x14ac:dyDescent="0.25">
      <c r="H289">
        <v>288</v>
      </c>
      <c r="I289">
        <v>30.734333775791047</v>
      </c>
    </row>
    <row r="290" spans="8:9" x14ac:dyDescent="0.25">
      <c r="H290">
        <v>289</v>
      </c>
      <c r="I290">
        <v>25.979826515631085</v>
      </c>
    </row>
    <row r="291" spans="8:9" x14ac:dyDescent="0.25">
      <c r="H291">
        <v>290</v>
      </c>
      <c r="I291">
        <v>31.451479217114723</v>
      </c>
    </row>
    <row r="292" spans="8:9" x14ac:dyDescent="0.25">
      <c r="H292">
        <v>291</v>
      </c>
      <c r="I292">
        <v>30.413036571722788</v>
      </c>
    </row>
    <row r="293" spans="8:9" x14ac:dyDescent="0.25">
      <c r="H293">
        <v>292</v>
      </c>
      <c r="I293">
        <v>31.126970194862704</v>
      </c>
    </row>
    <row r="294" spans="8:9" x14ac:dyDescent="0.25">
      <c r="H294">
        <v>293</v>
      </c>
      <c r="I294">
        <v>31.151045905739462</v>
      </c>
    </row>
    <row r="295" spans="8:9" x14ac:dyDescent="0.25">
      <c r="H295">
        <v>294</v>
      </c>
      <c r="I295">
        <v>21.794975784116534</v>
      </c>
    </row>
    <row r="296" spans="8:9" x14ac:dyDescent="0.25">
      <c r="H296">
        <v>295</v>
      </c>
      <c r="I296">
        <v>24.81221614241095</v>
      </c>
    </row>
    <row r="297" spans="8:9" x14ac:dyDescent="0.25">
      <c r="H297">
        <v>296</v>
      </c>
      <c r="I297">
        <v>30.249253318414731</v>
      </c>
    </row>
    <row r="298" spans="8:9" x14ac:dyDescent="0.25">
      <c r="H298">
        <v>297</v>
      </c>
      <c r="I298">
        <v>28.487517001823218</v>
      </c>
    </row>
    <row r="299" spans="8:9" x14ac:dyDescent="0.25">
      <c r="H299">
        <v>298</v>
      </c>
      <c r="I299">
        <v>24.362454663781726</v>
      </c>
    </row>
    <row r="300" spans="8:9" x14ac:dyDescent="0.25">
      <c r="H300">
        <v>299</v>
      </c>
      <c r="I300">
        <v>30.29922283737535</v>
      </c>
    </row>
    <row r="301" spans="8:9" x14ac:dyDescent="0.25">
      <c r="H301">
        <v>300</v>
      </c>
      <c r="I301">
        <v>30.46410453757121</v>
      </c>
    </row>
    <row r="302" spans="8:9" x14ac:dyDescent="0.25">
      <c r="H302">
        <v>301</v>
      </c>
      <c r="I302">
        <v>27.276058623279901</v>
      </c>
    </row>
    <row r="303" spans="8:9" x14ac:dyDescent="0.25">
      <c r="H303">
        <v>302</v>
      </c>
      <c r="I303">
        <v>26.198386142907715</v>
      </c>
    </row>
    <row r="304" spans="8:9" x14ac:dyDescent="0.25">
      <c r="H304">
        <v>303</v>
      </c>
      <c r="I304">
        <v>24.5492891156577</v>
      </c>
    </row>
    <row r="305" spans="8:9" x14ac:dyDescent="0.25">
      <c r="H305">
        <v>304</v>
      </c>
      <c r="I305">
        <v>30.819355632647323</v>
      </c>
    </row>
    <row r="306" spans="8:9" x14ac:dyDescent="0.25">
      <c r="H306">
        <v>305</v>
      </c>
      <c r="I306">
        <v>18.827102848632624</v>
      </c>
    </row>
    <row r="307" spans="8:9" x14ac:dyDescent="0.25">
      <c r="H307">
        <v>306</v>
      </c>
      <c r="I307">
        <v>21.472372239577542</v>
      </c>
    </row>
    <row r="308" spans="8:9" x14ac:dyDescent="0.25">
      <c r="H308">
        <v>307</v>
      </c>
      <c r="I308">
        <v>28.444492805189661</v>
      </c>
    </row>
    <row r="309" spans="8:9" x14ac:dyDescent="0.25">
      <c r="H309">
        <v>308</v>
      </c>
      <c r="I309">
        <v>30.576844910024029</v>
      </c>
    </row>
    <row r="310" spans="8:9" x14ac:dyDescent="0.25">
      <c r="H310">
        <v>309</v>
      </c>
      <c r="I310">
        <v>27.847600214869946</v>
      </c>
    </row>
    <row r="311" spans="8:9" x14ac:dyDescent="0.25">
      <c r="H311">
        <v>310</v>
      </c>
      <c r="I311">
        <v>30.915539258433895</v>
      </c>
    </row>
    <row r="312" spans="8:9" x14ac:dyDescent="0.25">
      <c r="H312">
        <v>311</v>
      </c>
      <c r="I312">
        <v>29.450189371814474</v>
      </c>
    </row>
    <row r="313" spans="8:9" x14ac:dyDescent="0.25">
      <c r="H313">
        <v>312</v>
      </c>
      <c r="I313">
        <v>27.239188551885182</v>
      </c>
    </row>
    <row r="314" spans="8:9" x14ac:dyDescent="0.25">
      <c r="H314">
        <v>313</v>
      </c>
      <c r="I314">
        <v>28.934925979794084</v>
      </c>
    </row>
    <row r="315" spans="8:9" x14ac:dyDescent="0.25">
      <c r="H315">
        <v>314</v>
      </c>
      <c r="I315">
        <v>27.397233113245687</v>
      </c>
    </row>
    <row r="316" spans="8:9" x14ac:dyDescent="0.25">
      <c r="H316">
        <v>315</v>
      </c>
      <c r="I316">
        <v>22.825324628395364</v>
      </c>
    </row>
    <row r="317" spans="8:9" x14ac:dyDescent="0.25">
      <c r="H317">
        <v>316</v>
      </c>
      <c r="I317">
        <v>19.82476631524116</v>
      </c>
    </row>
    <row r="318" spans="8:9" x14ac:dyDescent="0.25">
      <c r="H318">
        <v>317</v>
      </c>
      <c r="I318">
        <v>23.670157571008549</v>
      </c>
    </row>
    <row r="319" spans="8:9" x14ac:dyDescent="0.25">
      <c r="H319">
        <v>318</v>
      </c>
      <c r="I319">
        <v>24.326977525096005</v>
      </c>
    </row>
    <row r="320" spans="8:9" x14ac:dyDescent="0.25">
      <c r="H320">
        <v>319</v>
      </c>
      <c r="I320">
        <v>26.099698013189542</v>
      </c>
    </row>
    <row r="321" spans="8:9" x14ac:dyDescent="0.25">
      <c r="H321">
        <v>320</v>
      </c>
      <c r="I321">
        <v>26.753618603396241</v>
      </c>
    </row>
    <row r="322" spans="8:9" x14ac:dyDescent="0.25">
      <c r="H322">
        <v>321</v>
      </c>
      <c r="I322">
        <v>21.294483171164572</v>
      </c>
    </row>
    <row r="323" spans="8:9" x14ac:dyDescent="0.25">
      <c r="H323">
        <v>322</v>
      </c>
      <c r="I323">
        <v>25.884427776393196</v>
      </c>
    </row>
    <row r="324" spans="8:9" x14ac:dyDescent="0.25">
      <c r="H324">
        <v>323</v>
      </c>
      <c r="I324">
        <v>21.696176329868322</v>
      </c>
    </row>
    <row r="325" spans="8:9" x14ac:dyDescent="0.25">
      <c r="H325">
        <v>324</v>
      </c>
      <c r="I325">
        <v>25.409389692066298</v>
      </c>
    </row>
    <row r="326" spans="8:9" x14ac:dyDescent="0.25">
      <c r="H326">
        <v>325</v>
      </c>
      <c r="I326">
        <v>28.986706674534364</v>
      </c>
    </row>
    <row r="327" spans="8:9" x14ac:dyDescent="0.25">
      <c r="H327">
        <v>326</v>
      </c>
      <c r="I327">
        <v>22.343994478494796</v>
      </c>
    </row>
    <row r="328" spans="8:9" x14ac:dyDescent="0.25">
      <c r="H328">
        <v>327</v>
      </c>
      <c r="I328">
        <v>25.204647143406476</v>
      </c>
    </row>
    <row r="329" spans="8:9" x14ac:dyDescent="0.25">
      <c r="H329">
        <v>328</v>
      </c>
      <c r="I329">
        <v>30.516449206806051</v>
      </c>
    </row>
    <row r="330" spans="8:9" x14ac:dyDescent="0.25">
      <c r="H330">
        <v>329</v>
      </c>
      <c r="I330">
        <v>28.759446580276872</v>
      </c>
    </row>
    <row r="331" spans="8:9" x14ac:dyDescent="0.25">
      <c r="H331">
        <v>330</v>
      </c>
      <c r="I331">
        <v>28.04374567483875</v>
      </c>
    </row>
    <row r="332" spans="8:9" x14ac:dyDescent="0.25">
      <c r="H332">
        <v>331</v>
      </c>
      <c r="I332">
        <v>24.041053921948734</v>
      </c>
    </row>
    <row r="333" spans="8:9" x14ac:dyDescent="0.25">
      <c r="H333">
        <v>332</v>
      </c>
      <c r="I333">
        <v>26.528753050890113</v>
      </c>
    </row>
    <row r="334" spans="8:9" x14ac:dyDescent="0.25">
      <c r="H334">
        <v>333</v>
      </c>
      <c r="I334">
        <v>24.509837930484423</v>
      </c>
    </row>
    <row r="335" spans="8:9" x14ac:dyDescent="0.25">
      <c r="H335">
        <v>334</v>
      </c>
      <c r="I335">
        <v>30.619986848200789</v>
      </c>
    </row>
    <row r="336" spans="8:9" x14ac:dyDescent="0.25">
      <c r="H336">
        <v>335</v>
      </c>
      <c r="I336">
        <v>30.256733256593751</v>
      </c>
    </row>
    <row r="337" spans="8:9" x14ac:dyDescent="0.25">
      <c r="H337">
        <v>336</v>
      </c>
      <c r="I337">
        <v>31.227199786110564</v>
      </c>
    </row>
    <row r="338" spans="8:9" x14ac:dyDescent="0.25">
      <c r="H338">
        <v>337</v>
      </c>
      <c r="I338">
        <v>18.965140741329982</v>
      </c>
    </row>
    <row r="339" spans="8:9" x14ac:dyDescent="0.25">
      <c r="H339">
        <v>338</v>
      </c>
      <c r="I339">
        <v>30.155143411881493</v>
      </c>
    </row>
    <row r="340" spans="8:9" x14ac:dyDescent="0.25">
      <c r="H340">
        <v>339</v>
      </c>
      <c r="I340">
        <v>22.111188449943775</v>
      </c>
    </row>
    <row r="341" spans="8:9" x14ac:dyDescent="0.25">
      <c r="H341">
        <v>340</v>
      </c>
      <c r="I341">
        <v>25.790220904807548</v>
      </c>
    </row>
    <row r="342" spans="8:9" x14ac:dyDescent="0.25">
      <c r="H342">
        <v>341</v>
      </c>
      <c r="I342">
        <v>29.174607039736966</v>
      </c>
    </row>
    <row r="343" spans="8:9" x14ac:dyDescent="0.25">
      <c r="H343">
        <v>342</v>
      </c>
      <c r="I343">
        <v>23.538821948600241</v>
      </c>
    </row>
    <row r="344" spans="8:9" x14ac:dyDescent="0.25">
      <c r="H344">
        <v>343</v>
      </c>
      <c r="I344">
        <v>29.911480393577818</v>
      </c>
    </row>
    <row r="345" spans="8:9" x14ac:dyDescent="0.25">
      <c r="H345">
        <v>344</v>
      </c>
      <c r="I345">
        <v>24.503890719234398</v>
      </c>
    </row>
    <row r="346" spans="8:9" x14ac:dyDescent="0.25">
      <c r="H346">
        <v>345</v>
      </c>
      <c r="I346">
        <v>29.646310786200701</v>
      </c>
    </row>
    <row r="347" spans="8:9" x14ac:dyDescent="0.25">
      <c r="H347">
        <v>346</v>
      </c>
      <c r="I347">
        <v>26.648910313277792</v>
      </c>
    </row>
    <row r="348" spans="8:9" x14ac:dyDescent="0.25">
      <c r="H348">
        <v>347</v>
      </c>
      <c r="I348">
        <v>17.285577014693306</v>
      </c>
    </row>
    <row r="349" spans="8:9" x14ac:dyDescent="0.25">
      <c r="H349">
        <v>348</v>
      </c>
      <c r="I349">
        <v>21.825171561556306</v>
      </c>
    </row>
    <row r="350" spans="8:9" x14ac:dyDescent="0.25">
      <c r="H350">
        <v>349</v>
      </c>
      <c r="I350">
        <v>28.136333483309571</v>
      </c>
    </row>
    <row r="351" spans="8:9" x14ac:dyDescent="0.25">
      <c r="H351">
        <v>350</v>
      </c>
      <c r="I351">
        <v>31.434921540375694</v>
      </c>
    </row>
    <row r="352" spans="8:9" x14ac:dyDescent="0.25">
      <c r="H352">
        <v>351</v>
      </c>
      <c r="I352">
        <v>30.488634419223438</v>
      </c>
    </row>
    <row r="353" spans="8:9" x14ac:dyDescent="0.25">
      <c r="H353">
        <v>352</v>
      </c>
      <c r="I353">
        <v>26.920721931500221</v>
      </c>
    </row>
    <row r="354" spans="8:9" x14ac:dyDescent="0.25">
      <c r="H354">
        <v>353</v>
      </c>
      <c r="I354">
        <v>27.963017305894031</v>
      </c>
    </row>
    <row r="355" spans="8:9" x14ac:dyDescent="0.25">
      <c r="H355">
        <v>354</v>
      </c>
      <c r="I355">
        <v>18.393293553216893</v>
      </c>
    </row>
    <row r="356" spans="8:9" x14ac:dyDescent="0.25">
      <c r="H356">
        <v>355</v>
      </c>
      <c r="I356">
        <v>30.625898707233606</v>
      </c>
    </row>
    <row r="357" spans="8:9" x14ac:dyDescent="0.25">
      <c r="H357">
        <v>356</v>
      </c>
      <c r="I357">
        <v>30.813084706613893</v>
      </c>
    </row>
    <row r="358" spans="8:9" x14ac:dyDescent="0.25">
      <c r="H358">
        <v>357</v>
      </c>
      <c r="I358">
        <v>23.053626774413381</v>
      </c>
    </row>
    <row r="359" spans="8:9" x14ac:dyDescent="0.25">
      <c r="H359">
        <v>358</v>
      </c>
      <c r="I359">
        <v>26.455473046076897</v>
      </c>
    </row>
    <row r="360" spans="8:9" x14ac:dyDescent="0.25">
      <c r="H360">
        <v>359</v>
      </c>
      <c r="I360">
        <v>30.659368389766193</v>
      </c>
    </row>
    <row r="361" spans="8:9" x14ac:dyDescent="0.25">
      <c r="H361">
        <v>360</v>
      </c>
      <c r="I361">
        <v>24.84387058945282</v>
      </c>
    </row>
    <row r="362" spans="8:9" x14ac:dyDescent="0.25">
      <c r="H362">
        <v>361</v>
      </c>
      <c r="I362">
        <v>30.903888560273508</v>
      </c>
    </row>
    <row r="363" spans="8:9" x14ac:dyDescent="0.25">
      <c r="H363">
        <v>362</v>
      </c>
      <c r="I363">
        <v>25.572434021342708</v>
      </c>
    </row>
    <row r="364" spans="8:9" x14ac:dyDescent="0.25">
      <c r="H364">
        <v>363</v>
      </c>
      <c r="I364">
        <v>19.826459117892242</v>
      </c>
    </row>
    <row r="365" spans="8:9" x14ac:dyDescent="0.25">
      <c r="H365">
        <v>364</v>
      </c>
      <c r="I365">
        <v>28.499205995923241</v>
      </c>
    </row>
    <row r="366" spans="8:9" x14ac:dyDescent="0.25">
      <c r="H366">
        <v>365</v>
      </c>
      <c r="I366">
        <v>28.497577323014905</v>
      </c>
    </row>
    <row r="367" spans="8:9" x14ac:dyDescent="0.25">
      <c r="H367">
        <v>366</v>
      </c>
      <c r="I367">
        <v>20.395701242636704</v>
      </c>
    </row>
    <row r="368" spans="8:9" x14ac:dyDescent="0.25">
      <c r="H368">
        <v>367</v>
      </c>
      <c r="I368">
        <v>30.098537347925106</v>
      </c>
    </row>
    <row r="369" spans="8:9" x14ac:dyDescent="0.25">
      <c r="H369">
        <v>368</v>
      </c>
      <c r="I369">
        <v>25.469666846050806</v>
      </c>
    </row>
    <row r="370" spans="8:9" x14ac:dyDescent="0.25">
      <c r="H370">
        <v>369</v>
      </c>
      <c r="I370">
        <v>29.365535116257089</v>
      </c>
    </row>
    <row r="371" spans="8:9" x14ac:dyDescent="0.25">
      <c r="H371">
        <v>370</v>
      </c>
      <c r="I371">
        <v>31.000992462419987</v>
      </c>
    </row>
    <row r="372" spans="8:9" x14ac:dyDescent="0.25">
      <c r="H372">
        <v>371</v>
      </c>
      <c r="I372">
        <v>29.506136005952431</v>
      </c>
    </row>
    <row r="373" spans="8:9" x14ac:dyDescent="0.25">
      <c r="H373">
        <v>372</v>
      </c>
      <c r="I373">
        <v>28.05148410692837</v>
      </c>
    </row>
    <row r="374" spans="8:9" x14ac:dyDescent="0.25">
      <c r="H374">
        <v>373</v>
      </c>
      <c r="I374">
        <v>29.881041479211671</v>
      </c>
    </row>
    <row r="375" spans="8:9" x14ac:dyDescent="0.25">
      <c r="H375">
        <v>374</v>
      </c>
      <c r="I375">
        <v>13.223985904753121</v>
      </c>
    </row>
    <row r="376" spans="8:9" x14ac:dyDescent="0.25">
      <c r="H376">
        <v>375</v>
      </c>
      <c r="I376">
        <v>20.708209848678678</v>
      </c>
    </row>
    <row r="377" spans="8:9" x14ac:dyDescent="0.25">
      <c r="H377">
        <v>376</v>
      </c>
      <c r="I377">
        <v>26.60570406852813</v>
      </c>
    </row>
    <row r="378" spans="8:9" x14ac:dyDescent="0.25">
      <c r="H378">
        <v>377</v>
      </c>
      <c r="I378">
        <v>30.550489362391552</v>
      </c>
    </row>
    <row r="379" spans="8:9" x14ac:dyDescent="0.25">
      <c r="H379">
        <v>378</v>
      </c>
      <c r="I379">
        <v>29.792645288795125</v>
      </c>
    </row>
    <row r="380" spans="8:9" x14ac:dyDescent="0.25">
      <c r="H380">
        <v>379</v>
      </c>
      <c r="I380">
        <v>27.50278232783252</v>
      </c>
    </row>
    <row r="381" spans="8:9" x14ac:dyDescent="0.25">
      <c r="H381">
        <v>380</v>
      </c>
      <c r="I381">
        <v>22.675336503469548</v>
      </c>
    </row>
    <row r="382" spans="8:9" x14ac:dyDescent="0.25">
      <c r="H382">
        <v>381</v>
      </c>
      <c r="I382">
        <v>28.897062636659914</v>
      </c>
    </row>
    <row r="383" spans="8:9" x14ac:dyDescent="0.25">
      <c r="H383">
        <v>382</v>
      </c>
      <c r="I383">
        <v>31.447394300090817</v>
      </c>
    </row>
    <row r="384" spans="8:9" x14ac:dyDescent="0.25">
      <c r="H384">
        <v>383</v>
      </c>
      <c r="I384">
        <v>31.668953662346468</v>
      </c>
    </row>
    <row r="385" spans="8:9" x14ac:dyDescent="0.25">
      <c r="H385">
        <v>384</v>
      </c>
      <c r="I385">
        <v>25.399143373561053</v>
      </c>
    </row>
    <row r="386" spans="8:9" x14ac:dyDescent="0.25">
      <c r="H386">
        <v>385</v>
      </c>
      <c r="I386">
        <v>30.733182244166898</v>
      </c>
    </row>
    <row r="387" spans="8:9" x14ac:dyDescent="0.25">
      <c r="H387">
        <v>386</v>
      </c>
      <c r="I387">
        <v>29.789907195854713</v>
      </c>
    </row>
    <row r="388" spans="8:9" x14ac:dyDescent="0.25">
      <c r="H388">
        <v>387</v>
      </c>
      <c r="I388">
        <v>30.760897640579667</v>
      </c>
    </row>
    <row r="389" spans="8:9" x14ac:dyDescent="0.25">
      <c r="H389">
        <v>388</v>
      </c>
      <c r="I389">
        <v>30.200662058414011</v>
      </c>
    </row>
    <row r="390" spans="8:9" x14ac:dyDescent="0.25">
      <c r="H390">
        <v>389</v>
      </c>
      <c r="I390">
        <v>22.148161074516985</v>
      </c>
    </row>
    <row r="391" spans="8:9" x14ac:dyDescent="0.25">
      <c r="H391">
        <v>390</v>
      </c>
      <c r="I391">
        <v>30.497045553923908</v>
      </c>
    </row>
    <row r="392" spans="8:9" x14ac:dyDescent="0.25">
      <c r="H392">
        <v>391</v>
      </c>
      <c r="I392">
        <v>29.21611822673157</v>
      </c>
    </row>
    <row r="393" spans="8:9" x14ac:dyDescent="0.25">
      <c r="H393">
        <v>392</v>
      </c>
      <c r="I393">
        <v>31.314072818538904</v>
      </c>
    </row>
    <row r="394" spans="8:9" x14ac:dyDescent="0.25">
      <c r="H394">
        <v>393</v>
      </c>
      <c r="I394">
        <v>30.397252909141166</v>
      </c>
    </row>
    <row r="395" spans="8:9" x14ac:dyDescent="0.25">
      <c r="H395">
        <v>394</v>
      </c>
      <c r="I395">
        <v>30.115369427324509</v>
      </c>
    </row>
    <row r="396" spans="8:9" x14ac:dyDescent="0.25">
      <c r="H396">
        <v>395</v>
      </c>
      <c r="I396">
        <v>29.795643830254711</v>
      </c>
    </row>
    <row r="397" spans="8:9" x14ac:dyDescent="0.25">
      <c r="H397">
        <v>396</v>
      </c>
      <c r="I397">
        <v>27.984667744579546</v>
      </c>
    </row>
    <row r="398" spans="8:9" x14ac:dyDescent="0.25">
      <c r="H398">
        <v>397</v>
      </c>
      <c r="I398">
        <v>19.399800861644394</v>
      </c>
    </row>
    <row r="399" spans="8:9" x14ac:dyDescent="0.25">
      <c r="H399">
        <v>398</v>
      </c>
      <c r="I399">
        <v>28.986509673742972</v>
      </c>
    </row>
    <row r="400" spans="8:9" x14ac:dyDescent="0.25">
      <c r="H400">
        <v>399</v>
      </c>
      <c r="I400">
        <v>24.720504999899021</v>
      </c>
    </row>
    <row r="401" spans="8:9" x14ac:dyDescent="0.25">
      <c r="H401">
        <v>400</v>
      </c>
      <c r="I401">
        <v>29.662368649873979</v>
      </c>
    </row>
    <row r="402" spans="8:9" x14ac:dyDescent="0.25">
      <c r="H402">
        <v>401</v>
      </c>
      <c r="I402">
        <v>30.484299528903165</v>
      </c>
    </row>
    <row r="403" spans="8:9" x14ac:dyDescent="0.25">
      <c r="H403">
        <v>402</v>
      </c>
      <c r="I403">
        <v>28.641171746482883</v>
      </c>
    </row>
    <row r="404" spans="8:9" x14ac:dyDescent="0.25">
      <c r="H404">
        <v>403</v>
      </c>
      <c r="I404">
        <v>30.21394905399714</v>
      </c>
    </row>
    <row r="405" spans="8:9" x14ac:dyDescent="0.25">
      <c r="H405">
        <v>404</v>
      </c>
      <c r="I405">
        <v>22.212519507143519</v>
      </c>
    </row>
    <row r="406" spans="8:9" x14ac:dyDescent="0.25">
      <c r="H406">
        <v>405</v>
      </c>
      <c r="I406">
        <v>24.302574164026112</v>
      </c>
    </row>
    <row r="407" spans="8:9" x14ac:dyDescent="0.25">
      <c r="H407">
        <v>406</v>
      </c>
      <c r="I407">
        <v>30.146277261947983</v>
      </c>
    </row>
    <row r="408" spans="8:9" x14ac:dyDescent="0.25">
      <c r="H408">
        <v>407</v>
      </c>
      <c r="I408">
        <v>27.792374534082573</v>
      </c>
    </row>
    <row r="409" spans="8:9" x14ac:dyDescent="0.25">
      <c r="H409">
        <v>408</v>
      </c>
      <c r="I409">
        <v>31.372998907857845</v>
      </c>
    </row>
    <row r="410" spans="8:9" x14ac:dyDescent="0.25">
      <c r="H410">
        <v>409</v>
      </c>
      <c r="I410">
        <v>22.496608748545562</v>
      </c>
    </row>
    <row r="411" spans="8:9" x14ac:dyDescent="0.25">
      <c r="H411">
        <v>410</v>
      </c>
      <c r="I411">
        <v>28.936687360272309</v>
      </c>
    </row>
    <row r="412" spans="8:9" x14ac:dyDescent="0.25">
      <c r="H412">
        <v>411</v>
      </c>
      <c r="I412">
        <v>30.796719711633102</v>
      </c>
    </row>
    <row r="413" spans="8:9" x14ac:dyDescent="0.25">
      <c r="H413">
        <v>412</v>
      </c>
      <c r="I413">
        <v>26.775076911981508</v>
      </c>
    </row>
    <row r="414" spans="8:9" x14ac:dyDescent="0.25">
      <c r="H414">
        <v>413</v>
      </c>
      <c r="I414">
        <v>30.481473607515504</v>
      </c>
    </row>
    <row r="415" spans="8:9" x14ac:dyDescent="0.25">
      <c r="H415">
        <v>414</v>
      </c>
      <c r="I415">
        <v>30.511807618755192</v>
      </c>
    </row>
    <row r="416" spans="8:9" x14ac:dyDescent="0.25">
      <c r="H416">
        <v>415</v>
      </c>
      <c r="I416">
        <v>27.265190734609675</v>
      </c>
    </row>
    <row r="417" spans="8:9" x14ac:dyDescent="0.25">
      <c r="H417">
        <v>416</v>
      </c>
      <c r="I417">
        <v>26.799855991831397</v>
      </c>
    </row>
    <row r="418" spans="8:9" x14ac:dyDescent="0.25">
      <c r="H418">
        <v>417</v>
      </c>
      <c r="I418">
        <v>29.308296818456153</v>
      </c>
    </row>
    <row r="419" spans="8:9" x14ac:dyDescent="0.25">
      <c r="H419">
        <v>418</v>
      </c>
      <c r="I419">
        <v>29.237691756682409</v>
      </c>
    </row>
    <row r="420" spans="8:9" x14ac:dyDescent="0.25">
      <c r="H420">
        <v>419</v>
      </c>
      <c r="I420">
        <v>20.865171303801457</v>
      </c>
    </row>
    <row r="421" spans="8:9" x14ac:dyDescent="0.25">
      <c r="H421">
        <v>420</v>
      </c>
      <c r="I421">
        <v>29.751133700033247</v>
      </c>
    </row>
    <row r="422" spans="8:9" x14ac:dyDescent="0.25">
      <c r="H422">
        <v>421</v>
      </c>
      <c r="I422">
        <v>31.632565838411868</v>
      </c>
    </row>
    <row r="423" spans="8:9" x14ac:dyDescent="0.25">
      <c r="H423">
        <v>422</v>
      </c>
      <c r="I423">
        <v>30.315634210715469</v>
      </c>
    </row>
    <row r="424" spans="8:9" x14ac:dyDescent="0.25">
      <c r="H424">
        <v>423</v>
      </c>
      <c r="I424">
        <v>25.650072340705833</v>
      </c>
    </row>
    <row r="425" spans="8:9" x14ac:dyDescent="0.25">
      <c r="H425">
        <v>424</v>
      </c>
      <c r="I425">
        <v>28.086479950272746</v>
      </c>
    </row>
    <row r="426" spans="8:9" x14ac:dyDescent="0.25">
      <c r="H426">
        <v>425</v>
      </c>
      <c r="I426">
        <v>18.402143700994916</v>
      </c>
    </row>
    <row r="427" spans="8:9" x14ac:dyDescent="0.25">
      <c r="H427">
        <v>426</v>
      </c>
      <c r="I427">
        <v>27.957750426294911</v>
      </c>
    </row>
    <row r="428" spans="8:9" x14ac:dyDescent="0.25">
      <c r="H428">
        <v>427</v>
      </c>
      <c r="I428">
        <v>31.118029605276153</v>
      </c>
    </row>
    <row r="429" spans="8:9" x14ac:dyDescent="0.25">
      <c r="H429">
        <v>428</v>
      </c>
      <c r="I429">
        <v>24.888431922496743</v>
      </c>
    </row>
    <row r="430" spans="8:9" x14ac:dyDescent="0.25">
      <c r="H430">
        <v>429</v>
      </c>
      <c r="I430">
        <v>30.413581367371094</v>
      </c>
    </row>
    <row r="431" spans="8:9" x14ac:dyDescent="0.25">
      <c r="H431">
        <v>430</v>
      </c>
      <c r="I431">
        <v>24.67361885364171</v>
      </c>
    </row>
    <row r="432" spans="8:9" x14ac:dyDescent="0.25">
      <c r="H432">
        <v>431</v>
      </c>
      <c r="I432">
        <v>25.642888345485765</v>
      </c>
    </row>
    <row r="433" spans="8:9" x14ac:dyDescent="0.25">
      <c r="H433">
        <v>432</v>
      </c>
      <c r="I433">
        <v>24.365815996200332</v>
      </c>
    </row>
    <row r="434" spans="8:9" x14ac:dyDescent="0.25">
      <c r="H434">
        <v>433</v>
      </c>
      <c r="I434">
        <v>26.486885679936915</v>
      </c>
    </row>
    <row r="435" spans="8:9" x14ac:dyDescent="0.25">
      <c r="H435">
        <v>434</v>
      </c>
      <c r="I435">
        <v>25.704202639010077</v>
      </c>
    </row>
    <row r="436" spans="8:9" x14ac:dyDescent="0.25">
      <c r="H436">
        <v>435</v>
      </c>
      <c r="I436">
        <v>27.531561348124885</v>
      </c>
    </row>
    <row r="437" spans="8:9" x14ac:dyDescent="0.25">
      <c r="H437">
        <v>436</v>
      </c>
      <c r="I437">
        <v>31.22038746442221</v>
      </c>
    </row>
    <row r="438" spans="8:9" x14ac:dyDescent="0.25">
      <c r="H438">
        <v>437</v>
      </c>
      <c r="I438">
        <v>21.657792768131081</v>
      </c>
    </row>
    <row r="439" spans="8:9" x14ac:dyDescent="0.25">
      <c r="H439">
        <v>438</v>
      </c>
      <c r="I439">
        <v>24.534435636831272</v>
      </c>
    </row>
    <row r="440" spans="8:9" x14ac:dyDescent="0.25">
      <c r="H440">
        <v>439</v>
      </c>
      <c r="I440">
        <v>19.727648611194464</v>
      </c>
    </row>
    <row r="441" spans="8:9" x14ac:dyDescent="0.25">
      <c r="H441">
        <v>440</v>
      </c>
      <c r="I441">
        <v>30.069394220422076</v>
      </c>
    </row>
    <row r="442" spans="8:9" x14ac:dyDescent="0.25">
      <c r="H442">
        <v>441</v>
      </c>
      <c r="I442">
        <v>23.949908853995549</v>
      </c>
    </row>
    <row r="443" spans="8:9" x14ac:dyDescent="0.25">
      <c r="H443">
        <v>442</v>
      </c>
      <c r="I443">
        <v>29.182217558349926</v>
      </c>
    </row>
    <row r="444" spans="8:9" x14ac:dyDescent="0.25">
      <c r="H444">
        <v>443</v>
      </c>
      <c r="I444">
        <v>29.566826817164994</v>
      </c>
    </row>
    <row r="445" spans="8:9" x14ac:dyDescent="0.25">
      <c r="H445">
        <v>444</v>
      </c>
      <c r="I445">
        <v>31.093360550946784</v>
      </c>
    </row>
    <row r="446" spans="8:9" x14ac:dyDescent="0.25">
      <c r="H446">
        <v>445</v>
      </c>
      <c r="I446">
        <v>27.655508686444044</v>
      </c>
    </row>
    <row r="447" spans="8:9" x14ac:dyDescent="0.25">
      <c r="H447">
        <v>446</v>
      </c>
      <c r="I447">
        <v>30.260478289751902</v>
      </c>
    </row>
    <row r="448" spans="8:9" x14ac:dyDescent="0.25">
      <c r="H448">
        <v>447</v>
      </c>
      <c r="I448">
        <v>26.260069113824276</v>
      </c>
    </row>
    <row r="449" spans="8:9" x14ac:dyDescent="0.25">
      <c r="H449">
        <v>448</v>
      </c>
      <c r="I449">
        <v>30.145897849984824</v>
      </c>
    </row>
    <row r="450" spans="8:9" x14ac:dyDescent="0.25">
      <c r="H450">
        <v>449</v>
      </c>
      <c r="I450">
        <v>28.601926424391912</v>
      </c>
    </row>
    <row r="451" spans="8:9" x14ac:dyDescent="0.25">
      <c r="H451">
        <v>450</v>
      </c>
      <c r="I451">
        <v>24.543119281012803</v>
      </c>
    </row>
    <row r="452" spans="8:9" x14ac:dyDescent="0.25">
      <c r="H452">
        <v>451</v>
      </c>
      <c r="I452">
        <v>31.67076272165421</v>
      </c>
    </row>
    <row r="453" spans="8:9" x14ac:dyDescent="0.25">
      <c r="H453">
        <v>452</v>
      </c>
      <c r="I453">
        <v>25.349079475557136</v>
      </c>
    </row>
    <row r="454" spans="8:9" x14ac:dyDescent="0.25">
      <c r="H454">
        <v>453</v>
      </c>
      <c r="I454">
        <v>28.516069285386997</v>
      </c>
    </row>
    <row r="455" spans="8:9" x14ac:dyDescent="0.25">
      <c r="H455">
        <v>454</v>
      </c>
      <c r="I455">
        <v>24.010355505828887</v>
      </c>
    </row>
    <row r="456" spans="8:9" x14ac:dyDescent="0.25">
      <c r="H456">
        <v>455</v>
      </c>
      <c r="I456">
        <v>23.873296260602796</v>
      </c>
    </row>
    <row r="457" spans="8:9" x14ac:dyDescent="0.25">
      <c r="H457">
        <v>456</v>
      </c>
      <c r="I457">
        <v>24.931976411201223</v>
      </c>
    </row>
    <row r="458" spans="8:9" x14ac:dyDescent="0.25">
      <c r="H458">
        <v>457</v>
      </c>
      <c r="I458">
        <v>18.191867636369999</v>
      </c>
    </row>
    <row r="459" spans="8:9" x14ac:dyDescent="0.25">
      <c r="H459">
        <v>458</v>
      </c>
      <c r="I459">
        <v>31.138522138490025</v>
      </c>
    </row>
    <row r="460" spans="8:9" x14ac:dyDescent="0.25">
      <c r="H460">
        <v>459</v>
      </c>
      <c r="I460">
        <v>28.777149361049261</v>
      </c>
    </row>
    <row r="461" spans="8:9" x14ac:dyDescent="0.25">
      <c r="H461">
        <v>460</v>
      </c>
      <c r="I461">
        <v>31.153060636841275</v>
      </c>
    </row>
    <row r="462" spans="8:9" x14ac:dyDescent="0.25">
      <c r="H462">
        <v>461</v>
      </c>
      <c r="I462">
        <v>31.130175340768513</v>
      </c>
    </row>
    <row r="463" spans="8:9" x14ac:dyDescent="0.25">
      <c r="H463">
        <v>462</v>
      </c>
      <c r="I463">
        <v>29.724088292036747</v>
      </c>
    </row>
    <row r="464" spans="8:9" x14ac:dyDescent="0.25">
      <c r="H464">
        <v>463</v>
      </c>
      <c r="I464">
        <v>30.993467985777734</v>
      </c>
    </row>
    <row r="465" spans="8:9" x14ac:dyDescent="0.25">
      <c r="H465">
        <v>464</v>
      </c>
      <c r="I465">
        <v>25.249646483861852</v>
      </c>
    </row>
    <row r="466" spans="8:9" x14ac:dyDescent="0.25">
      <c r="H466">
        <v>465</v>
      </c>
      <c r="I466">
        <v>31.763692108801305</v>
      </c>
    </row>
    <row r="467" spans="8:9" x14ac:dyDescent="0.25">
      <c r="H467">
        <v>466</v>
      </c>
      <c r="I467">
        <v>22.687789588955908</v>
      </c>
    </row>
    <row r="468" spans="8:9" x14ac:dyDescent="0.25">
      <c r="H468">
        <v>467</v>
      </c>
      <c r="I468">
        <v>24.830013342635894</v>
      </c>
    </row>
    <row r="469" spans="8:9" x14ac:dyDescent="0.25">
      <c r="H469">
        <v>468</v>
      </c>
      <c r="I469">
        <v>30.543511349186293</v>
      </c>
    </row>
    <row r="470" spans="8:9" x14ac:dyDescent="0.25">
      <c r="H470">
        <v>469</v>
      </c>
      <c r="I470">
        <v>30.940687157871917</v>
      </c>
    </row>
    <row r="471" spans="8:9" x14ac:dyDescent="0.25">
      <c r="H471">
        <v>470</v>
      </c>
      <c r="I471">
        <v>30.184524396470692</v>
      </c>
    </row>
    <row r="472" spans="8:9" x14ac:dyDescent="0.25">
      <c r="H472">
        <v>471</v>
      </c>
      <c r="I472">
        <v>25.258526949071182</v>
      </c>
    </row>
    <row r="473" spans="8:9" x14ac:dyDescent="0.25">
      <c r="H473">
        <v>472</v>
      </c>
      <c r="I473">
        <v>31.540498805507386</v>
      </c>
    </row>
    <row r="474" spans="8:9" x14ac:dyDescent="0.25">
      <c r="H474">
        <v>473</v>
      </c>
      <c r="I474">
        <v>23.821295518291222</v>
      </c>
    </row>
    <row r="475" spans="8:9" x14ac:dyDescent="0.25">
      <c r="H475">
        <v>474</v>
      </c>
      <c r="I475">
        <v>29.33297583157486</v>
      </c>
    </row>
    <row r="476" spans="8:9" x14ac:dyDescent="0.25">
      <c r="H476">
        <v>475</v>
      </c>
      <c r="I476">
        <v>29.176890703611058</v>
      </c>
    </row>
    <row r="477" spans="8:9" x14ac:dyDescent="0.25">
      <c r="H477">
        <v>476</v>
      </c>
      <c r="I477">
        <v>29.91322168408724</v>
      </c>
    </row>
    <row r="478" spans="8:9" x14ac:dyDescent="0.25">
      <c r="H478">
        <v>477</v>
      </c>
      <c r="I478">
        <v>25.374087895462168</v>
      </c>
    </row>
    <row r="479" spans="8:9" x14ac:dyDescent="0.25">
      <c r="H479">
        <v>478</v>
      </c>
      <c r="I479">
        <v>30.3095974317201</v>
      </c>
    </row>
    <row r="480" spans="8:9" x14ac:dyDescent="0.25">
      <c r="H480">
        <v>479</v>
      </c>
      <c r="I480">
        <v>30.016675143988213</v>
      </c>
    </row>
    <row r="481" spans="8:9" x14ac:dyDescent="0.25">
      <c r="H481">
        <v>480</v>
      </c>
      <c r="I481">
        <v>25.062471129410941</v>
      </c>
    </row>
    <row r="482" spans="8:9" x14ac:dyDescent="0.25">
      <c r="H482">
        <v>481</v>
      </c>
      <c r="I482">
        <v>30.470142565086185</v>
      </c>
    </row>
    <row r="483" spans="8:9" x14ac:dyDescent="0.25">
      <c r="H483">
        <v>482</v>
      </c>
      <c r="I483">
        <v>27.343337327524011</v>
      </c>
    </row>
    <row r="484" spans="8:9" x14ac:dyDescent="0.25">
      <c r="H484">
        <v>483</v>
      </c>
      <c r="I484">
        <v>30.033942859904528</v>
      </c>
    </row>
    <row r="485" spans="8:9" x14ac:dyDescent="0.25">
      <c r="H485">
        <v>484</v>
      </c>
      <c r="I485">
        <v>30.130652415427814</v>
      </c>
    </row>
    <row r="486" spans="8:9" x14ac:dyDescent="0.25">
      <c r="H486">
        <v>485</v>
      </c>
      <c r="I486">
        <v>25.212808808183265</v>
      </c>
    </row>
    <row r="487" spans="8:9" x14ac:dyDescent="0.25">
      <c r="H487">
        <v>486</v>
      </c>
      <c r="I487">
        <v>28.209896770108521</v>
      </c>
    </row>
    <row r="488" spans="8:9" x14ac:dyDescent="0.25">
      <c r="H488">
        <v>487</v>
      </c>
      <c r="I488">
        <v>31.527497673447904</v>
      </c>
    </row>
    <row r="489" spans="8:9" x14ac:dyDescent="0.25">
      <c r="H489">
        <v>488</v>
      </c>
      <c r="I489">
        <v>24.732208810575944</v>
      </c>
    </row>
    <row r="490" spans="8:9" x14ac:dyDescent="0.25">
      <c r="H490">
        <v>489</v>
      </c>
      <c r="I490">
        <v>23.818316142861747</v>
      </c>
    </row>
    <row r="491" spans="8:9" x14ac:dyDescent="0.25">
      <c r="H491">
        <v>490</v>
      </c>
      <c r="I491">
        <v>23.205036933655748</v>
      </c>
    </row>
    <row r="492" spans="8:9" x14ac:dyDescent="0.25">
      <c r="H492">
        <v>491</v>
      </c>
      <c r="I492">
        <v>22.343614388016785</v>
      </c>
    </row>
    <row r="493" spans="8:9" x14ac:dyDescent="0.25">
      <c r="H493">
        <v>492</v>
      </c>
      <c r="I493">
        <v>28.494649126181599</v>
      </c>
    </row>
    <row r="494" spans="8:9" x14ac:dyDescent="0.25">
      <c r="H494">
        <v>493</v>
      </c>
      <c r="I494">
        <v>31.301593025641484</v>
      </c>
    </row>
    <row r="495" spans="8:9" x14ac:dyDescent="0.25">
      <c r="H495">
        <v>494</v>
      </c>
      <c r="I495">
        <v>25.689024920650713</v>
      </c>
    </row>
    <row r="496" spans="8:9" x14ac:dyDescent="0.25">
      <c r="H496">
        <v>495</v>
      </c>
      <c r="I496">
        <v>26.823545184636249</v>
      </c>
    </row>
    <row r="497" spans="8:9" x14ac:dyDescent="0.25">
      <c r="H497">
        <v>496</v>
      </c>
      <c r="I497">
        <v>15.3587760049503</v>
      </c>
    </row>
    <row r="498" spans="8:9" x14ac:dyDescent="0.25">
      <c r="H498">
        <v>497</v>
      </c>
      <c r="I498">
        <v>25.693267851272889</v>
      </c>
    </row>
    <row r="499" spans="8:9" x14ac:dyDescent="0.25">
      <c r="H499">
        <v>498</v>
      </c>
      <c r="I499">
        <v>31.906213016547504</v>
      </c>
    </row>
    <row r="500" spans="8:9" x14ac:dyDescent="0.25">
      <c r="H500">
        <v>499</v>
      </c>
      <c r="I500">
        <v>29.178205595879376</v>
      </c>
    </row>
    <row r="501" spans="8:9" x14ac:dyDescent="0.25">
      <c r="H501">
        <v>500</v>
      </c>
      <c r="I501">
        <v>23.937618609490947</v>
      </c>
    </row>
    <row r="502" spans="8:9" x14ac:dyDescent="0.25">
      <c r="H502">
        <v>501</v>
      </c>
      <c r="I502">
        <v>30.292720839028362</v>
      </c>
    </row>
    <row r="503" spans="8:9" x14ac:dyDescent="0.25">
      <c r="H503">
        <v>502</v>
      </c>
      <c r="I503">
        <v>22.981151858349119</v>
      </c>
    </row>
    <row r="504" spans="8:9" x14ac:dyDescent="0.25">
      <c r="H504">
        <v>503</v>
      </c>
      <c r="I504">
        <v>26.430555449216406</v>
      </c>
    </row>
    <row r="505" spans="8:9" x14ac:dyDescent="0.25">
      <c r="H505">
        <v>504</v>
      </c>
      <c r="I505">
        <v>25.680233786545433</v>
      </c>
    </row>
    <row r="506" spans="8:9" x14ac:dyDescent="0.25">
      <c r="H506">
        <v>505</v>
      </c>
      <c r="I506">
        <v>26.341683337008519</v>
      </c>
    </row>
    <row r="507" spans="8:9" x14ac:dyDescent="0.25">
      <c r="H507">
        <v>506</v>
      </c>
      <c r="I507">
        <v>27.051118774725989</v>
      </c>
    </row>
    <row r="508" spans="8:9" x14ac:dyDescent="0.25">
      <c r="H508">
        <v>507</v>
      </c>
      <c r="I508">
        <v>28.559327702624387</v>
      </c>
    </row>
    <row r="509" spans="8:9" x14ac:dyDescent="0.25">
      <c r="H509">
        <v>508</v>
      </c>
      <c r="I509">
        <v>30.302718598151348</v>
      </c>
    </row>
    <row r="510" spans="8:9" x14ac:dyDescent="0.25">
      <c r="H510">
        <v>509</v>
      </c>
      <c r="I510">
        <v>28.668193284335569</v>
      </c>
    </row>
    <row r="511" spans="8:9" x14ac:dyDescent="0.25">
      <c r="H511">
        <v>510</v>
      </c>
      <c r="I511">
        <v>25.585383036982023</v>
      </c>
    </row>
    <row r="512" spans="8:9" x14ac:dyDescent="0.25">
      <c r="H512">
        <v>511</v>
      </c>
      <c r="I512">
        <v>30.337735789980563</v>
      </c>
    </row>
    <row r="513" spans="8:9" x14ac:dyDescent="0.25">
      <c r="H513">
        <v>512</v>
      </c>
      <c r="I513">
        <v>25.546463464994869</v>
      </c>
    </row>
    <row r="514" spans="8:9" x14ac:dyDescent="0.25">
      <c r="H514">
        <v>513</v>
      </c>
      <c r="I514">
        <v>29.960952440950507</v>
      </c>
    </row>
    <row r="515" spans="8:9" x14ac:dyDescent="0.25">
      <c r="H515">
        <v>514</v>
      </c>
      <c r="I515">
        <v>31.402081568968988</v>
      </c>
    </row>
    <row r="516" spans="8:9" x14ac:dyDescent="0.25">
      <c r="H516">
        <v>515</v>
      </c>
      <c r="I516">
        <v>30.002671374904949</v>
      </c>
    </row>
    <row r="517" spans="8:9" x14ac:dyDescent="0.25">
      <c r="H517">
        <v>516</v>
      </c>
      <c r="I517">
        <v>22.038362823874117</v>
      </c>
    </row>
    <row r="518" spans="8:9" x14ac:dyDescent="0.25">
      <c r="H518">
        <v>517</v>
      </c>
      <c r="I518">
        <v>30.941361567815694</v>
      </c>
    </row>
    <row r="519" spans="8:9" x14ac:dyDescent="0.25">
      <c r="H519">
        <v>518</v>
      </c>
      <c r="I519">
        <v>29.239532838401225</v>
      </c>
    </row>
    <row r="520" spans="8:9" x14ac:dyDescent="0.25">
      <c r="H520">
        <v>519</v>
      </c>
      <c r="I520">
        <v>30.062836350593951</v>
      </c>
    </row>
    <row r="521" spans="8:9" x14ac:dyDescent="0.25">
      <c r="H521">
        <v>520</v>
      </c>
      <c r="I521">
        <v>30.063521684457474</v>
      </c>
    </row>
    <row r="522" spans="8:9" x14ac:dyDescent="0.25">
      <c r="H522">
        <v>521</v>
      </c>
      <c r="I522">
        <v>26.218217165278812</v>
      </c>
    </row>
    <row r="523" spans="8:9" x14ac:dyDescent="0.25">
      <c r="H523">
        <v>522</v>
      </c>
      <c r="I523">
        <v>26.229846672551229</v>
      </c>
    </row>
    <row r="524" spans="8:9" x14ac:dyDescent="0.25">
      <c r="H524">
        <v>523</v>
      </c>
      <c r="I524">
        <v>25.985584808827561</v>
      </c>
    </row>
    <row r="525" spans="8:9" x14ac:dyDescent="0.25">
      <c r="H525">
        <v>524</v>
      </c>
      <c r="I525">
        <v>30.715510622203961</v>
      </c>
    </row>
    <row r="526" spans="8:9" x14ac:dyDescent="0.25">
      <c r="H526">
        <v>525</v>
      </c>
      <c r="I526">
        <v>29.729256592793284</v>
      </c>
    </row>
    <row r="527" spans="8:9" x14ac:dyDescent="0.25">
      <c r="H527">
        <v>526</v>
      </c>
      <c r="I527">
        <v>29.927895576384291</v>
      </c>
    </row>
    <row r="528" spans="8:9" x14ac:dyDescent="0.25">
      <c r="H528">
        <v>527</v>
      </c>
      <c r="I528">
        <v>31.148165499115926</v>
      </c>
    </row>
    <row r="529" spans="8:9" x14ac:dyDescent="0.25">
      <c r="H529">
        <v>528</v>
      </c>
      <c r="I529">
        <v>20.040377768867508</v>
      </c>
    </row>
    <row r="530" spans="8:9" x14ac:dyDescent="0.25">
      <c r="H530">
        <v>529</v>
      </c>
      <c r="I530">
        <v>30.162916170805037</v>
      </c>
    </row>
    <row r="531" spans="8:9" x14ac:dyDescent="0.25">
      <c r="H531">
        <v>530</v>
      </c>
      <c r="I531">
        <v>19.250443776766275</v>
      </c>
    </row>
    <row r="532" spans="8:9" x14ac:dyDescent="0.25">
      <c r="H532">
        <v>531</v>
      </c>
      <c r="I532">
        <v>22.066183813001835</v>
      </c>
    </row>
    <row r="533" spans="8:9" x14ac:dyDescent="0.25">
      <c r="H533">
        <v>532</v>
      </c>
      <c r="I533">
        <v>26.948934541649194</v>
      </c>
    </row>
    <row r="534" spans="8:9" x14ac:dyDescent="0.25">
      <c r="H534">
        <v>533</v>
      </c>
      <c r="I534">
        <v>30.806311621435238</v>
      </c>
    </row>
    <row r="535" spans="8:9" x14ac:dyDescent="0.25">
      <c r="H535">
        <v>534</v>
      </c>
      <c r="I535">
        <v>29.848215846223656</v>
      </c>
    </row>
    <row r="536" spans="8:9" x14ac:dyDescent="0.25">
      <c r="H536">
        <v>535</v>
      </c>
      <c r="I536">
        <v>28.798672009782543</v>
      </c>
    </row>
    <row r="537" spans="8:9" x14ac:dyDescent="0.25">
      <c r="H537">
        <v>536</v>
      </c>
      <c r="I537">
        <v>30.186387679468936</v>
      </c>
    </row>
    <row r="538" spans="8:9" x14ac:dyDescent="0.25">
      <c r="H538">
        <v>537</v>
      </c>
      <c r="I538">
        <v>28.632466584132409</v>
      </c>
    </row>
    <row r="539" spans="8:9" x14ac:dyDescent="0.25">
      <c r="H539">
        <v>538</v>
      </c>
      <c r="I539">
        <v>27.445716040680995</v>
      </c>
    </row>
    <row r="540" spans="8:9" x14ac:dyDescent="0.25">
      <c r="H540">
        <v>539</v>
      </c>
      <c r="I540">
        <v>26.166833413635839</v>
      </c>
    </row>
    <row r="541" spans="8:9" x14ac:dyDescent="0.25">
      <c r="H541">
        <v>540</v>
      </c>
      <c r="I541">
        <v>28.530648842281934</v>
      </c>
    </row>
    <row r="542" spans="8:9" x14ac:dyDescent="0.25">
      <c r="H542">
        <v>541</v>
      </c>
      <c r="I542">
        <v>19.100950477056955</v>
      </c>
    </row>
    <row r="543" spans="8:9" x14ac:dyDescent="0.25">
      <c r="H543">
        <v>542</v>
      </c>
      <c r="I543">
        <v>29.526092154426092</v>
      </c>
    </row>
    <row r="544" spans="8:9" x14ac:dyDescent="0.25">
      <c r="H544">
        <v>543</v>
      </c>
      <c r="I544">
        <v>21.66215238285055</v>
      </c>
    </row>
    <row r="545" spans="8:9" x14ac:dyDescent="0.25">
      <c r="H545">
        <v>544</v>
      </c>
      <c r="I545">
        <v>28.981715137496394</v>
      </c>
    </row>
    <row r="546" spans="8:9" x14ac:dyDescent="0.25">
      <c r="H546">
        <v>545</v>
      </c>
      <c r="I546">
        <v>26.082736881465294</v>
      </c>
    </row>
    <row r="547" spans="8:9" x14ac:dyDescent="0.25">
      <c r="H547">
        <v>546</v>
      </c>
      <c r="I547">
        <v>30.896063505810677</v>
      </c>
    </row>
    <row r="548" spans="8:9" x14ac:dyDescent="0.25">
      <c r="H548">
        <v>547</v>
      </c>
      <c r="I548">
        <v>30.45736996711879</v>
      </c>
    </row>
    <row r="549" spans="8:9" x14ac:dyDescent="0.25">
      <c r="H549">
        <v>548</v>
      </c>
      <c r="I549">
        <v>26.119273916668515</v>
      </c>
    </row>
    <row r="550" spans="8:9" x14ac:dyDescent="0.25">
      <c r="H550">
        <v>549</v>
      </c>
      <c r="I550">
        <v>29.518655757145517</v>
      </c>
    </row>
    <row r="551" spans="8:9" x14ac:dyDescent="0.25">
      <c r="H551">
        <v>550</v>
      </c>
      <c r="I551">
        <v>28.401875029372352</v>
      </c>
    </row>
    <row r="552" spans="8:9" x14ac:dyDescent="0.25">
      <c r="H552">
        <v>551</v>
      </c>
      <c r="I552">
        <v>25.51249182419437</v>
      </c>
    </row>
    <row r="553" spans="8:9" x14ac:dyDescent="0.25">
      <c r="H553">
        <v>552</v>
      </c>
      <c r="I553">
        <v>27.880975863205535</v>
      </c>
    </row>
    <row r="554" spans="8:9" x14ac:dyDescent="0.25">
      <c r="H554">
        <v>553</v>
      </c>
      <c r="I554">
        <v>25.515266236484035</v>
      </c>
    </row>
    <row r="555" spans="8:9" x14ac:dyDescent="0.25">
      <c r="H555">
        <v>554</v>
      </c>
      <c r="I555">
        <v>25.491938420653138</v>
      </c>
    </row>
    <row r="556" spans="8:9" x14ac:dyDescent="0.25">
      <c r="H556">
        <v>555</v>
      </c>
      <c r="I556">
        <v>29.50886334026654</v>
      </c>
    </row>
    <row r="557" spans="8:9" x14ac:dyDescent="0.25">
      <c r="H557">
        <v>556</v>
      </c>
      <c r="I557">
        <v>30.451157460295196</v>
      </c>
    </row>
    <row r="558" spans="8:9" x14ac:dyDescent="0.25">
      <c r="H558">
        <v>557</v>
      </c>
      <c r="I558">
        <v>25.073662894427407</v>
      </c>
    </row>
    <row r="559" spans="8:9" x14ac:dyDescent="0.25">
      <c r="H559">
        <v>558</v>
      </c>
      <c r="I559">
        <v>25.267115725023576</v>
      </c>
    </row>
    <row r="560" spans="8:9" x14ac:dyDescent="0.25">
      <c r="H560">
        <v>559</v>
      </c>
      <c r="I560">
        <v>30.783823059729812</v>
      </c>
    </row>
    <row r="561" spans="8:9" x14ac:dyDescent="0.25">
      <c r="H561">
        <v>560</v>
      </c>
      <c r="I561">
        <v>26.64032828700617</v>
      </c>
    </row>
    <row r="562" spans="8:9" x14ac:dyDescent="0.25">
      <c r="H562">
        <v>561</v>
      </c>
      <c r="I562">
        <v>29.642696605081028</v>
      </c>
    </row>
    <row r="563" spans="8:9" x14ac:dyDescent="0.25">
      <c r="H563">
        <v>562</v>
      </c>
      <c r="I563">
        <v>29.773568219422696</v>
      </c>
    </row>
    <row r="564" spans="8:9" x14ac:dyDescent="0.25">
      <c r="H564">
        <v>563</v>
      </c>
      <c r="I564">
        <v>29.419660400630185</v>
      </c>
    </row>
    <row r="565" spans="8:9" x14ac:dyDescent="0.25">
      <c r="H565">
        <v>564</v>
      </c>
      <c r="I565">
        <v>28.55207364413782</v>
      </c>
    </row>
    <row r="566" spans="8:9" x14ac:dyDescent="0.25">
      <c r="H566">
        <v>565</v>
      </c>
      <c r="I566">
        <v>21.202520384126473</v>
      </c>
    </row>
    <row r="567" spans="8:9" x14ac:dyDescent="0.25">
      <c r="H567">
        <v>566</v>
      </c>
      <c r="I567">
        <v>23.371594201452528</v>
      </c>
    </row>
    <row r="568" spans="8:9" x14ac:dyDescent="0.25">
      <c r="H568">
        <v>567</v>
      </c>
      <c r="I568">
        <v>30.217038553698753</v>
      </c>
    </row>
    <row r="569" spans="8:9" x14ac:dyDescent="0.25">
      <c r="H569">
        <v>568</v>
      </c>
      <c r="I569">
        <v>20.34176808195695</v>
      </c>
    </row>
    <row r="570" spans="8:9" x14ac:dyDescent="0.25">
      <c r="H570">
        <v>569</v>
      </c>
      <c r="I570">
        <v>28.513841350740844</v>
      </c>
    </row>
    <row r="571" spans="8:9" x14ac:dyDescent="0.25">
      <c r="H571">
        <v>570</v>
      </c>
      <c r="I571">
        <v>23.274655743826962</v>
      </c>
    </row>
    <row r="572" spans="8:9" x14ac:dyDescent="0.25">
      <c r="H572">
        <v>571</v>
      </c>
      <c r="I572">
        <v>19.866975923284834</v>
      </c>
    </row>
    <row r="573" spans="8:9" x14ac:dyDescent="0.25">
      <c r="H573">
        <v>572</v>
      </c>
      <c r="I573">
        <v>26.05343877512275</v>
      </c>
    </row>
    <row r="574" spans="8:9" x14ac:dyDescent="0.25">
      <c r="H574">
        <v>573</v>
      </c>
      <c r="I574">
        <v>29.731595878497075</v>
      </c>
    </row>
    <row r="575" spans="8:9" x14ac:dyDescent="0.25">
      <c r="H575">
        <v>574</v>
      </c>
      <c r="I575">
        <v>27.564962269483992</v>
      </c>
    </row>
    <row r="576" spans="8:9" x14ac:dyDescent="0.25">
      <c r="H576">
        <v>575</v>
      </c>
      <c r="I576">
        <v>22.70816885189959</v>
      </c>
    </row>
    <row r="577" spans="8:9" x14ac:dyDescent="0.25">
      <c r="H577">
        <v>576</v>
      </c>
      <c r="I577">
        <v>16.5329395517956</v>
      </c>
    </row>
    <row r="578" spans="8:9" x14ac:dyDescent="0.25">
      <c r="H578">
        <v>577</v>
      </c>
      <c r="I578">
        <v>28.501696462874484</v>
      </c>
    </row>
    <row r="579" spans="8:9" x14ac:dyDescent="0.25">
      <c r="H579">
        <v>578</v>
      </c>
      <c r="I579">
        <v>30.28937488080981</v>
      </c>
    </row>
    <row r="580" spans="8:9" x14ac:dyDescent="0.25">
      <c r="H580">
        <v>579</v>
      </c>
      <c r="I580">
        <v>30.031189578998344</v>
      </c>
    </row>
    <row r="581" spans="8:9" x14ac:dyDescent="0.25">
      <c r="H581">
        <v>580</v>
      </c>
      <c r="I581">
        <v>29.322373541310519</v>
      </c>
    </row>
    <row r="582" spans="8:9" x14ac:dyDescent="0.25">
      <c r="H582">
        <v>581</v>
      </c>
      <c r="I582">
        <v>30.231681986165409</v>
      </c>
    </row>
    <row r="583" spans="8:9" x14ac:dyDescent="0.25">
      <c r="H583">
        <v>582</v>
      </c>
      <c r="I583">
        <v>30.627293755125983</v>
      </c>
    </row>
    <row r="584" spans="8:9" x14ac:dyDescent="0.25">
      <c r="H584">
        <v>583</v>
      </c>
      <c r="I584">
        <v>25.648350667451371</v>
      </c>
    </row>
    <row r="585" spans="8:9" x14ac:dyDescent="0.25">
      <c r="H585">
        <v>584</v>
      </c>
      <c r="I585">
        <v>30.522558626756631</v>
      </c>
    </row>
    <row r="586" spans="8:9" x14ac:dyDescent="0.25">
      <c r="H586">
        <v>585</v>
      </c>
      <c r="I586">
        <v>31.468185694779269</v>
      </c>
    </row>
    <row r="587" spans="8:9" x14ac:dyDescent="0.25">
      <c r="H587">
        <v>586</v>
      </c>
      <c r="I587">
        <v>25.741036866833483</v>
      </c>
    </row>
    <row r="588" spans="8:9" x14ac:dyDescent="0.25">
      <c r="H588">
        <v>587</v>
      </c>
      <c r="I588">
        <v>26.273303562978143</v>
      </c>
    </row>
    <row r="589" spans="8:9" x14ac:dyDescent="0.25">
      <c r="H589">
        <v>588</v>
      </c>
      <c r="I589">
        <v>28.822275001723934</v>
      </c>
    </row>
    <row r="590" spans="8:9" x14ac:dyDescent="0.25">
      <c r="H590">
        <v>589</v>
      </c>
      <c r="I590">
        <v>28.546302540736185</v>
      </c>
    </row>
    <row r="591" spans="8:9" x14ac:dyDescent="0.25">
      <c r="H591">
        <v>590</v>
      </c>
      <c r="I591">
        <v>28.47421732849363</v>
      </c>
    </row>
    <row r="592" spans="8:9" x14ac:dyDescent="0.25">
      <c r="H592">
        <v>591</v>
      </c>
      <c r="I592">
        <v>29.596275477414927</v>
      </c>
    </row>
    <row r="593" spans="8:9" x14ac:dyDescent="0.25">
      <c r="H593">
        <v>592</v>
      </c>
      <c r="I593">
        <v>27.865517881752215</v>
      </c>
    </row>
    <row r="594" spans="8:9" x14ac:dyDescent="0.25">
      <c r="H594">
        <v>593</v>
      </c>
      <c r="I594">
        <v>25.205862765949075</v>
      </c>
    </row>
    <row r="595" spans="8:9" x14ac:dyDescent="0.25">
      <c r="H595">
        <v>594</v>
      </c>
      <c r="I595">
        <v>29.733279700460024</v>
      </c>
    </row>
    <row r="596" spans="8:9" x14ac:dyDescent="0.25">
      <c r="H596">
        <v>595</v>
      </c>
      <c r="I596">
        <v>30.538624229207919</v>
      </c>
    </row>
    <row r="597" spans="8:9" x14ac:dyDescent="0.25">
      <c r="H597">
        <v>596</v>
      </c>
      <c r="I597">
        <v>20.20218366304336</v>
      </c>
    </row>
    <row r="598" spans="8:9" x14ac:dyDescent="0.25">
      <c r="H598">
        <v>597</v>
      </c>
      <c r="I598">
        <v>21.118094243266711</v>
      </c>
    </row>
    <row r="599" spans="8:9" x14ac:dyDescent="0.25">
      <c r="H599">
        <v>598</v>
      </c>
      <c r="I599">
        <v>24.732944383833889</v>
      </c>
    </row>
    <row r="600" spans="8:9" x14ac:dyDescent="0.25">
      <c r="H600">
        <v>599</v>
      </c>
      <c r="I600">
        <v>30.978797539042144</v>
      </c>
    </row>
    <row r="601" spans="8:9" x14ac:dyDescent="0.25">
      <c r="H601">
        <v>600</v>
      </c>
      <c r="I601">
        <v>24.743478486588337</v>
      </c>
    </row>
    <row r="602" spans="8:9" x14ac:dyDescent="0.25">
      <c r="H602">
        <v>601</v>
      </c>
      <c r="I602">
        <v>25.711887164969422</v>
      </c>
    </row>
    <row r="603" spans="8:9" x14ac:dyDescent="0.25">
      <c r="H603">
        <v>602</v>
      </c>
      <c r="I603">
        <v>29.920756207518437</v>
      </c>
    </row>
    <row r="604" spans="8:9" x14ac:dyDescent="0.25">
      <c r="H604">
        <v>603</v>
      </c>
      <c r="I604">
        <v>28.031257246716407</v>
      </c>
    </row>
    <row r="605" spans="8:9" x14ac:dyDescent="0.25">
      <c r="H605">
        <v>604</v>
      </c>
      <c r="I605">
        <v>29.332892760579416</v>
      </c>
    </row>
    <row r="606" spans="8:9" x14ac:dyDescent="0.25">
      <c r="H606">
        <v>605</v>
      </c>
      <c r="I606">
        <v>30.544329345901957</v>
      </c>
    </row>
    <row r="607" spans="8:9" x14ac:dyDescent="0.25">
      <c r="H607">
        <v>606</v>
      </c>
      <c r="I607">
        <v>29.774410544285793</v>
      </c>
    </row>
    <row r="608" spans="8:9" x14ac:dyDescent="0.25">
      <c r="H608">
        <v>607</v>
      </c>
      <c r="I608">
        <v>22.520298226048649</v>
      </c>
    </row>
    <row r="609" spans="8:9" x14ac:dyDescent="0.25">
      <c r="H609">
        <v>608</v>
      </c>
      <c r="I609">
        <v>26.562928380103003</v>
      </c>
    </row>
    <row r="610" spans="8:9" x14ac:dyDescent="0.25">
      <c r="H610">
        <v>609</v>
      </c>
      <c r="I610">
        <v>22.237734453785993</v>
      </c>
    </row>
    <row r="611" spans="8:9" x14ac:dyDescent="0.25">
      <c r="H611">
        <v>610</v>
      </c>
      <c r="I611">
        <v>21.054562216047263</v>
      </c>
    </row>
    <row r="612" spans="8:9" x14ac:dyDescent="0.25">
      <c r="H612">
        <v>611</v>
      </c>
      <c r="I612">
        <v>26.333352072012314</v>
      </c>
    </row>
    <row r="613" spans="8:9" x14ac:dyDescent="0.25">
      <c r="H613">
        <v>612</v>
      </c>
      <c r="I613">
        <v>22.447169868163954</v>
      </c>
    </row>
    <row r="614" spans="8:9" x14ac:dyDescent="0.25">
      <c r="H614">
        <v>613</v>
      </c>
      <c r="I614">
        <v>25.172593973320829</v>
      </c>
    </row>
    <row r="615" spans="8:9" x14ac:dyDescent="0.25">
      <c r="H615">
        <v>614</v>
      </c>
      <c r="I615">
        <v>26.996676990963451</v>
      </c>
    </row>
    <row r="616" spans="8:9" x14ac:dyDescent="0.25">
      <c r="H616">
        <v>615</v>
      </c>
      <c r="I616">
        <v>28.388471719249758</v>
      </c>
    </row>
    <row r="617" spans="8:9" x14ac:dyDescent="0.25">
      <c r="H617">
        <v>616</v>
      </c>
      <c r="I617">
        <v>25.690224034915307</v>
      </c>
    </row>
    <row r="618" spans="8:9" x14ac:dyDescent="0.25">
      <c r="H618">
        <v>617</v>
      </c>
      <c r="I618">
        <v>30.785699163018613</v>
      </c>
    </row>
    <row r="619" spans="8:9" x14ac:dyDescent="0.25">
      <c r="H619">
        <v>618</v>
      </c>
      <c r="I619">
        <v>30.526012306704164</v>
      </c>
    </row>
    <row r="620" spans="8:9" x14ac:dyDescent="0.25">
      <c r="H620">
        <v>619</v>
      </c>
      <c r="I620">
        <v>30.761433885027941</v>
      </c>
    </row>
    <row r="621" spans="8:9" x14ac:dyDescent="0.25">
      <c r="H621">
        <v>620</v>
      </c>
      <c r="I621">
        <v>26.678581245537742</v>
      </c>
    </row>
    <row r="622" spans="8:9" x14ac:dyDescent="0.25">
      <c r="H622">
        <v>621</v>
      </c>
      <c r="I622">
        <v>29.350879717670235</v>
      </c>
    </row>
    <row r="623" spans="8:9" x14ac:dyDescent="0.25">
      <c r="H623">
        <v>622</v>
      </c>
      <c r="I623">
        <v>29.915877508009032</v>
      </c>
    </row>
    <row r="624" spans="8:9" x14ac:dyDescent="0.25">
      <c r="H624">
        <v>623</v>
      </c>
      <c r="I624">
        <v>30.129971414949758</v>
      </c>
    </row>
    <row r="625" spans="8:9" x14ac:dyDescent="0.25">
      <c r="H625">
        <v>624</v>
      </c>
      <c r="I625">
        <v>22.49345928031612</v>
      </c>
    </row>
    <row r="626" spans="8:9" x14ac:dyDescent="0.25">
      <c r="H626">
        <v>625</v>
      </c>
      <c r="I626">
        <v>29.122104828769011</v>
      </c>
    </row>
    <row r="627" spans="8:9" x14ac:dyDescent="0.25">
      <c r="H627">
        <v>626</v>
      </c>
      <c r="I627">
        <v>23.324933286110344</v>
      </c>
    </row>
    <row r="628" spans="8:9" x14ac:dyDescent="0.25">
      <c r="H628">
        <v>627</v>
      </c>
      <c r="I628">
        <v>24.983893150078778</v>
      </c>
    </row>
    <row r="629" spans="8:9" x14ac:dyDescent="0.25">
      <c r="H629">
        <v>628</v>
      </c>
      <c r="I629">
        <v>30.438070557351917</v>
      </c>
    </row>
    <row r="630" spans="8:9" x14ac:dyDescent="0.25">
      <c r="H630">
        <v>629</v>
      </c>
      <c r="I630">
        <v>29.478835311903939</v>
      </c>
    </row>
    <row r="631" spans="8:9" x14ac:dyDescent="0.25">
      <c r="H631">
        <v>630</v>
      </c>
      <c r="I631">
        <v>29.511501686960568</v>
      </c>
    </row>
    <row r="632" spans="8:9" x14ac:dyDescent="0.25">
      <c r="H632">
        <v>631</v>
      </c>
      <c r="I632">
        <v>29.649211597288215</v>
      </c>
    </row>
    <row r="633" spans="8:9" x14ac:dyDescent="0.25">
      <c r="H633">
        <v>632</v>
      </c>
      <c r="I633">
        <v>26.169892400264732</v>
      </c>
    </row>
    <row r="634" spans="8:9" x14ac:dyDescent="0.25">
      <c r="H634">
        <v>633</v>
      </c>
      <c r="I634">
        <v>30.899682431926035</v>
      </c>
    </row>
    <row r="635" spans="8:9" x14ac:dyDescent="0.25">
      <c r="H635">
        <v>634</v>
      </c>
      <c r="I635">
        <v>25.69779641519462</v>
      </c>
    </row>
    <row r="636" spans="8:9" x14ac:dyDescent="0.25">
      <c r="H636">
        <v>635</v>
      </c>
      <c r="I636">
        <v>30.553027729515378</v>
      </c>
    </row>
    <row r="637" spans="8:9" x14ac:dyDescent="0.25">
      <c r="H637">
        <v>636</v>
      </c>
      <c r="I637">
        <v>30.318861599462384</v>
      </c>
    </row>
    <row r="638" spans="8:9" x14ac:dyDescent="0.25">
      <c r="H638">
        <v>637</v>
      </c>
      <c r="I638">
        <v>30.936238533072082</v>
      </c>
    </row>
    <row r="639" spans="8:9" x14ac:dyDescent="0.25">
      <c r="H639">
        <v>638</v>
      </c>
      <c r="I639">
        <v>24.943885986009636</v>
      </c>
    </row>
    <row r="640" spans="8:9" x14ac:dyDescent="0.25">
      <c r="H640">
        <v>639</v>
      </c>
      <c r="I640">
        <v>30.272846470931352</v>
      </c>
    </row>
    <row r="641" spans="8:9" x14ac:dyDescent="0.25">
      <c r="H641">
        <v>640</v>
      </c>
      <c r="I641">
        <v>31.851157416711892</v>
      </c>
    </row>
    <row r="642" spans="8:9" x14ac:dyDescent="0.25">
      <c r="H642">
        <v>641</v>
      </c>
      <c r="I642">
        <v>29.858185560832123</v>
      </c>
    </row>
    <row r="643" spans="8:9" x14ac:dyDescent="0.25">
      <c r="H643">
        <v>642</v>
      </c>
      <c r="I643">
        <v>30.179819774586505</v>
      </c>
    </row>
    <row r="644" spans="8:9" x14ac:dyDescent="0.25">
      <c r="H644">
        <v>643</v>
      </c>
      <c r="I644">
        <v>18.143625244834354</v>
      </c>
    </row>
    <row r="645" spans="8:9" x14ac:dyDescent="0.25">
      <c r="H645">
        <v>644</v>
      </c>
      <c r="I645">
        <v>30.371701439159601</v>
      </c>
    </row>
    <row r="646" spans="8:9" x14ac:dyDescent="0.25">
      <c r="H646">
        <v>645</v>
      </c>
      <c r="I646">
        <v>30.607625745897586</v>
      </c>
    </row>
    <row r="647" spans="8:9" x14ac:dyDescent="0.25">
      <c r="H647">
        <v>646</v>
      </c>
      <c r="I647">
        <v>30.689978950870643</v>
      </c>
    </row>
    <row r="648" spans="8:9" x14ac:dyDescent="0.25">
      <c r="H648">
        <v>647</v>
      </c>
      <c r="I648">
        <v>30.807530965757358</v>
      </c>
    </row>
    <row r="649" spans="8:9" x14ac:dyDescent="0.25">
      <c r="H649">
        <v>648</v>
      </c>
      <c r="I649">
        <v>28.465401929514595</v>
      </c>
    </row>
    <row r="650" spans="8:9" x14ac:dyDescent="0.25">
      <c r="H650">
        <v>649</v>
      </c>
      <c r="I650">
        <v>22.207958890288893</v>
      </c>
    </row>
    <row r="651" spans="8:9" x14ac:dyDescent="0.25">
      <c r="H651">
        <v>650</v>
      </c>
      <c r="I651">
        <v>22.805692555256901</v>
      </c>
    </row>
    <row r="652" spans="8:9" x14ac:dyDescent="0.25">
      <c r="H652">
        <v>651</v>
      </c>
      <c r="I652">
        <v>30.056895004770229</v>
      </c>
    </row>
    <row r="653" spans="8:9" x14ac:dyDescent="0.25">
      <c r="H653">
        <v>652</v>
      </c>
      <c r="I653">
        <v>27.156992381695908</v>
      </c>
    </row>
    <row r="654" spans="8:9" x14ac:dyDescent="0.25">
      <c r="H654">
        <v>653</v>
      </c>
      <c r="I654">
        <v>30.446896097970086</v>
      </c>
    </row>
    <row r="655" spans="8:9" x14ac:dyDescent="0.25">
      <c r="H655">
        <v>654</v>
      </c>
      <c r="I655">
        <v>23.472633958982861</v>
      </c>
    </row>
    <row r="656" spans="8:9" x14ac:dyDescent="0.25">
      <c r="H656">
        <v>655</v>
      </c>
      <c r="I656">
        <v>29.919658734041327</v>
      </c>
    </row>
    <row r="657" spans="8:9" x14ac:dyDescent="0.25">
      <c r="H657">
        <v>656</v>
      </c>
      <c r="I657">
        <v>28.642321324147712</v>
      </c>
    </row>
    <row r="658" spans="8:9" x14ac:dyDescent="0.25">
      <c r="H658">
        <v>657</v>
      </c>
      <c r="I658">
        <v>14.248597628107365</v>
      </c>
    </row>
    <row r="659" spans="8:9" x14ac:dyDescent="0.25">
      <c r="H659">
        <v>658</v>
      </c>
      <c r="I659">
        <v>31.760067221153868</v>
      </c>
    </row>
    <row r="660" spans="8:9" x14ac:dyDescent="0.25">
      <c r="H660">
        <v>659</v>
      </c>
      <c r="I660">
        <v>25.290408899726028</v>
      </c>
    </row>
    <row r="661" spans="8:9" x14ac:dyDescent="0.25">
      <c r="H661">
        <v>660</v>
      </c>
      <c r="I661">
        <v>30.639534186487509</v>
      </c>
    </row>
    <row r="662" spans="8:9" x14ac:dyDescent="0.25">
      <c r="H662">
        <v>661</v>
      </c>
      <c r="I662">
        <v>22.778316982458133</v>
      </c>
    </row>
    <row r="663" spans="8:9" x14ac:dyDescent="0.25">
      <c r="H663">
        <v>662</v>
      </c>
      <c r="I663">
        <v>24.062206773485421</v>
      </c>
    </row>
    <row r="664" spans="8:9" x14ac:dyDescent="0.25">
      <c r="H664">
        <v>663</v>
      </c>
      <c r="I664">
        <v>22.383722250525594</v>
      </c>
    </row>
    <row r="665" spans="8:9" x14ac:dyDescent="0.25">
      <c r="H665">
        <v>664</v>
      </c>
      <c r="I665">
        <v>22.076141657278697</v>
      </c>
    </row>
    <row r="666" spans="8:9" x14ac:dyDescent="0.25">
      <c r="H666">
        <v>665</v>
      </c>
      <c r="I666">
        <v>28.392049086467491</v>
      </c>
    </row>
    <row r="667" spans="8:9" x14ac:dyDescent="0.25">
      <c r="H667">
        <v>666</v>
      </c>
      <c r="I667">
        <v>21.786493402305474</v>
      </c>
    </row>
    <row r="668" spans="8:9" x14ac:dyDescent="0.25">
      <c r="H668">
        <v>667</v>
      </c>
      <c r="I668">
        <v>23.776221321351219</v>
      </c>
    </row>
    <row r="669" spans="8:9" x14ac:dyDescent="0.25">
      <c r="H669">
        <v>668</v>
      </c>
      <c r="I669">
        <v>29.613019739425788</v>
      </c>
    </row>
    <row r="670" spans="8:9" x14ac:dyDescent="0.25">
      <c r="H670">
        <v>669</v>
      </c>
      <c r="I670">
        <v>29.226481541003995</v>
      </c>
    </row>
    <row r="671" spans="8:9" x14ac:dyDescent="0.25">
      <c r="H671">
        <v>670</v>
      </c>
      <c r="I671">
        <v>27.5313622094287</v>
      </c>
    </row>
    <row r="672" spans="8:9" x14ac:dyDescent="0.25">
      <c r="H672">
        <v>671</v>
      </c>
      <c r="I672">
        <v>30.10992651456052</v>
      </c>
    </row>
    <row r="673" spans="8:9" x14ac:dyDescent="0.25">
      <c r="H673">
        <v>672</v>
      </c>
      <c r="I673">
        <v>24.024360556423542</v>
      </c>
    </row>
    <row r="674" spans="8:9" x14ac:dyDescent="0.25">
      <c r="H674">
        <v>673</v>
      </c>
      <c r="I674">
        <v>25.711855158438087</v>
      </c>
    </row>
    <row r="675" spans="8:9" x14ac:dyDescent="0.25">
      <c r="H675">
        <v>674</v>
      </c>
      <c r="I675">
        <v>23.434578335440367</v>
      </c>
    </row>
    <row r="676" spans="8:9" x14ac:dyDescent="0.25">
      <c r="H676">
        <v>675</v>
      </c>
      <c r="I676">
        <v>31.154736899518888</v>
      </c>
    </row>
    <row r="677" spans="8:9" x14ac:dyDescent="0.25">
      <c r="H677">
        <v>676</v>
      </c>
      <c r="I677">
        <v>30.475381350221934</v>
      </c>
    </row>
    <row r="678" spans="8:9" x14ac:dyDescent="0.25">
      <c r="H678">
        <v>677</v>
      </c>
      <c r="I678">
        <v>22.936945022278785</v>
      </c>
    </row>
    <row r="679" spans="8:9" x14ac:dyDescent="0.25">
      <c r="H679">
        <v>678</v>
      </c>
      <c r="I679">
        <v>31.493009444059858</v>
      </c>
    </row>
    <row r="680" spans="8:9" x14ac:dyDescent="0.25">
      <c r="H680">
        <v>679</v>
      </c>
      <c r="I680">
        <v>28.599062607327568</v>
      </c>
    </row>
    <row r="681" spans="8:9" x14ac:dyDescent="0.25">
      <c r="H681">
        <v>680</v>
      </c>
      <c r="I681">
        <v>21.057796819301338</v>
      </c>
    </row>
    <row r="682" spans="8:9" x14ac:dyDescent="0.25">
      <c r="H682">
        <v>681</v>
      </c>
      <c r="I682">
        <v>31.134163250701071</v>
      </c>
    </row>
    <row r="683" spans="8:9" x14ac:dyDescent="0.25">
      <c r="H683">
        <v>682</v>
      </c>
      <c r="I683">
        <v>29.806806851937559</v>
      </c>
    </row>
    <row r="684" spans="8:9" x14ac:dyDescent="0.25">
      <c r="H684">
        <v>683</v>
      </c>
      <c r="I684">
        <v>31.457813889737093</v>
      </c>
    </row>
    <row r="685" spans="8:9" x14ac:dyDescent="0.25">
      <c r="H685">
        <v>684</v>
      </c>
      <c r="I685">
        <v>29.169575162418678</v>
      </c>
    </row>
    <row r="686" spans="8:9" x14ac:dyDescent="0.25">
      <c r="H686">
        <v>685</v>
      </c>
      <c r="I686">
        <v>31.91666343192529</v>
      </c>
    </row>
    <row r="687" spans="8:9" x14ac:dyDescent="0.25">
      <c r="H687">
        <v>686</v>
      </c>
      <c r="I687">
        <v>28.118797967743756</v>
      </c>
    </row>
    <row r="688" spans="8:9" x14ac:dyDescent="0.25">
      <c r="H688">
        <v>687</v>
      </c>
      <c r="I688">
        <v>30.77887174366769</v>
      </c>
    </row>
    <row r="689" spans="8:9" x14ac:dyDescent="0.25">
      <c r="H689">
        <v>688</v>
      </c>
      <c r="I689">
        <v>30.004782337391084</v>
      </c>
    </row>
    <row r="690" spans="8:9" x14ac:dyDescent="0.25">
      <c r="H690">
        <v>689</v>
      </c>
      <c r="I690">
        <v>25.784890809158469</v>
      </c>
    </row>
    <row r="691" spans="8:9" x14ac:dyDescent="0.25">
      <c r="H691">
        <v>690</v>
      </c>
      <c r="I691">
        <v>24.538733584928675</v>
      </c>
    </row>
    <row r="692" spans="8:9" x14ac:dyDescent="0.25">
      <c r="H692">
        <v>691</v>
      </c>
      <c r="I692">
        <v>29.173819207165781</v>
      </c>
    </row>
    <row r="693" spans="8:9" x14ac:dyDescent="0.25">
      <c r="H693">
        <v>692</v>
      </c>
      <c r="I693">
        <v>28.975749614348921</v>
      </c>
    </row>
    <row r="694" spans="8:9" x14ac:dyDescent="0.25">
      <c r="H694">
        <v>693</v>
      </c>
      <c r="I694">
        <v>29.402368838775956</v>
      </c>
    </row>
    <row r="695" spans="8:9" x14ac:dyDescent="0.25">
      <c r="H695">
        <v>694</v>
      </c>
      <c r="I695">
        <v>30.054470736279413</v>
      </c>
    </row>
    <row r="696" spans="8:9" x14ac:dyDescent="0.25">
      <c r="H696">
        <v>695</v>
      </c>
      <c r="I696">
        <v>30.660960812660576</v>
      </c>
    </row>
    <row r="697" spans="8:9" x14ac:dyDescent="0.25">
      <c r="H697">
        <v>696</v>
      </c>
      <c r="I697">
        <v>30.078557021344551</v>
      </c>
    </row>
    <row r="698" spans="8:9" x14ac:dyDescent="0.25">
      <c r="H698">
        <v>697</v>
      </c>
      <c r="I698">
        <v>30.583819741645545</v>
      </c>
    </row>
    <row r="699" spans="8:9" x14ac:dyDescent="0.25">
      <c r="H699">
        <v>698</v>
      </c>
      <c r="I699">
        <v>29.508506644155524</v>
      </c>
    </row>
    <row r="700" spans="8:9" x14ac:dyDescent="0.25">
      <c r="H700">
        <v>699</v>
      </c>
      <c r="I700">
        <v>30.848871319584152</v>
      </c>
    </row>
    <row r="701" spans="8:9" x14ac:dyDescent="0.25">
      <c r="H701">
        <v>700</v>
      </c>
      <c r="I701">
        <v>23.6490735775219</v>
      </c>
    </row>
    <row r="702" spans="8:9" x14ac:dyDescent="0.25">
      <c r="H702">
        <v>701</v>
      </c>
      <c r="I702">
        <v>29.752793502890658</v>
      </c>
    </row>
    <row r="703" spans="8:9" x14ac:dyDescent="0.25">
      <c r="H703">
        <v>702</v>
      </c>
      <c r="I703">
        <v>30.175479571123766</v>
      </c>
    </row>
    <row r="704" spans="8:9" x14ac:dyDescent="0.25">
      <c r="H704">
        <v>703</v>
      </c>
      <c r="I704">
        <v>18.413154595798229</v>
      </c>
    </row>
    <row r="705" spans="8:9" x14ac:dyDescent="0.25">
      <c r="H705">
        <v>704</v>
      </c>
      <c r="I705">
        <v>30.134799335672579</v>
      </c>
    </row>
    <row r="706" spans="8:9" x14ac:dyDescent="0.25">
      <c r="H706">
        <v>705</v>
      </c>
      <c r="I706">
        <v>22.805858188943748</v>
      </c>
    </row>
    <row r="707" spans="8:9" x14ac:dyDescent="0.25">
      <c r="H707">
        <v>706</v>
      </c>
      <c r="I707">
        <v>28.977139631512411</v>
      </c>
    </row>
    <row r="708" spans="8:9" x14ac:dyDescent="0.25">
      <c r="H708">
        <v>707</v>
      </c>
      <c r="I708">
        <v>31.073979174337648</v>
      </c>
    </row>
    <row r="709" spans="8:9" x14ac:dyDescent="0.25">
      <c r="H709">
        <v>708</v>
      </c>
      <c r="I709">
        <v>27.970448806742514</v>
      </c>
    </row>
    <row r="710" spans="8:9" x14ac:dyDescent="0.25">
      <c r="H710">
        <v>709</v>
      </c>
      <c r="I710">
        <v>22.556952609958284</v>
      </c>
    </row>
    <row r="711" spans="8:9" x14ac:dyDescent="0.25">
      <c r="H711">
        <v>710</v>
      </c>
      <c r="I711">
        <v>30.271754801649895</v>
      </c>
    </row>
    <row r="712" spans="8:9" x14ac:dyDescent="0.25">
      <c r="H712">
        <v>711</v>
      </c>
      <c r="I712">
        <v>30.766168939167546</v>
      </c>
    </row>
    <row r="713" spans="8:9" x14ac:dyDescent="0.25">
      <c r="H713">
        <v>712</v>
      </c>
      <c r="I713">
        <v>19.006388348168841</v>
      </c>
    </row>
    <row r="714" spans="8:9" x14ac:dyDescent="0.25">
      <c r="H714">
        <v>713</v>
      </c>
      <c r="I714">
        <v>26.457366138697221</v>
      </c>
    </row>
    <row r="715" spans="8:9" x14ac:dyDescent="0.25">
      <c r="H715">
        <v>714</v>
      </c>
      <c r="I715">
        <v>30.217054088277592</v>
      </c>
    </row>
    <row r="716" spans="8:9" x14ac:dyDescent="0.25">
      <c r="H716">
        <v>715</v>
      </c>
      <c r="I716">
        <v>24.873119049766938</v>
      </c>
    </row>
    <row r="717" spans="8:9" x14ac:dyDescent="0.25">
      <c r="H717">
        <v>716</v>
      </c>
      <c r="I717">
        <v>25.120009420143987</v>
      </c>
    </row>
    <row r="718" spans="8:9" x14ac:dyDescent="0.25">
      <c r="H718">
        <v>717</v>
      </c>
      <c r="I718">
        <v>25.899646916555479</v>
      </c>
    </row>
    <row r="719" spans="8:9" x14ac:dyDescent="0.25">
      <c r="H719">
        <v>718</v>
      </c>
      <c r="I719">
        <v>21.858948427346682</v>
      </c>
    </row>
    <row r="720" spans="8:9" x14ac:dyDescent="0.25">
      <c r="H720">
        <v>719</v>
      </c>
      <c r="I720">
        <v>31.479738180459815</v>
      </c>
    </row>
    <row r="721" spans="8:9" x14ac:dyDescent="0.25">
      <c r="H721">
        <v>720</v>
      </c>
      <c r="I721">
        <v>24.619184024460317</v>
      </c>
    </row>
    <row r="722" spans="8:9" x14ac:dyDescent="0.25">
      <c r="H722">
        <v>721</v>
      </c>
      <c r="I722">
        <v>25.317407506129001</v>
      </c>
    </row>
    <row r="723" spans="8:9" x14ac:dyDescent="0.25">
      <c r="H723">
        <v>722</v>
      </c>
      <c r="I723">
        <v>30.835547974778269</v>
      </c>
    </row>
    <row r="724" spans="8:9" x14ac:dyDescent="0.25">
      <c r="H724">
        <v>723</v>
      </c>
      <c r="I724">
        <v>22.786433245868125</v>
      </c>
    </row>
    <row r="725" spans="8:9" x14ac:dyDescent="0.25">
      <c r="H725">
        <v>724</v>
      </c>
      <c r="I725">
        <v>26.03165911194872</v>
      </c>
    </row>
    <row r="726" spans="8:9" x14ac:dyDescent="0.25">
      <c r="H726">
        <v>725</v>
      </c>
      <c r="I726">
        <v>29.752490789574523</v>
      </c>
    </row>
    <row r="727" spans="8:9" x14ac:dyDescent="0.25">
      <c r="H727">
        <v>726</v>
      </c>
      <c r="I727">
        <v>30.054478316590867</v>
      </c>
    </row>
    <row r="728" spans="8:9" x14ac:dyDescent="0.25">
      <c r="H728">
        <v>727</v>
      </c>
      <c r="I728">
        <v>29.652983679849825</v>
      </c>
    </row>
    <row r="729" spans="8:9" x14ac:dyDescent="0.25">
      <c r="H729">
        <v>728</v>
      </c>
      <c r="I729">
        <v>30.676703127266205</v>
      </c>
    </row>
    <row r="730" spans="8:9" x14ac:dyDescent="0.25">
      <c r="H730">
        <v>729</v>
      </c>
      <c r="I730">
        <v>26.618712946091691</v>
      </c>
    </row>
    <row r="731" spans="8:9" x14ac:dyDescent="0.25">
      <c r="H731">
        <v>730</v>
      </c>
      <c r="I731">
        <v>28.166038897982268</v>
      </c>
    </row>
    <row r="732" spans="8:9" x14ac:dyDescent="0.25">
      <c r="H732">
        <v>731</v>
      </c>
      <c r="I732">
        <v>18.198897980116122</v>
      </c>
    </row>
    <row r="733" spans="8:9" x14ac:dyDescent="0.25">
      <c r="H733">
        <v>732</v>
      </c>
      <c r="I733">
        <v>22.369741549880729</v>
      </c>
    </row>
    <row r="734" spans="8:9" x14ac:dyDescent="0.25">
      <c r="H734">
        <v>733</v>
      </c>
      <c r="I734">
        <v>25.316997149293272</v>
      </c>
    </row>
    <row r="735" spans="8:9" x14ac:dyDescent="0.25">
      <c r="H735">
        <v>734</v>
      </c>
      <c r="I735">
        <v>28.361887229752746</v>
      </c>
    </row>
    <row r="736" spans="8:9" x14ac:dyDescent="0.25">
      <c r="H736">
        <v>735</v>
      </c>
      <c r="I736">
        <v>29.317039749006824</v>
      </c>
    </row>
    <row r="737" spans="8:9" x14ac:dyDescent="0.25">
      <c r="H737">
        <v>736</v>
      </c>
      <c r="I737">
        <v>27.605924695379532</v>
      </c>
    </row>
    <row r="738" spans="8:9" x14ac:dyDescent="0.25">
      <c r="H738">
        <v>737</v>
      </c>
      <c r="I738">
        <v>24.893206179089201</v>
      </c>
    </row>
    <row r="739" spans="8:9" x14ac:dyDescent="0.25">
      <c r="H739">
        <v>738</v>
      </c>
      <c r="I739">
        <v>28.990610487456369</v>
      </c>
    </row>
    <row r="740" spans="8:9" x14ac:dyDescent="0.25">
      <c r="H740">
        <v>739</v>
      </c>
      <c r="I740">
        <v>24.875910938175114</v>
      </c>
    </row>
    <row r="741" spans="8:9" x14ac:dyDescent="0.25">
      <c r="H741">
        <v>740</v>
      </c>
      <c r="I741">
        <v>29.643291957143379</v>
      </c>
    </row>
    <row r="742" spans="8:9" x14ac:dyDescent="0.25">
      <c r="H742">
        <v>741</v>
      </c>
      <c r="I742">
        <v>30.30763876914374</v>
      </c>
    </row>
    <row r="743" spans="8:9" x14ac:dyDescent="0.25">
      <c r="H743">
        <v>742</v>
      </c>
      <c r="I743">
        <v>30.20514808694994</v>
      </c>
    </row>
    <row r="744" spans="8:9" x14ac:dyDescent="0.25">
      <c r="H744">
        <v>743</v>
      </c>
      <c r="I744">
        <v>22.654287323770816</v>
      </c>
    </row>
    <row r="745" spans="8:9" x14ac:dyDescent="0.25">
      <c r="H745">
        <v>744</v>
      </c>
      <c r="I745">
        <v>29.915270338506691</v>
      </c>
    </row>
    <row r="746" spans="8:9" x14ac:dyDescent="0.25">
      <c r="H746">
        <v>745</v>
      </c>
      <c r="I746">
        <v>13.631241796825108</v>
      </c>
    </row>
    <row r="747" spans="8:9" x14ac:dyDescent="0.25">
      <c r="H747">
        <v>746</v>
      </c>
      <c r="I747">
        <v>28.855378153328097</v>
      </c>
    </row>
    <row r="748" spans="8:9" x14ac:dyDescent="0.25">
      <c r="H748">
        <v>747</v>
      </c>
      <c r="I748">
        <v>26.010473752077115</v>
      </c>
    </row>
    <row r="749" spans="8:9" x14ac:dyDescent="0.25">
      <c r="H749">
        <v>748</v>
      </c>
      <c r="I749">
        <v>27.383949016634755</v>
      </c>
    </row>
    <row r="750" spans="8:9" x14ac:dyDescent="0.25">
      <c r="H750">
        <v>749</v>
      </c>
      <c r="I750">
        <v>30.040997380266525</v>
      </c>
    </row>
    <row r="751" spans="8:9" x14ac:dyDescent="0.25">
      <c r="H751">
        <v>750</v>
      </c>
      <c r="I751">
        <v>23.720007242238431</v>
      </c>
    </row>
    <row r="752" spans="8:9" x14ac:dyDescent="0.25">
      <c r="H752">
        <v>751</v>
      </c>
      <c r="I752">
        <v>28.591477243766882</v>
      </c>
    </row>
    <row r="753" spans="8:9" x14ac:dyDescent="0.25">
      <c r="H753">
        <v>752</v>
      </c>
      <c r="I753">
        <v>29.445191592319176</v>
      </c>
    </row>
    <row r="754" spans="8:9" x14ac:dyDescent="0.25">
      <c r="H754">
        <v>753</v>
      </c>
      <c r="I754">
        <v>30.067346427169817</v>
      </c>
    </row>
    <row r="755" spans="8:9" x14ac:dyDescent="0.25">
      <c r="H755">
        <v>754</v>
      </c>
      <c r="I755">
        <v>30.024296910580119</v>
      </c>
    </row>
    <row r="756" spans="8:9" x14ac:dyDescent="0.25">
      <c r="H756">
        <v>755</v>
      </c>
      <c r="I756">
        <v>31.019753944112399</v>
      </c>
    </row>
    <row r="757" spans="8:9" x14ac:dyDescent="0.25">
      <c r="H757">
        <v>756</v>
      </c>
      <c r="I757">
        <v>24.482277415029408</v>
      </c>
    </row>
    <row r="758" spans="8:9" x14ac:dyDescent="0.25">
      <c r="H758">
        <v>757</v>
      </c>
      <c r="I758">
        <v>28.393645692691639</v>
      </c>
    </row>
    <row r="759" spans="8:9" x14ac:dyDescent="0.25">
      <c r="H759">
        <v>758</v>
      </c>
      <c r="I759">
        <v>29.732670829995111</v>
      </c>
    </row>
    <row r="760" spans="8:9" x14ac:dyDescent="0.25">
      <c r="H760">
        <v>759</v>
      </c>
      <c r="I760">
        <v>30.029277460427338</v>
      </c>
    </row>
    <row r="761" spans="8:9" x14ac:dyDescent="0.25">
      <c r="H761">
        <v>760</v>
      </c>
      <c r="I761">
        <v>26.012653247584794</v>
      </c>
    </row>
    <row r="762" spans="8:9" x14ac:dyDescent="0.25">
      <c r="H762">
        <v>761</v>
      </c>
      <c r="I762">
        <v>31.34033466070311</v>
      </c>
    </row>
    <row r="763" spans="8:9" x14ac:dyDescent="0.25">
      <c r="H763">
        <v>762</v>
      </c>
      <c r="I763">
        <v>29.940218175930674</v>
      </c>
    </row>
    <row r="764" spans="8:9" x14ac:dyDescent="0.25">
      <c r="H764">
        <v>763</v>
      </c>
      <c r="I764">
        <v>25.095497685924663</v>
      </c>
    </row>
    <row r="765" spans="8:9" x14ac:dyDescent="0.25">
      <c r="H765">
        <v>764</v>
      </c>
      <c r="I765">
        <v>24.453231214958404</v>
      </c>
    </row>
    <row r="766" spans="8:9" x14ac:dyDescent="0.25">
      <c r="H766">
        <v>765</v>
      </c>
      <c r="I766">
        <v>25.182216996557976</v>
      </c>
    </row>
    <row r="767" spans="8:9" x14ac:dyDescent="0.25">
      <c r="H767">
        <v>766</v>
      </c>
      <c r="I767">
        <v>29.740966187779197</v>
      </c>
    </row>
    <row r="768" spans="8:9" x14ac:dyDescent="0.25">
      <c r="H768">
        <v>767</v>
      </c>
      <c r="I768">
        <v>30.631639929000972</v>
      </c>
    </row>
    <row r="769" spans="8:9" x14ac:dyDescent="0.25">
      <c r="H769">
        <v>768</v>
      </c>
      <c r="I769">
        <v>20.321035908040688</v>
      </c>
    </row>
    <row r="770" spans="8:9" x14ac:dyDescent="0.25">
      <c r="H770">
        <v>769</v>
      </c>
      <c r="I770">
        <v>29.051986763842052</v>
      </c>
    </row>
    <row r="771" spans="8:9" x14ac:dyDescent="0.25">
      <c r="H771">
        <v>770</v>
      </c>
      <c r="I771">
        <v>22.953089508527828</v>
      </c>
    </row>
    <row r="772" spans="8:9" x14ac:dyDescent="0.25">
      <c r="H772">
        <v>771</v>
      </c>
      <c r="I772">
        <v>21.472590168265953</v>
      </c>
    </row>
    <row r="773" spans="8:9" x14ac:dyDescent="0.25">
      <c r="H773">
        <v>772</v>
      </c>
      <c r="I773">
        <v>28.948776472115284</v>
      </c>
    </row>
    <row r="774" spans="8:9" x14ac:dyDescent="0.25">
      <c r="H774">
        <v>773</v>
      </c>
      <c r="I774">
        <v>25.955073636201046</v>
      </c>
    </row>
    <row r="775" spans="8:9" x14ac:dyDescent="0.25">
      <c r="H775">
        <v>774</v>
      </c>
      <c r="I775">
        <v>30.187050350921851</v>
      </c>
    </row>
    <row r="776" spans="8:9" x14ac:dyDescent="0.25">
      <c r="H776">
        <v>775</v>
      </c>
      <c r="I776">
        <v>30.359977284467234</v>
      </c>
    </row>
    <row r="777" spans="8:9" x14ac:dyDescent="0.25">
      <c r="H777">
        <v>776</v>
      </c>
      <c r="I777">
        <v>30.576030130603002</v>
      </c>
    </row>
    <row r="778" spans="8:9" x14ac:dyDescent="0.25">
      <c r="H778">
        <v>777</v>
      </c>
      <c r="I778">
        <v>20.710018164164602</v>
      </c>
    </row>
    <row r="779" spans="8:9" x14ac:dyDescent="0.25">
      <c r="H779">
        <v>778</v>
      </c>
      <c r="I779">
        <v>29.367997901309437</v>
      </c>
    </row>
    <row r="780" spans="8:9" x14ac:dyDescent="0.25">
      <c r="H780">
        <v>779</v>
      </c>
      <c r="I780">
        <v>31.067992016021936</v>
      </c>
    </row>
    <row r="781" spans="8:9" x14ac:dyDescent="0.25">
      <c r="H781">
        <v>780</v>
      </c>
      <c r="I781">
        <v>24.729700816038296</v>
      </c>
    </row>
    <row r="782" spans="8:9" x14ac:dyDescent="0.25">
      <c r="H782">
        <v>781</v>
      </c>
      <c r="I782">
        <v>29.82560831129263</v>
      </c>
    </row>
    <row r="783" spans="8:9" x14ac:dyDescent="0.25">
      <c r="H783">
        <v>782</v>
      </c>
      <c r="I783">
        <v>28.738858643246939</v>
      </c>
    </row>
    <row r="784" spans="8:9" x14ac:dyDescent="0.25">
      <c r="H784">
        <v>783</v>
      </c>
      <c r="I784">
        <v>25.215678256730808</v>
      </c>
    </row>
    <row r="785" spans="8:9" x14ac:dyDescent="0.25">
      <c r="H785">
        <v>784</v>
      </c>
      <c r="I785">
        <v>29.854573373806936</v>
      </c>
    </row>
    <row r="786" spans="8:9" x14ac:dyDescent="0.25">
      <c r="H786">
        <v>785</v>
      </c>
      <c r="I786">
        <v>27.835000156066194</v>
      </c>
    </row>
    <row r="787" spans="8:9" x14ac:dyDescent="0.25">
      <c r="H787">
        <v>786</v>
      </c>
      <c r="I787">
        <v>25.300149409428446</v>
      </c>
    </row>
    <row r="788" spans="8:9" x14ac:dyDescent="0.25">
      <c r="H788">
        <v>787</v>
      </c>
      <c r="I788">
        <v>30.798090605895876</v>
      </c>
    </row>
    <row r="789" spans="8:9" x14ac:dyDescent="0.25">
      <c r="H789">
        <v>788</v>
      </c>
      <c r="I789">
        <v>24.193968640138351</v>
      </c>
    </row>
    <row r="790" spans="8:9" x14ac:dyDescent="0.25">
      <c r="H790">
        <v>789</v>
      </c>
      <c r="I790">
        <v>28.275672084212708</v>
      </c>
    </row>
    <row r="791" spans="8:9" x14ac:dyDescent="0.25">
      <c r="H791">
        <v>790</v>
      </c>
      <c r="I791">
        <v>30.626995799478287</v>
      </c>
    </row>
    <row r="792" spans="8:9" x14ac:dyDescent="0.25">
      <c r="H792">
        <v>791</v>
      </c>
      <c r="I792">
        <v>25.254887520454815</v>
      </c>
    </row>
    <row r="793" spans="8:9" x14ac:dyDescent="0.25">
      <c r="H793">
        <v>792</v>
      </c>
      <c r="I793">
        <v>20.771156524612763</v>
      </c>
    </row>
    <row r="794" spans="8:9" x14ac:dyDescent="0.25">
      <c r="H794">
        <v>793</v>
      </c>
      <c r="I794">
        <v>19.749293032723344</v>
      </c>
    </row>
    <row r="795" spans="8:9" x14ac:dyDescent="0.25">
      <c r="H795">
        <v>794</v>
      </c>
      <c r="I795">
        <v>19.314851616223827</v>
      </c>
    </row>
    <row r="796" spans="8:9" x14ac:dyDescent="0.25">
      <c r="H796">
        <v>795</v>
      </c>
      <c r="I796">
        <v>29.47229708259049</v>
      </c>
    </row>
    <row r="797" spans="8:9" x14ac:dyDescent="0.25">
      <c r="H797">
        <v>796</v>
      </c>
      <c r="I797">
        <v>29.503737707296274</v>
      </c>
    </row>
    <row r="798" spans="8:9" x14ac:dyDescent="0.25">
      <c r="H798">
        <v>797</v>
      </c>
      <c r="I798">
        <v>29.393659865098773</v>
      </c>
    </row>
    <row r="799" spans="8:9" x14ac:dyDescent="0.25">
      <c r="H799">
        <v>798</v>
      </c>
      <c r="I799">
        <v>23.738037446865363</v>
      </c>
    </row>
    <row r="800" spans="8:9" x14ac:dyDescent="0.25">
      <c r="H800">
        <v>799</v>
      </c>
      <c r="I800">
        <v>29.232021428034315</v>
      </c>
    </row>
    <row r="801" spans="8:9" x14ac:dyDescent="0.25">
      <c r="H801">
        <v>800</v>
      </c>
      <c r="I801">
        <v>31.008329700900216</v>
      </c>
    </row>
    <row r="802" spans="8:9" x14ac:dyDescent="0.25">
      <c r="H802">
        <v>801</v>
      </c>
      <c r="I802">
        <v>26.579699182993888</v>
      </c>
    </row>
    <row r="803" spans="8:9" x14ac:dyDescent="0.25">
      <c r="H803">
        <v>802</v>
      </c>
      <c r="I803">
        <v>27.494664528841771</v>
      </c>
    </row>
    <row r="804" spans="8:9" x14ac:dyDescent="0.25">
      <c r="H804">
        <v>803</v>
      </c>
      <c r="I804">
        <v>29.856273013731272</v>
      </c>
    </row>
    <row r="805" spans="8:9" x14ac:dyDescent="0.25">
      <c r="H805">
        <v>804</v>
      </c>
      <c r="I805">
        <v>24.710987397491579</v>
      </c>
    </row>
    <row r="806" spans="8:9" x14ac:dyDescent="0.25">
      <c r="H806">
        <v>805</v>
      </c>
      <c r="I806">
        <v>30.363962375097717</v>
      </c>
    </row>
    <row r="807" spans="8:9" x14ac:dyDescent="0.25">
      <c r="H807">
        <v>806</v>
      </c>
      <c r="I807">
        <v>21.694593461757943</v>
      </c>
    </row>
    <row r="808" spans="8:9" x14ac:dyDescent="0.25">
      <c r="H808">
        <v>807</v>
      </c>
      <c r="I808">
        <v>30.468278051999697</v>
      </c>
    </row>
    <row r="809" spans="8:9" x14ac:dyDescent="0.25">
      <c r="H809">
        <v>808</v>
      </c>
      <c r="I809">
        <v>25.9008939305068</v>
      </c>
    </row>
    <row r="810" spans="8:9" x14ac:dyDescent="0.25">
      <c r="H810">
        <v>809</v>
      </c>
      <c r="I810">
        <v>24.770311057088502</v>
      </c>
    </row>
    <row r="811" spans="8:9" x14ac:dyDescent="0.25">
      <c r="H811">
        <v>810</v>
      </c>
      <c r="I811">
        <v>25.335820746484835</v>
      </c>
    </row>
    <row r="812" spans="8:9" x14ac:dyDescent="0.25">
      <c r="H812">
        <v>811</v>
      </c>
      <c r="I812">
        <v>28.995288375735555</v>
      </c>
    </row>
    <row r="813" spans="8:9" x14ac:dyDescent="0.25">
      <c r="H813">
        <v>812</v>
      </c>
      <c r="I813">
        <v>23.827313943700911</v>
      </c>
    </row>
    <row r="814" spans="8:9" x14ac:dyDescent="0.25">
      <c r="H814">
        <v>813</v>
      </c>
      <c r="I814">
        <v>25.259406695303493</v>
      </c>
    </row>
    <row r="815" spans="8:9" x14ac:dyDescent="0.25">
      <c r="H815">
        <v>814</v>
      </c>
      <c r="I815">
        <v>30.175734243850432</v>
      </c>
    </row>
    <row r="816" spans="8:9" x14ac:dyDescent="0.25">
      <c r="H816">
        <v>815</v>
      </c>
      <c r="I816">
        <v>27.860586564252223</v>
      </c>
    </row>
    <row r="817" spans="8:9" x14ac:dyDescent="0.25">
      <c r="H817">
        <v>816</v>
      </c>
      <c r="I817">
        <v>21.710223158485093</v>
      </c>
    </row>
    <row r="818" spans="8:9" x14ac:dyDescent="0.25">
      <c r="H818">
        <v>817</v>
      </c>
      <c r="I818">
        <v>26.258019213917144</v>
      </c>
    </row>
    <row r="819" spans="8:9" x14ac:dyDescent="0.25">
      <c r="H819">
        <v>818</v>
      </c>
      <c r="I819">
        <v>24.951797976603977</v>
      </c>
    </row>
    <row r="820" spans="8:9" x14ac:dyDescent="0.25">
      <c r="H820">
        <v>819</v>
      </c>
      <c r="I820">
        <v>30.702804144030321</v>
      </c>
    </row>
    <row r="821" spans="8:9" x14ac:dyDescent="0.25">
      <c r="H821">
        <v>820</v>
      </c>
      <c r="I821">
        <v>27.915653450485078</v>
      </c>
    </row>
    <row r="822" spans="8:9" x14ac:dyDescent="0.25">
      <c r="H822">
        <v>821</v>
      </c>
      <c r="I822">
        <v>23.558272466619247</v>
      </c>
    </row>
    <row r="823" spans="8:9" x14ac:dyDescent="0.25">
      <c r="H823">
        <v>822</v>
      </c>
      <c r="I823">
        <v>21.921182032890734</v>
      </c>
    </row>
    <row r="824" spans="8:9" x14ac:dyDescent="0.25">
      <c r="H824">
        <v>823</v>
      </c>
      <c r="I824">
        <v>30.560385806798291</v>
      </c>
    </row>
    <row r="825" spans="8:9" x14ac:dyDescent="0.25">
      <c r="H825">
        <v>824</v>
      </c>
      <c r="I825">
        <v>28.528641072133233</v>
      </c>
    </row>
    <row r="826" spans="8:9" x14ac:dyDescent="0.25">
      <c r="H826">
        <v>825</v>
      </c>
      <c r="I826">
        <v>25.863743476128281</v>
      </c>
    </row>
    <row r="827" spans="8:9" x14ac:dyDescent="0.25">
      <c r="H827">
        <v>826</v>
      </c>
      <c r="I827">
        <v>31.616080137294759</v>
      </c>
    </row>
    <row r="828" spans="8:9" x14ac:dyDescent="0.25">
      <c r="H828">
        <v>827</v>
      </c>
      <c r="I828">
        <v>30.318878514071077</v>
      </c>
    </row>
    <row r="829" spans="8:9" x14ac:dyDescent="0.25">
      <c r="H829">
        <v>828</v>
      </c>
      <c r="I829">
        <v>23.582846057293391</v>
      </c>
    </row>
    <row r="830" spans="8:9" x14ac:dyDescent="0.25">
      <c r="H830">
        <v>829</v>
      </c>
      <c r="I830">
        <v>29.193410927096636</v>
      </c>
    </row>
    <row r="831" spans="8:9" x14ac:dyDescent="0.25">
      <c r="H831">
        <v>830</v>
      </c>
      <c r="I831">
        <v>30.647982373738763</v>
      </c>
    </row>
    <row r="832" spans="8:9" x14ac:dyDescent="0.25">
      <c r="H832">
        <v>831</v>
      </c>
      <c r="I832">
        <v>25.513591402835569</v>
      </c>
    </row>
    <row r="833" spans="8:9" x14ac:dyDescent="0.25">
      <c r="H833">
        <v>832</v>
      </c>
      <c r="I833">
        <v>25.373225847050232</v>
      </c>
    </row>
    <row r="834" spans="8:9" x14ac:dyDescent="0.25">
      <c r="H834">
        <v>833</v>
      </c>
      <c r="I834">
        <v>19.710491069651777</v>
      </c>
    </row>
    <row r="835" spans="8:9" x14ac:dyDescent="0.25">
      <c r="H835">
        <v>834</v>
      </c>
      <c r="I835">
        <v>29.605407441723791</v>
      </c>
    </row>
    <row r="836" spans="8:9" x14ac:dyDescent="0.25">
      <c r="H836">
        <v>835</v>
      </c>
      <c r="I836">
        <v>30.047124601754152</v>
      </c>
    </row>
    <row r="837" spans="8:9" x14ac:dyDescent="0.25">
      <c r="H837">
        <v>836</v>
      </c>
      <c r="I837">
        <v>23.265938097786904</v>
      </c>
    </row>
    <row r="838" spans="8:9" x14ac:dyDescent="0.25">
      <c r="H838">
        <v>837</v>
      </c>
      <c r="I838">
        <v>25.728247787540258</v>
      </c>
    </row>
    <row r="839" spans="8:9" x14ac:dyDescent="0.25">
      <c r="H839">
        <v>838</v>
      </c>
      <c r="I839">
        <v>17.70552165838582</v>
      </c>
    </row>
    <row r="840" spans="8:9" x14ac:dyDescent="0.25">
      <c r="H840">
        <v>839</v>
      </c>
      <c r="I840">
        <v>29.967629847837514</v>
      </c>
    </row>
    <row r="841" spans="8:9" x14ac:dyDescent="0.25">
      <c r="H841">
        <v>840</v>
      </c>
      <c r="I841">
        <v>27.648206630232643</v>
      </c>
    </row>
    <row r="842" spans="8:9" x14ac:dyDescent="0.25">
      <c r="H842">
        <v>841</v>
      </c>
      <c r="I842">
        <v>20.890734563088888</v>
      </c>
    </row>
    <row r="843" spans="8:9" x14ac:dyDescent="0.25">
      <c r="H843">
        <v>842</v>
      </c>
      <c r="I843">
        <v>26.858264981258323</v>
      </c>
    </row>
    <row r="844" spans="8:9" x14ac:dyDescent="0.25">
      <c r="H844">
        <v>843</v>
      </c>
      <c r="I844">
        <v>29.901919795706803</v>
      </c>
    </row>
    <row r="845" spans="8:9" x14ac:dyDescent="0.25">
      <c r="H845">
        <v>844</v>
      </c>
      <c r="I845">
        <v>28.96918921844194</v>
      </c>
    </row>
    <row r="846" spans="8:9" x14ac:dyDescent="0.25">
      <c r="H846">
        <v>845</v>
      </c>
      <c r="I846">
        <v>30.38545309391937</v>
      </c>
    </row>
    <row r="847" spans="8:9" x14ac:dyDescent="0.25">
      <c r="H847">
        <v>846</v>
      </c>
      <c r="I847">
        <v>29.131285235053426</v>
      </c>
    </row>
    <row r="848" spans="8:9" x14ac:dyDescent="0.25">
      <c r="H848">
        <v>847</v>
      </c>
      <c r="I848">
        <v>27.913854375530676</v>
      </c>
    </row>
    <row r="849" spans="8:9" x14ac:dyDescent="0.25">
      <c r="H849">
        <v>848</v>
      </c>
      <c r="I849">
        <v>23.954224652941935</v>
      </c>
    </row>
    <row r="850" spans="8:9" x14ac:dyDescent="0.25">
      <c r="H850">
        <v>849</v>
      </c>
      <c r="I850">
        <v>23.823698210191406</v>
      </c>
    </row>
    <row r="851" spans="8:9" x14ac:dyDescent="0.25">
      <c r="H851">
        <v>850</v>
      </c>
      <c r="I851">
        <v>25.607870887627072</v>
      </c>
    </row>
    <row r="852" spans="8:9" x14ac:dyDescent="0.25">
      <c r="H852">
        <v>851</v>
      </c>
      <c r="I852">
        <v>20.741430794847162</v>
      </c>
    </row>
    <row r="853" spans="8:9" x14ac:dyDescent="0.25">
      <c r="H853">
        <v>852</v>
      </c>
      <c r="I853">
        <v>27.903134931676721</v>
      </c>
    </row>
    <row r="854" spans="8:9" x14ac:dyDescent="0.25">
      <c r="H854">
        <v>853</v>
      </c>
      <c r="I854">
        <v>27.022931360034221</v>
      </c>
    </row>
    <row r="855" spans="8:9" x14ac:dyDescent="0.25">
      <c r="H855">
        <v>854</v>
      </c>
      <c r="I855">
        <v>21.860970536291227</v>
      </c>
    </row>
    <row r="856" spans="8:9" x14ac:dyDescent="0.25">
      <c r="H856">
        <v>855</v>
      </c>
      <c r="I856">
        <v>27.144260497658085</v>
      </c>
    </row>
    <row r="857" spans="8:9" x14ac:dyDescent="0.25">
      <c r="H857">
        <v>856</v>
      </c>
      <c r="I857">
        <v>22.619201401216397</v>
      </c>
    </row>
    <row r="858" spans="8:9" x14ac:dyDescent="0.25">
      <c r="H858">
        <v>857</v>
      </c>
      <c r="I858">
        <v>28.33112815886134</v>
      </c>
    </row>
    <row r="859" spans="8:9" x14ac:dyDescent="0.25">
      <c r="H859">
        <v>858</v>
      </c>
      <c r="I859">
        <v>29.351986875961288</v>
      </c>
    </row>
    <row r="860" spans="8:9" x14ac:dyDescent="0.25">
      <c r="H860">
        <v>859</v>
      </c>
      <c r="I860">
        <v>28.591687208629871</v>
      </c>
    </row>
    <row r="861" spans="8:9" x14ac:dyDescent="0.25">
      <c r="H861">
        <v>860</v>
      </c>
      <c r="I861">
        <v>26.865960314360809</v>
      </c>
    </row>
    <row r="862" spans="8:9" x14ac:dyDescent="0.25">
      <c r="H862">
        <v>861</v>
      </c>
      <c r="I862">
        <v>30.111582654028098</v>
      </c>
    </row>
    <row r="863" spans="8:9" x14ac:dyDescent="0.25">
      <c r="H863">
        <v>862</v>
      </c>
      <c r="I863">
        <v>20.872325831577349</v>
      </c>
    </row>
    <row r="864" spans="8:9" x14ac:dyDescent="0.25">
      <c r="H864">
        <v>863</v>
      </c>
      <c r="I864">
        <v>26.083008507791522</v>
      </c>
    </row>
    <row r="865" spans="8:9" x14ac:dyDescent="0.25">
      <c r="H865">
        <v>864</v>
      </c>
      <c r="I865">
        <v>28.938760627795098</v>
      </c>
    </row>
    <row r="866" spans="8:9" x14ac:dyDescent="0.25">
      <c r="H866">
        <v>865</v>
      </c>
      <c r="I866">
        <v>30.331005177423105</v>
      </c>
    </row>
    <row r="867" spans="8:9" x14ac:dyDescent="0.25">
      <c r="H867">
        <v>866</v>
      </c>
      <c r="I867">
        <v>26.952994278190268</v>
      </c>
    </row>
    <row r="868" spans="8:9" x14ac:dyDescent="0.25">
      <c r="H868">
        <v>867</v>
      </c>
      <c r="I868">
        <v>27.336717050477393</v>
      </c>
    </row>
    <row r="869" spans="8:9" x14ac:dyDescent="0.25">
      <c r="H869">
        <v>868</v>
      </c>
      <c r="I869">
        <v>28.765191874836304</v>
      </c>
    </row>
    <row r="870" spans="8:9" x14ac:dyDescent="0.25">
      <c r="H870">
        <v>869</v>
      </c>
      <c r="I870">
        <v>20.265835755797415</v>
      </c>
    </row>
    <row r="871" spans="8:9" x14ac:dyDescent="0.25">
      <c r="H871">
        <v>870</v>
      </c>
      <c r="I871">
        <v>30.408130494224551</v>
      </c>
    </row>
    <row r="872" spans="8:9" x14ac:dyDescent="0.25">
      <c r="H872">
        <v>871</v>
      </c>
      <c r="I872">
        <v>30.165426609422269</v>
      </c>
    </row>
    <row r="873" spans="8:9" x14ac:dyDescent="0.25">
      <c r="H873">
        <v>872</v>
      </c>
      <c r="I873">
        <v>31.814969519024082</v>
      </c>
    </row>
    <row r="874" spans="8:9" x14ac:dyDescent="0.25">
      <c r="H874">
        <v>873</v>
      </c>
      <c r="I874">
        <v>31.566306889928924</v>
      </c>
    </row>
    <row r="875" spans="8:9" x14ac:dyDescent="0.25">
      <c r="H875">
        <v>874</v>
      </c>
      <c r="I875">
        <v>29.511983727703651</v>
      </c>
    </row>
    <row r="876" spans="8:9" x14ac:dyDescent="0.25">
      <c r="H876">
        <v>875</v>
      </c>
      <c r="I876">
        <v>29.523670714627809</v>
      </c>
    </row>
    <row r="877" spans="8:9" x14ac:dyDescent="0.25">
      <c r="H877">
        <v>876</v>
      </c>
      <c r="I877">
        <v>31.30838920774265</v>
      </c>
    </row>
    <row r="878" spans="8:9" x14ac:dyDescent="0.25">
      <c r="H878">
        <v>877</v>
      </c>
      <c r="I878">
        <v>30.309171165642336</v>
      </c>
    </row>
    <row r="879" spans="8:9" x14ac:dyDescent="0.25">
      <c r="H879">
        <v>878</v>
      </c>
      <c r="I879">
        <v>30.865959430511147</v>
      </c>
    </row>
    <row r="880" spans="8:9" x14ac:dyDescent="0.25">
      <c r="H880">
        <v>879</v>
      </c>
      <c r="I880">
        <v>30.647151511473023</v>
      </c>
    </row>
    <row r="881" spans="8:9" x14ac:dyDescent="0.25">
      <c r="H881">
        <v>880</v>
      </c>
      <c r="I881">
        <v>22.803797698411564</v>
      </c>
    </row>
    <row r="882" spans="8:9" x14ac:dyDescent="0.25">
      <c r="H882">
        <v>881</v>
      </c>
      <c r="I882">
        <v>25.791901440885262</v>
      </c>
    </row>
    <row r="883" spans="8:9" x14ac:dyDescent="0.25">
      <c r="H883">
        <v>882</v>
      </c>
      <c r="I883">
        <v>27.63267892536847</v>
      </c>
    </row>
    <row r="884" spans="8:9" x14ac:dyDescent="0.25">
      <c r="H884">
        <v>883</v>
      </c>
      <c r="I884">
        <v>20.673860181586303</v>
      </c>
    </row>
    <row r="885" spans="8:9" x14ac:dyDescent="0.25">
      <c r="H885">
        <v>884</v>
      </c>
      <c r="I885">
        <v>30.485805001716756</v>
      </c>
    </row>
    <row r="886" spans="8:9" x14ac:dyDescent="0.25">
      <c r="H886">
        <v>885</v>
      </c>
      <c r="I886">
        <v>25.533601571755053</v>
      </c>
    </row>
    <row r="887" spans="8:9" x14ac:dyDescent="0.25">
      <c r="H887">
        <v>886</v>
      </c>
      <c r="I887">
        <v>25.765181891653718</v>
      </c>
    </row>
    <row r="888" spans="8:9" x14ac:dyDescent="0.25">
      <c r="H888">
        <v>887</v>
      </c>
      <c r="I888">
        <v>31.31143738578707</v>
      </c>
    </row>
    <row r="889" spans="8:9" x14ac:dyDescent="0.25">
      <c r="H889">
        <v>888</v>
      </c>
      <c r="I889">
        <v>24.215515196555284</v>
      </c>
    </row>
    <row r="890" spans="8:9" x14ac:dyDescent="0.25">
      <c r="H890">
        <v>889</v>
      </c>
      <c r="I890">
        <v>29.063661147102156</v>
      </c>
    </row>
    <row r="891" spans="8:9" x14ac:dyDescent="0.25">
      <c r="H891">
        <v>890</v>
      </c>
      <c r="I891">
        <v>30.761916528667939</v>
      </c>
    </row>
    <row r="892" spans="8:9" x14ac:dyDescent="0.25">
      <c r="H892">
        <v>891</v>
      </c>
      <c r="I892">
        <v>18.205300187022477</v>
      </c>
    </row>
    <row r="893" spans="8:9" x14ac:dyDescent="0.25">
      <c r="H893">
        <v>892</v>
      </c>
      <c r="I893">
        <v>27.549595398080601</v>
      </c>
    </row>
    <row r="894" spans="8:9" x14ac:dyDescent="0.25">
      <c r="H894">
        <v>893</v>
      </c>
      <c r="I894">
        <v>28.514003809741034</v>
      </c>
    </row>
    <row r="895" spans="8:9" x14ac:dyDescent="0.25">
      <c r="H895">
        <v>894</v>
      </c>
      <c r="I895">
        <v>30.382358903919126</v>
      </c>
    </row>
    <row r="896" spans="8:9" x14ac:dyDescent="0.25">
      <c r="H896">
        <v>895</v>
      </c>
      <c r="I896">
        <v>30.24838522288956</v>
      </c>
    </row>
    <row r="897" spans="8:9" x14ac:dyDescent="0.25">
      <c r="H897">
        <v>896</v>
      </c>
      <c r="I897">
        <v>30.297417305591409</v>
      </c>
    </row>
    <row r="898" spans="8:9" x14ac:dyDescent="0.25">
      <c r="H898">
        <v>897</v>
      </c>
      <c r="I898">
        <v>27.529214501892231</v>
      </c>
    </row>
    <row r="899" spans="8:9" x14ac:dyDescent="0.25">
      <c r="H899">
        <v>898</v>
      </c>
      <c r="I899">
        <v>26.237499135022595</v>
      </c>
    </row>
    <row r="900" spans="8:9" x14ac:dyDescent="0.25">
      <c r="H900">
        <v>899</v>
      </c>
      <c r="I900">
        <v>29.742370411124117</v>
      </c>
    </row>
    <row r="901" spans="8:9" x14ac:dyDescent="0.25">
      <c r="H901">
        <v>900</v>
      </c>
      <c r="I901">
        <v>25.551691166131963</v>
      </c>
    </row>
    <row r="902" spans="8:9" x14ac:dyDescent="0.25">
      <c r="H902">
        <v>901</v>
      </c>
      <c r="I902">
        <v>30.974191281410906</v>
      </c>
    </row>
    <row r="903" spans="8:9" x14ac:dyDescent="0.25">
      <c r="H903">
        <v>902</v>
      </c>
      <c r="I903">
        <v>26.223789381122693</v>
      </c>
    </row>
    <row r="904" spans="8:9" x14ac:dyDescent="0.25">
      <c r="H904">
        <v>903</v>
      </c>
      <c r="I904">
        <v>29.754523773065156</v>
      </c>
    </row>
    <row r="905" spans="8:9" x14ac:dyDescent="0.25">
      <c r="H905">
        <v>904</v>
      </c>
      <c r="I905">
        <v>30.924208782002882</v>
      </c>
    </row>
    <row r="906" spans="8:9" x14ac:dyDescent="0.25">
      <c r="H906">
        <v>905</v>
      </c>
      <c r="I906">
        <v>22.601578069811104</v>
      </c>
    </row>
    <row r="907" spans="8:9" x14ac:dyDescent="0.25">
      <c r="H907">
        <v>906</v>
      </c>
      <c r="I907">
        <v>25.923187187851646</v>
      </c>
    </row>
    <row r="908" spans="8:9" x14ac:dyDescent="0.25">
      <c r="H908">
        <v>907</v>
      </c>
      <c r="I908">
        <v>20.683433160801791</v>
      </c>
    </row>
    <row r="909" spans="8:9" x14ac:dyDescent="0.25">
      <c r="H909">
        <v>908</v>
      </c>
      <c r="I909">
        <v>27.784027761145889</v>
      </c>
    </row>
    <row r="910" spans="8:9" x14ac:dyDescent="0.25">
      <c r="H910">
        <v>909</v>
      </c>
      <c r="I910">
        <v>26.757680359957458</v>
      </c>
    </row>
    <row r="911" spans="8:9" x14ac:dyDescent="0.25">
      <c r="H911">
        <v>910</v>
      </c>
      <c r="I911">
        <v>27.371212769920827</v>
      </c>
    </row>
    <row r="912" spans="8:9" x14ac:dyDescent="0.25">
      <c r="H912">
        <v>911</v>
      </c>
      <c r="I912">
        <v>25.845761392294172</v>
      </c>
    </row>
    <row r="913" spans="8:9" x14ac:dyDescent="0.25">
      <c r="H913">
        <v>912</v>
      </c>
      <c r="I913">
        <v>24.587541057947956</v>
      </c>
    </row>
    <row r="914" spans="8:9" x14ac:dyDescent="0.25">
      <c r="H914">
        <v>913</v>
      </c>
      <c r="I914">
        <v>25.075358204859597</v>
      </c>
    </row>
    <row r="915" spans="8:9" x14ac:dyDescent="0.25">
      <c r="H915">
        <v>914</v>
      </c>
      <c r="I915">
        <v>30.446454984817713</v>
      </c>
    </row>
    <row r="916" spans="8:9" x14ac:dyDescent="0.25">
      <c r="H916">
        <v>915</v>
      </c>
      <c r="I916">
        <v>28.965664809026848</v>
      </c>
    </row>
    <row r="917" spans="8:9" x14ac:dyDescent="0.25">
      <c r="H917">
        <v>916</v>
      </c>
      <c r="I917">
        <v>21.076834315177404</v>
      </c>
    </row>
    <row r="918" spans="8:9" x14ac:dyDescent="0.25">
      <c r="H918">
        <v>917</v>
      </c>
      <c r="I918">
        <v>28.266510214472014</v>
      </c>
    </row>
    <row r="919" spans="8:9" x14ac:dyDescent="0.25">
      <c r="H919">
        <v>918</v>
      </c>
      <c r="I919">
        <v>23.572142944820673</v>
      </c>
    </row>
    <row r="920" spans="8:9" x14ac:dyDescent="0.25">
      <c r="H920">
        <v>919</v>
      </c>
      <c r="I920">
        <v>30.793974812955881</v>
      </c>
    </row>
    <row r="921" spans="8:9" x14ac:dyDescent="0.25">
      <c r="H921">
        <v>920</v>
      </c>
      <c r="I921">
        <v>28.087803850788056</v>
      </c>
    </row>
    <row r="922" spans="8:9" x14ac:dyDescent="0.25">
      <c r="H922">
        <v>921</v>
      </c>
      <c r="I922">
        <v>27.780793656623693</v>
      </c>
    </row>
    <row r="923" spans="8:9" x14ac:dyDescent="0.25">
      <c r="H923">
        <v>922</v>
      </c>
      <c r="I923">
        <v>30.197343865968463</v>
      </c>
    </row>
    <row r="924" spans="8:9" x14ac:dyDescent="0.25">
      <c r="H924">
        <v>923</v>
      </c>
      <c r="I924">
        <v>31.273630549753904</v>
      </c>
    </row>
    <row r="925" spans="8:9" x14ac:dyDescent="0.25">
      <c r="H925">
        <v>924</v>
      </c>
      <c r="I925">
        <v>30.590318160527215</v>
      </c>
    </row>
    <row r="926" spans="8:9" x14ac:dyDescent="0.25">
      <c r="H926">
        <v>925</v>
      </c>
      <c r="I926">
        <v>17.094748286192633</v>
      </c>
    </row>
    <row r="927" spans="8:9" x14ac:dyDescent="0.25">
      <c r="H927">
        <v>926</v>
      </c>
      <c r="I927">
        <v>30.46984047107852</v>
      </c>
    </row>
    <row r="928" spans="8:9" x14ac:dyDescent="0.25">
      <c r="H928">
        <v>927</v>
      </c>
      <c r="I928">
        <v>27.384649435569806</v>
      </c>
    </row>
    <row r="929" spans="8:9" x14ac:dyDescent="0.25">
      <c r="H929">
        <v>928</v>
      </c>
      <c r="I929">
        <v>27.957664977912582</v>
      </c>
    </row>
    <row r="930" spans="8:9" x14ac:dyDescent="0.25">
      <c r="H930">
        <v>929</v>
      </c>
      <c r="I930">
        <v>29.917461518111963</v>
      </c>
    </row>
    <row r="931" spans="8:9" x14ac:dyDescent="0.25">
      <c r="H931">
        <v>930</v>
      </c>
      <c r="I931">
        <v>31.63758597133247</v>
      </c>
    </row>
    <row r="932" spans="8:9" x14ac:dyDescent="0.25">
      <c r="H932">
        <v>931</v>
      </c>
      <c r="I932">
        <v>30.092934987708187</v>
      </c>
    </row>
    <row r="933" spans="8:9" x14ac:dyDescent="0.25">
      <c r="H933">
        <v>932</v>
      </c>
      <c r="I933">
        <v>25.841125152789928</v>
      </c>
    </row>
    <row r="934" spans="8:9" x14ac:dyDescent="0.25">
      <c r="H934">
        <v>933</v>
      </c>
      <c r="I934">
        <v>29.541196968361085</v>
      </c>
    </row>
    <row r="935" spans="8:9" x14ac:dyDescent="0.25">
      <c r="H935">
        <v>934</v>
      </c>
      <c r="I935">
        <v>31.278668706723018</v>
      </c>
    </row>
    <row r="936" spans="8:9" x14ac:dyDescent="0.25">
      <c r="H936">
        <v>935</v>
      </c>
      <c r="I936">
        <v>21.412968315980248</v>
      </c>
    </row>
    <row r="937" spans="8:9" x14ac:dyDescent="0.25">
      <c r="H937">
        <v>936</v>
      </c>
      <c r="I937">
        <v>31.533675395678674</v>
      </c>
    </row>
    <row r="938" spans="8:9" x14ac:dyDescent="0.25">
      <c r="H938">
        <v>937</v>
      </c>
      <c r="I938">
        <v>24.8852799593611</v>
      </c>
    </row>
    <row r="939" spans="8:9" x14ac:dyDescent="0.25">
      <c r="H939">
        <v>938</v>
      </c>
      <c r="I939">
        <v>31.575491095735547</v>
      </c>
    </row>
    <row r="940" spans="8:9" x14ac:dyDescent="0.25">
      <c r="H940">
        <v>939</v>
      </c>
      <c r="I940">
        <v>29.877518722137605</v>
      </c>
    </row>
    <row r="941" spans="8:9" x14ac:dyDescent="0.25">
      <c r="H941">
        <v>940</v>
      </c>
      <c r="I941">
        <v>24.95892845108872</v>
      </c>
    </row>
    <row r="942" spans="8:9" x14ac:dyDescent="0.25">
      <c r="H942">
        <v>941</v>
      </c>
      <c r="I942">
        <v>26.248040319680634</v>
      </c>
    </row>
    <row r="943" spans="8:9" x14ac:dyDescent="0.25">
      <c r="H943">
        <v>942</v>
      </c>
      <c r="I943">
        <v>30.391556420360569</v>
      </c>
    </row>
    <row r="944" spans="8:9" x14ac:dyDescent="0.25">
      <c r="H944">
        <v>943</v>
      </c>
      <c r="I944">
        <v>21.969569700077034</v>
      </c>
    </row>
    <row r="945" spans="8:9" x14ac:dyDescent="0.25">
      <c r="H945">
        <v>944</v>
      </c>
      <c r="I945">
        <v>31.358587892657894</v>
      </c>
    </row>
    <row r="946" spans="8:9" x14ac:dyDescent="0.25">
      <c r="H946">
        <v>945</v>
      </c>
      <c r="I946">
        <v>29.403480007232051</v>
      </c>
    </row>
    <row r="947" spans="8:9" x14ac:dyDescent="0.25">
      <c r="H947">
        <v>946</v>
      </c>
      <c r="I947">
        <v>25.089875267664137</v>
      </c>
    </row>
    <row r="948" spans="8:9" x14ac:dyDescent="0.25">
      <c r="H948">
        <v>947</v>
      </c>
      <c r="I948">
        <v>29.47425542632303</v>
      </c>
    </row>
    <row r="949" spans="8:9" x14ac:dyDescent="0.25">
      <c r="H949">
        <v>948</v>
      </c>
      <c r="I949">
        <v>18.685884980366559</v>
      </c>
    </row>
    <row r="950" spans="8:9" x14ac:dyDescent="0.25">
      <c r="H950">
        <v>949</v>
      </c>
      <c r="I950">
        <v>17.858611925083625</v>
      </c>
    </row>
    <row r="951" spans="8:9" x14ac:dyDescent="0.25">
      <c r="H951">
        <v>950</v>
      </c>
      <c r="I951">
        <v>30.057362071203581</v>
      </c>
    </row>
    <row r="952" spans="8:9" x14ac:dyDescent="0.25">
      <c r="H952">
        <v>951</v>
      </c>
      <c r="I952">
        <v>28.77911290316392</v>
      </c>
    </row>
    <row r="953" spans="8:9" x14ac:dyDescent="0.25">
      <c r="H953">
        <v>952</v>
      </c>
      <c r="I953">
        <v>29.687342579579642</v>
      </c>
    </row>
    <row r="954" spans="8:9" x14ac:dyDescent="0.25">
      <c r="H954">
        <v>953</v>
      </c>
      <c r="I954">
        <v>30.646932941268624</v>
      </c>
    </row>
    <row r="955" spans="8:9" x14ac:dyDescent="0.25">
      <c r="H955">
        <v>954</v>
      </c>
      <c r="I955">
        <v>25.617820709833975</v>
      </c>
    </row>
    <row r="956" spans="8:9" x14ac:dyDescent="0.25">
      <c r="H956">
        <v>955</v>
      </c>
      <c r="I956">
        <v>28.70726434755629</v>
      </c>
    </row>
    <row r="957" spans="8:9" x14ac:dyDescent="0.25">
      <c r="H957">
        <v>956</v>
      </c>
      <c r="I957">
        <v>30.70407975269643</v>
      </c>
    </row>
    <row r="958" spans="8:9" x14ac:dyDescent="0.25">
      <c r="H958">
        <v>957</v>
      </c>
      <c r="I958">
        <v>29.681357379998122</v>
      </c>
    </row>
    <row r="959" spans="8:9" x14ac:dyDescent="0.25">
      <c r="H959">
        <v>958</v>
      </c>
      <c r="I959">
        <v>30.11839539029825</v>
      </c>
    </row>
    <row r="960" spans="8:9" x14ac:dyDescent="0.25">
      <c r="H960">
        <v>959</v>
      </c>
      <c r="I960">
        <v>29.188731751276997</v>
      </c>
    </row>
    <row r="961" spans="8:9" x14ac:dyDescent="0.25">
      <c r="H961">
        <v>960</v>
      </c>
      <c r="I961">
        <v>27.096160970071164</v>
      </c>
    </row>
    <row r="962" spans="8:9" x14ac:dyDescent="0.25">
      <c r="H962">
        <v>961</v>
      </c>
      <c r="I962">
        <v>31.056774592242228</v>
      </c>
    </row>
    <row r="963" spans="8:9" x14ac:dyDescent="0.25">
      <c r="H963">
        <v>962</v>
      </c>
      <c r="I963">
        <v>30.84129404545498</v>
      </c>
    </row>
    <row r="964" spans="8:9" x14ac:dyDescent="0.25">
      <c r="H964">
        <v>963</v>
      </c>
      <c r="I964">
        <v>19.889422091727884</v>
      </c>
    </row>
    <row r="965" spans="8:9" x14ac:dyDescent="0.25">
      <c r="H965">
        <v>964</v>
      </c>
      <c r="I965">
        <v>30.536354577835787</v>
      </c>
    </row>
    <row r="966" spans="8:9" x14ac:dyDescent="0.25">
      <c r="H966">
        <v>965</v>
      </c>
      <c r="I966">
        <v>26.709748842746809</v>
      </c>
    </row>
    <row r="967" spans="8:9" x14ac:dyDescent="0.25">
      <c r="H967">
        <v>966</v>
      </c>
      <c r="I967">
        <v>24.947790394664946</v>
      </c>
    </row>
    <row r="968" spans="8:9" x14ac:dyDescent="0.25">
      <c r="H968">
        <v>967</v>
      </c>
      <c r="I968">
        <v>29.052428540140454</v>
      </c>
    </row>
    <row r="969" spans="8:9" x14ac:dyDescent="0.25">
      <c r="H969">
        <v>968</v>
      </c>
      <c r="I969">
        <v>23.68285306199256</v>
      </c>
    </row>
    <row r="970" spans="8:9" x14ac:dyDescent="0.25">
      <c r="H970">
        <v>969</v>
      </c>
      <c r="I970">
        <v>17.589500675452275</v>
      </c>
    </row>
    <row r="971" spans="8:9" x14ac:dyDescent="0.25">
      <c r="H971">
        <v>970</v>
      </c>
      <c r="I971">
        <v>29.16867759086945</v>
      </c>
    </row>
    <row r="972" spans="8:9" x14ac:dyDescent="0.25">
      <c r="H972">
        <v>971</v>
      </c>
      <c r="I972">
        <v>27.156776630266208</v>
      </c>
    </row>
    <row r="973" spans="8:9" x14ac:dyDescent="0.25">
      <c r="H973">
        <v>972</v>
      </c>
      <c r="I973">
        <v>15.537317116093153</v>
      </c>
    </row>
    <row r="974" spans="8:9" x14ac:dyDescent="0.25">
      <c r="H974">
        <v>973</v>
      </c>
      <c r="I974">
        <v>23.569451731068042</v>
      </c>
    </row>
    <row r="975" spans="8:9" x14ac:dyDescent="0.25">
      <c r="H975">
        <v>974</v>
      </c>
      <c r="I975">
        <v>25.845078489906996</v>
      </c>
    </row>
    <row r="976" spans="8:9" x14ac:dyDescent="0.25">
      <c r="H976">
        <v>975</v>
      </c>
      <c r="I976">
        <v>26.498168523973519</v>
      </c>
    </row>
    <row r="977" spans="8:9" x14ac:dyDescent="0.25">
      <c r="H977">
        <v>976</v>
      </c>
      <c r="I977">
        <v>30.000851925795892</v>
      </c>
    </row>
    <row r="978" spans="8:9" x14ac:dyDescent="0.25">
      <c r="H978">
        <v>977</v>
      </c>
      <c r="I978">
        <v>31.542451725030368</v>
      </c>
    </row>
    <row r="979" spans="8:9" x14ac:dyDescent="0.25">
      <c r="H979">
        <v>978</v>
      </c>
      <c r="I979">
        <v>29.230825358038039</v>
      </c>
    </row>
    <row r="980" spans="8:9" x14ac:dyDescent="0.25">
      <c r="H980">
        <v>979</v>
      </c>
      <c r="I980">
        <v>21.606066199920654</v>
      </c>
    </row>
    <row r="981" spans="8:9" x14ac:dyDescent="0.25">
      <c r="H981">
        <v>980</v>
      </c>
      <c r="I981">
        <v>29.814898042154027</v>
      </c>
    </row>
    <row r="982" spans="8:9" x14ac:dyDescent="0.25">
      <c r="H982">
        <v>981</v>
      </c>
      <c r="I982">
        <v>25.491422937619831</v>
      </c>
    </row>
    <row r="983" spans="8:9" x14ac:dyDescent="0.25">
      <c r="H983">
        <v>982</v>
      </c>
      <c r="I983">
        <v>30.856651481660059</v>
      </c>
    </row>
    <row r="984" spans="8:9" x14ac:dyDescent="0.25">
      <c r="H984">
        <v>983</v>
      </c>
      <c r="I984">
        <v>22.212815956229242</v>
      </c>
    </row>
    <row r="985" spans="8:9" x14ac:dyDescent="0.25">
      <c r="H985">
        <v>984</v>
      </c>
      <c r="I985">
        <v>30.374383316027327</v>
      </c>
    </row>
    <row r="986" spans="8:9" x14ac:dyDescent="0.25">
      <c r="H986">
        <v>985</v>
      </c>
      <c r="I986">
        <v>30.710013992153936</v>
      </c>
    </row>
    <row r="987" spans="8:9" x14ac:dyDescent="0.25">
      <c r="H987">
        <v>986</v>
      </c>
      <c r="I987">
        <v>29.727994365079059</v>
      </c>
    </row>
    <row r="988" spans="8:9" x14ac:dyDescent="0.25">
      <c r="H988">
        <v>987</v>
      </c>
      <c r="I988">
        <v>15.099968019448806</v>
      </c>
    </row>
    <row r="989" spans="8:9" x14ac:dyDescent="0.25">
      <c r="H989">
        <v>988</v>
      </c>
      <c r="I989">
        <v>27.498084460298148</v>
      </c>
    </row>
    <row r="990" spans="8:9" x14ac:dyDescent="0.25">
      <c r="H990">
        <v>989</v>
      </c>
      <c r="I990">
        <v>30.602306427336323</v>
      </c>
    </row>
    <row r="991" spans="8:9" x14ac:dyDescent="0.25">
      <c r="H991">
        <v>990</v>
      </c>
      <c r="I991">
        <v>27.04247583590756</v>
      </c>
    </row>
    <row r="992" spans="8:9" x14ac:dyDescent="0.25">
      <c r="H992">
        <v>991</v>
      </c>
      <c r="I992">
        <v>28.523875630166298</v>
      </c>
    </row>
    <row r="993" spans="8:9" x14ac:dyDescent="0.25">
      <c r="H993">
        <v>992</v>
      </c>
      <c r="I993">
        <v>30.930136042323056</v>
      </c>
    </row>
    <row r="994" spans="8:9" x14ac:dyDescent="0.25">
      <c r="H994">
        <v>993</v>
      </c>
      <c r="I994">
        <v>30.10833991765837</v>
      </c>
    </row>
    <row r="995" spans="8:9" x14ac:dyDescent="0.25">
      <c r="H995">
        <v>994</v>
      </c>
      <c r="I995">
        <v>28.523130460148227</v>
      </c>
    </row>
    <row r="996" spans="8:9" x14ac:dyDescent="0.25">
      <c r="H996">
        <v>995</v>
      </c>
      <c r="I996">
        <v>26.251489076012298</v>
      </c>
    </row>
    <row r="997" spans="8:9" x14ac:dyDescent="0.25">
      <c r="H997">
        <v>996</v>
      </c>
      <c r="I997">
        <v>31.858730671398984</v>
      </c>
    </row>
    <row r="998" spans="8:9" x14ac:dyDescent="0.25">
      <c r="H998">
        <v>997</v>
      </c>
      <c r="I998">
        <v>28.274050947763762</v>
      </c>
    </row>
    <row r="999" spans="8:9" x14ac:dyDescent="0.25">
      <c r="H999">
        <v>998</v>
      </c>
      <c r="I999">
        <v>30.134134546595245</v>
      </c>
    </row>
    <row r="1000" spans="8:9" x14ac:dyDescent="0.25">
      <c r="H1000">
        <v>999</v>
      </c>
      <c r="I1000">
        <v>31.280046259205836</v>
      </c>
    </row>
    <row r="1001" spans="8:9" x14ac:dyDescent="0.25">
      <c r="H1001">
        <v>1000</v>
      </c>
      <c r="I1001">
        <v>27.842702525844857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D119-A416-4C18-8C72-CAF2D25BDBFA}">
  <dimension ref="A1:L1001"/>
  <sheetViews>
    <sheetView workbookViewId="0">
      <selection activeCell="J8" sqref="J8"/>
    </sheetView>
  </sheetViews>
  <sheetFormatPr defaultRowHeight="15" x14ac:dyDescent="0.25"/>
  <cols>
    <col min="2" max="3" width="12" bestFit="1" customWidth="1"/>
  </cols>
  <sheetData>
    <row r="1" spans="1:12" x14ac:dyDescent="0.25">
      <c r="A1" t="s">
        <v>573</v>
      </c>
      <c r="B1" t="s">
        <v>587</v>
      </c>
      <c r="C1" t="s">
        <v>588</v>
      </c>
      <c r="D1" t="s">
        <v>589</v>
      </c>
      <c r="F1" t="s">
        <v>589</v>
      </c>
      <c r="G1" t="s">
        <v>590</v>
      </c>
    </row>
    <row r="2" spans="1:12" x14ac:dyDescent="0.25">
      <c r="A2">
        <v>1</v>
      </c>
      <c r="B2">
        <f ca="1">DallasSim!I2</f>
        <v>49.673033626044024</v>
      </c>
      <c r="C2">
        <f ca="1">BostonSim!I2</f>
        <v>25.915371870528574</v>
      </c>
      <c r="D2" t="str">
        <f ca="1">IF(B2&gt;C2,"W",IF(B2&lt;C2,"L","T"))</f>
        <v>W</v>
      </c>
      <c r="F2" t="s">
        <v>591</v>
      </c>
      <c r="G2">
        <f ca="1">COUNTIF(D2:D1001,"W")</f>
        <v>994</v>
      </c>
    </row>
    <row r="3" spans="1:12" x14ac:dyDescent="0.25">
      <c r="A3">
        <v>2</v>
      </c>
      <c r="B3">
        <f>DallasSim!I3</f>
        <v>46.713851591952285</v>
      </c>
      <c r="C3">
        <f>BostonSim!I3</f>
        <v>30.813111945855766</v>
      </c>
      <c r="D3" t="str">
        <f t="shared" ref="D3:D66" si="0">IF(B3&gt;C3,"W",IF(B3&lt;C3,"L","T"))</f>
        <v>W</v>
      </c>
      <c r="F3" t="s">
        <v>592</v>
      </c>
      <c r="G3">
        <f ca="1">COUNTIF(D2:D1001,"L")</f>
        <v>6</v>
      </c>
    </row>
    <row r="4" spans="1:12" x14ac:dyDescent="0.25">
      <c r="A4">
        <v>3</v>
      </c>
      <c r="B4">
        <f>DallasSim!I4</f>
        <v>42.930656701704166</v>
      </c>
      <c r="C4">
        <f>BostonSim!I4</f>
        <v>29.591881472571501</v>
      </c>
      <c r="D4" t="str">
        <f t="shared" si="0"/>
        <v>W</v>
      </c>
      <c r="L4" t="s">
        <v>571</v>
      </c>
    </row>
    <row r="5" spans="1:12" x14ac:dyDescent="0.25">
      <c r="A5">
        <v>4</v>
      </c>
      <c r="B5">
        <f>DallasSim!I5</f>
        <v>26.6037408071555</v>
      </c>
      <c r="C5">
        <f>BostonSim!I5</f>
        <v>21.330639425946654</v>
      </c>
      <c r="D5" t="str">
        <f t="shared" si="0"/>
        <v>W</v>
      </c>
      <c r="G5" s="16">
        <f ca="1">G2/(G2+G3)</f>
        <v>0.99399999999999999</v>
      </c>
      <c r="L5" t="s">
        <v>571</v>
      </c>
    </row>
    <row r="6" spans="1:12" x14ac:dyDescent="0.25">
      <c r="A6">
        <v>5</v>
      </c>
      <c r="B6">
        <f>DallasSim!I6</f>
        <v>49.41157991948954</v>
      </c>
      <c r="C6">
        <f>BostonSim!I6</f>
        <v>29.082940309526137</v>
      </c>
      <c r="D6" t="str">
        <f t="shared" si="0"/>
        <v>W</v>
      </c>
      <c r="L6" t="s">
        <v>571</v>
      </c>
    </row>
    <row r="7" spans="1:12" x14ac:dyDescent="0.25">
      <c r="A7">
        <v>6</v>
      </c>
      <c r="B7">
        <f>DallasSim!I7</f>
        <v>39.794715677869647</v>
      </c>
      <c r="C7">
        <f>BostonSim!I7</f>
        <v>27.600224833913735</v>
      </c>
      <c r="D7" t="str">
        <f t="shared" si="0"/>
        <v>W</v>
      </c>
      <c r="L7" t="s">
        <v>571</v>
      </c>
    </row>
    <row r="8" spans="1:12" x14ac:dyDescent="0.25">
      <c r="A8">
        <v>7</v>
      </c>
      <c r="B8">
        <f>DallasSim!I8</f>
        <v>49.974881178513535</v>
      </c>
      <c r="C8">
        <f>BostonSim!I8</f>
        <v>23.121766823376177</v>
      </c>
      <c r="D8" t="str">
        <f t="shared" si="0"/>
        <v>W</v>
      </c>
      <c r="L8" t="s">
        <v>571</v>
      </c>
    </row>
    <row r="9" spans="1:12" x14ac:dyDescent="0.25">
      <c r="A9">
        <v>8</v>
      </c>
      <c r="B9">
        <f>DallasSim!I9</f>
        <v>49.612242533236483</v>
      </c>
      <c r="C9">
        <f>BostonSim!I9</f>
        <v>28.761353354994309</v>
      </c>
      <c r="D9" t="str">
        <f t="shared" si="0"/>
        <v>W</v>
      </c>
      <c r="L9" t="s">
        <v>571</v>
      </c>
    </row>
    <row r="10" spans="1:12" x14ac:dyDescent="0.25">
      <c r="A10">
        <v>9</v>
      </c>
      <c r="B10">
        <f>DallasSim!I10</f>
        <v>49.189377235873451</v>
      </c>
      <c r="C10">
        <f>BostonSim!I10</f>
        <v>23.32978377964146</v>
      </c>
      <c r="D10" t="str">
        <f t="shared" si="0"/>
        <v>W</v>
      </c>
      <c r="L10" t="s">
        <v>571</v>
      </c>
    </row>
    <row r="11" spans="1:12" x14ac:dyDescent="0.25">
      <c r="A11">
        <v>10</v>
      </c>
      <c r="B11">
        <f>DallasSim!I11</f>
        <v>43.356654159277404</v>
      </c>
      <c r="C11">
        <f>BostonSim!I11</f>
        <v>29.114132953841864</v>
      </c>
      <c r="D11" t="str">
        <f t="shared" si="0"/>
        <v>W</v>
      </c>
      <c r="L11" t="s">
        <v>571</v>
      </c>
    </row>
    <row r="12" spans="1:12" x14ac:dyDescent="0.25">
      <c r="A12">
        <v>11</v>
      </c>
      <c r="B12">
        <f>DallasSim!I12</f>
        <v>43.278414258916818</v>
      </c>
      <c r="C12">
        <f>BostonSim!I12</f>
        <v>27.120446785596339</v>
      </c>
      <c r="D12" t="str">
        <f t="shared" si="0"/>
        <v>W</v>
      </c>
      <c r="L12" t="s">
        <v>571</v>
      </c>
    </row>
    <row r="13" spans="1:12" x14ac:dyDescent="0.25">
      <c r="A13">
        <v>12</v>
      </c>
      <c r="B13">
        <f>DallasSim!I13</f>
        <v>48.837095325455493</v>
      </c>
      <c r="C13">
        <f>BostonSim!I13</f>
        <v>26.597543099721417</v>
      </c>
      <c r="D13" t="str">
        <f t="shared" si="0"/>
        <v>W</v>
      </c>
      <c r="L13" t="s">
        <v>571</v>
      </c>
    </row>
    <row r="14" spans="1:12" x14ac:dyDescent="0.25">
      <c r="A14">
        <v>13</v>
      </c>
      <c r="B14">
        <f>DallasSim!I14</f>
        <v>41.326678034562846</v>
      </c>
      <c r="C14">
        <f>BostonSim!I14</f>
        <v>30.753013935536377</v>
      </c>
      <c r="D14" t="str">
        <f t="shared" si="0"/>
        <v>W</v>
      </c>
      <c r="L14" t="s">
        <v>571</v>
      </c>
    </row>
    <row r="15" spans="1:12" x14ac:dyDescent="0.25">
      <c r="A15">
        <v>14</v>
      </c>
      <c r="B15">
        <f>DallasSim!I15</f>
        <v>49.857501647180086</v>
      </c>
      <c r="C15">
        <f>BostonSim!I15</f>
        <v>30.206272741248284</v>
      </c>
      <c r="D15" t="str">
        <f t="shared" si="0"/>
        <v>W</v>
      </c>
      <c r="L15" t="s">
        <v>571</v>
      </c>
    </row>
    <row r="16" spans="1:12" x14ac:dyDescent="0.25">
      <c r="A16">
        <v>15</v>
      </c>
      <c r="B16">
        <f>DallasSim!I16</f>
        <v>44.448735734788862</v>
      </c>
      <c r="C16">
        <f>BostonSim!I16</f>
        <v>22.665543657886928</v>
      </c>
      <c r="D16" t="str">
        <f t="shared" si="0"/>
        <v>W</v>
      </c>
      <c r="L16" t="s">
        <v>571</v>
      </c>
    </row>
    <row r="17" spans="1:12" x14ac:dyDescent="0.25">
      <c r="A17">
        <v>16</v>
      </c>
      <c r="B17">
        <f>DallasSim!I17</f>
        <v>45.132692574473801</v>
      </c>
      <c r="C17">
        <f>BostonSim!I17</f>
        <v>29.15313805278026</v>
      </c>
      <c r="D17" t="str">
        <f t="shared" si="0"/>
        <v>W</v>
      </c>
      <c r="L17" t="s">
        <v>571</v>
      </c>
    </row>
    <row r="18" spans="1:12" x14ac:dyDescent="0.25">
      <c r="A18">
        <v>17</v>
      </c>
      <c r="B18">
        <f>DallasSim!I18</f>
        <v>38.955264248706357</v>
      </c>
      <c r="C18">
        <f>BostonSim!I18</f>
        <v>23.124772610502852</v>
      </c>
      <c r="D18" t="str">
        <f t="shared" si="0"/>
        <v>W</v>
      </c>
      <c r="L18" t="s">
        <v>571</v>
      </c>
    </row>
    <row r="19" spans="1:12" x14ac:dyDescent="0.25">
      <c r="A19">
        <v>18</v>
      </c>
      <c r="B19">
        <f>DallasSim!I19</f>
        <v>48.230964332330942</v>
      </c>
      <c r="C19">
        <f>BostonSim!I19</f>
        <v>30.17768207644782</v>
      </c>
      <c r="D19" t="str">
        <f t="shared" si="0"/>
        <v>W</v>
      </c>
      <c r="L19" t="s">
        <v>571</v>
      </c>
    </row>
    <row r="20" spans="1:12" x14ac:dyDescent="0.25">
      <c r="A20">
        <v>19</v>
      </c>
      <c r="B20">
        <f>DallasSim!I20</f>
        <v>45.126363957396926</v>
      </c>
      <c r="C20">
        <f>BostonSim!I20</f>
        <v>30.252409710294124</v>
      </c>
      <c r="D20" t="str">
        <f t="shared" si="0"/>
        <v>W</v>
      </c>
      <c r="L20" t="s">
        <v>571</v>
      </c>
    </row>
    <row r="21" spans="1:12" x14ac:dyDescent="0.25">
      <c r="A21">
        <v>20</v>
      </c>
      <c r="B21">
        <f>DallasSim!I21</f>
        <v>33.136897155753353</v>
      </c>
      <c r="C21">
        <f>BostonSim!I21</f>
        <v>31.231679851163065</v>
      </c>
      <c r="D21" t="str">
        <f t="shared" si="0"/>
        <v>W</v>
      </c>
      <c r="L21" t="s">
        <v>571</v>
      </c>
    </row>
    <row r="22" spans="1:12" x14ac:dyDescent="0.25">
      <c r="A22">
        <v>21</v>
      </c>
      <c r="B22">
        <f>DallasSim!I22</f>
        <v>43.72080613800857</v>
      </c>
      <c r="C22">
        <f>BostonSim!I22</f>
        <v>14.558912098438828</v>
      </c>
      <c r="D22" t="str">
        <f t="shared" si="0"/>
        <v>W</v>
      </c>
      <c r="L22" t="s">
        <v>571</v>
      </c>
    </row>
    <row r="23" spans="1:12" x14ac:dyDescent="0.25">
      <c r="A23">
        <v>22</v>
      </c>
      <c r="B23">
        <f>DallasSim!I23</f>
        <v>45.9643700941646</v>
      </c>
      <c r="C23">
        <f>BostonSim!I23</f>
        <v>25.313319438325959</v>
      </c>
      <c r="D23" t="str">
        <f t="shared" si="0"/>
        <v>W</v>
      </c>
      <c r="L23" t="s">
        <v>571</v>
      </c>
    </row>
    <row r="24" spans="1:12" x14ac:dyDescent="0.25">
      <c r="A24">
        <v>23</v>
      </c>
      <c r="B24">
        <f>DallasSim!I24</f>
        <v>50.399892187825301</v>
      </c>
      <c r="C24">
        <f>BostonSim!I24</f>
        <v>29.642690211099204</v>
      </c>
      <c r="D24" t="str">
        <f t="shared" si="0"/>
        <v>W</v>
      </c>
    </row>
    <row r="25" spans="1:12" x14ac:dyDescent="0.25">
      <c r="A25">
        <v>24</v>
      </c>
      <c r="B25">
        <f>DallasSim!I25</f>
        <v>43.858251629013296</v>
      </c>
      <c r="C25">
        <f>BostonSim!I25</f>
        <v>28.117794014343275</v>
      </c>
      <c r="D25" t="str">
        <f t="shared" si="0"/>
        <v>W</v>
      </c>
    </row>
    <row r="26" spans="1:12" x14ac:dyDescent="0.25">
      <c r="A26">
        <v>25</v>
      </c>
      <c r="B26">
        <f>DallasSim!I26</f>
        <v>35.503525774226411</v>
      </c>
      <c r="C26">
        <f>BostonSim!I26</f>
        <v>29.731815171409476</v>
      </c>
      <c r="D26" t="str">
        <f t="shared" si="0"/>
        <v>W</v>
      </c>
    </row>
    <row r="27" spans="1:12" x14ac:dyDescent="0.25">
      <c r="A27">
        <v>26</v>
      </c>
      <c r="B27">
        <f>DallasSim!I27</f>
        <v>49.76971298573347</v>
      </c>
      <c r="C27">
        <f>BostonSim!I27</f>
        <v>30.353626261018384</v>
      </c>
      <c r="D27" t="str">
        <f t="shared" si="0"/>
        <v>W</v>
      </c>
    </row>
    <row r="28" spans="1:12" x14ac:dyDescent="0.25">
      <c r="A28">
        <v>27</v>
      </c>
      <c r="B28">
        <f>DallasSim!I28</f>
        <v>47.260640915622105</v>
      </c>
      <c r="C28">
        <f>BostonSim!I28</f>
        <v>25.760829121659278</v>
      </c>
      <c r="D28" t="str">
        <f t="shared" si="0"/>
        <v>W</v>
      </c>
    </row>
    <row r="29" spans="1:12" x14ac:dyDescent="0.25">
      <c r="A29">
        <v>28</v>
      </c>
      <c r="B29">
        <f>DallasSim!I29</f>
        <v>40.802702336318205</v>
      </c>
      <c r="C29">
        <f>BostonSim!I29</f>
        <v>27.984617684069097</v>
      </c>
      <c r="D29" t="str">
        <f t="shared" si="0"/>
        <v>W</v>
      </c>
    </row>
    <row r="30" spans="1:12" x14ac:dyDescent="0.25">
      <c r="A30">
        <v>29</v>
      </c>
      <c r="B30">
        <f>DallasSim!I30</f>
        <v>38.561825613270351</v>
      </c>
      <c r="C30">
        <f>BostonSim!I30</f>
        <v>24.59539553532435</v>
      </c>
      <c r="D30" t="str">
        <f t="shared" si="0"/>
        <v>W</v>
      </c>
    </row>
    <row r="31" spans="1:12" x14ac:dyDescent="0.25">
      <c r="A31">
        <v>30</v>
      </c>
      <c r="B31">
        <f>DallasSim!I31</f>
        <v>47.877937113514271</v>
      </c>
      <c r="C31">
        <f>BostonSim!I31</f>
        <v>30.726297282338844</v>
      </c>
      <c r="D31" t="str">
        <f t="shared" si="0"/>
        <v>W</v>
      </c>
    </row>
    <row r="32" spans="1:12" x14ac:dyDescent="0.25">
      <c r="A32">
        <v>31</v>
      </c>
      <c r="B32">
        <f>DallasSim!I32</f>
        <v>50.452686159974618</v>
      </c>
      <c r="C32">
        <f>BostonSim!I32</f>
        <v>22.913620627025125</v>
      </c>
      <c r="D32" t="str">
        <f t="shared" si="0"/>
        <v>W</v>
      </c>
    </row>
    <row r="33" spans="1:4" x14ac:dyDescent="0.25">
      <c r="A33">
        <v>32</v>
      </c>
      <c r="B33">
        <f>DallasSim!I33</f>
        <v>50.651624415633883</v>
      </c>
      <c r="C33">
        <f>BostonSim!I33</f>
        <v>30.371818687467965</v>
      </c>
      <c r="D33" t="str">
        <f t="shared" si="0"/>
        <v>W</v>
      </c>
    </row>
    <row r="34" spans="1:4" x14ac:dyDescent="0.25">
      <c r="A34">
        <v>33</v>
      </c>
      <c r="B34">
        <f>DallasSim!I34</f>
        <v>44.090248707643894</v>
      </c>
      <c r="C34">
        <f>BostonSim!I34</f>
        <v>24.990518781606131</v>
      </c>
      <c r="D34" t="str">
        <f t="shared" si="0"/>
        <v>W</v>
      </c>
    </row>
    <row r="35" spans="1:4" x14ac:dyDescent="0.25">
      <c r="A35">
        <v>34</v>
      </c>
      <c r="B35">
        <f>DallasSim!I35</f>
        <v>48.36061249475064</v>
      </c>
      <c r="C35">
        <f>BostonSim!I35</f>
        <v>29.880567107779996</v>
      </c>
      <c r="D35" t="str">
        <f t="shared" si="0"/>
        <v>W</v>
      </c>
    </row>
    <row r="36" spans="1:4" x14ac:dyDescent="0.25">
      <c r="A36">
        <v>35</v>
      </c>
      <c r="B36">
        <f>DallasSim!I36</f>
        <v>48.042591825636272</v>
      </c>
      <c r="C36">
        <f>BostonSim!I36</f>
        <v>25.71784731476367</v>
      </c>
      <c r="D36" t="str">
        <f t="shared" si="0"/>
        <v>W</v>
      </c>
    </row>
    <row r="37" spans="1:4" x14ac:dyDescent="0.25">
      <c r="A37">
        <v>36</v>
      </c>
      <c r="B37">
        <f>DallasSim!I37</f>
        <v>49.098669935470475</v>
      </c>
      <c r="C37">
        <f>BostonSim!I37</f>
        <v>29.114577354391574</v>
      </c>
      <c r="D37" t="str">
        <f t="shared" si="0"/>
        <v>W</v>
      </c>
    </row>
    <row r="38" spans="1:4" x14ac:dyDescent="0.25">
      <c r="A38">
        <v>37</v>
      </c>
      <c r="B38">
        <f>DallasSim!I38</f>
        <v>50.540264711482465</v>
      </c>
      <c r="C38">
        <f>BostonSim!I38</f>
        <v>25.410117564385587</v>
      </c>
      <c r="D38" t="str">
        <f t="shared" si="0"/>
        <v>W</v>
      </c>
    </row>
    <row r="39" spans="1:4" x14ac:dyDescent="0.25">
      <c r="A39">
        <v>38</v>
      </c>
      <c r="B39">
        <f>DallasSim!I39</f>
        <v>48.002153886495002</v>
      </c>
      <c r="C39">
        <f>BostonSim!I39</f>
        <v>26.484549071212953</v>
      </c>
      <c r="D39" t="str">
        <f t="shared" si="0"/>
        <v>W</v>
      </c>
    </row>
    <row r="40" spans="1:4" x14ac:dyDescent="0.25">
      <c r="A40">
        <v>39</v>
      </c>
      <c r="B40">
        <f>DallasSim!I40</f>
        <v>48.850673525483423</v>
      </c>
      <c r="C40">
        <f>BostonSim!I40</f>
        <v>31.217733074847111</v>
      </c>
      <c r="D40" t="str">
        <f t="shared" si="0"/>
        <v>W</v>
      </c>
    </row>
    <row r="41" spans="1:4" x14ac:dyDescent="0.25">
      <c r="A41">
        <v>40</v>
      </c>
      <c r="B41">
        <f>DallasSim!I41</f>
        <v>49.256817729902451</v>
      </c>
      <c r="C41">
        <f>BostonSim!I41</f>
        <v>26.684526438208199</v>
      </c>
      <c r="D41" t="str">
        <f t="shared" si="0"/>
        <v>W</v>
      </c>
    </row>
    <row r="42" spans="1:4" x14ac:dyDescent="0.25">
      <c r="A42">
        <v>41</v>
      </c>
      <c r="B42">
        <f>DallasSim!I42</f>
        <v>48.481265455976036</v>
      </c>
      <c r="C42">
        <f>BostonSim!I42</f>
        <v>30.699319330939197</v>
      </c>
      <c r="D42" t="str">
        <f t="shared" si="0"/>
        <v>W</v>
      </c>
    </row>
    <row r="43" spans="1:4" x14ac:dyDescent="0.25">
      <c r="A43">
        <v>42</v>
      </c>
      <c r="B43">
        <f>DallasSim!I43</f>
        <v>50.97883541863591</v>
      </c>
      <c r="C43">
        <f>BostonSim!I43</f>
        <v>26.972454921330772</v>
      </c>
      <c r="D43" t="str">
        <f t="shared" si="0"/>
        <v>W</v>
      </c>
    </row>
    <row r="44" spans="1:4" x14ac:dyDescent="0.25">
      <c r="A44">
        <v>43</v>
      </c>
      <c r="B44">
        <f>DallasSim!I44</f>
        <v>42.840404083123516</v>
      </c>
      <c r="C44">
        <f>BostonSim!I44</f>
        <v>12.424731546662686</v>
      </c>
      <c r="D44" t="str">
        <f t="shared" si="0"/>
        <v>W</v>
      </c>
    </row>
    <row r="45" spans="1:4" x14ac:dyDescent="0.25">
      <c r="A45">
        <v>44</v>
      </c>
      <c r="B45">
        <f>DallasSim!I45</f>
        <v>47.618178657400236</v>
      </c>
      <c r="C45">
        <f>BostonSim!I45</f>
        <v>27.33506458330961</v>
      </c>
      <c r="D45" t="str">
        <f t="shared" si="0"/>
        <v>W</v>
      </c>
    </row>
    <row r="46" spans="1:4" x14ac:dyDescent="0.25">
      <c r="A46">
        <v>45</v>
      </c>
      <c r="B46">
        <f>DallasSim!I46</f>
        <v>38.034812849196349</v>
      </c>
      <c r="C46">
        <f>BostonSim!I46</f>
        <v>29.969508063115576</v>
      </c>
      <c r="D46" t="str">
        <f t="shared" si="0"/>
        <v>W</v>
      </c>
    </row>
    <row r="47" spans="1:4" x14ac:dyDescent="0.25">
      <c r="A47">
        <v>46</v>
      </c>
      <c r="B47">
        <f>DallasSim!I47</f>
        <v>43.785786381154161</v>
      </c>
      <c r="C47">
        <f>BostonSim!I47</f>
        <v>30.413067893406382</v>
      </c>
      <c r="D47" t="str">
        <f t="shared" si="0"/>
        <v>W</v>
      </c>
    </row>
    <row r="48" spans="1:4" x14ac:dyDescent="0.25">
      <c r="A48">
        <v>47</v>
      </c>
      <c r="B48">
        <f>DallasSim!I48</f>
        <v>45.965904902037245</v>
      </c>
      <c r="C48">
        <f>BostonSim!I48</f>
        <v>30.57959084486005</v>
      </c>
      <c r="D48" t="str">
        <f t="shared" si="0"/>
        <v>W</v>
      </c>
    </row>
    <row r="49" spans="1:4" x14ac:dyDescent="0.25">
      <c r="A49">
        <v>48</v>
      </c>
      <c r="B49">
        <f>DallasSim!I49</f>
        <v>51.202581550810891</v>
      </c>
      <c r="C49">
        <f>BostonSim!I49</f>
        <v>23.646594569140145</v>
      </c>
      <c r="D49" t="str">
        <f t="shared" si="0"/>
        <v>W</v>
      </c>
    </row>
    <row r="50" spans="1:4" x14ac:dyDescent="0.25">
      <c r="A50">
        <v>49</v>
      </c>
      <c r="B50">
        <f>DallasSim!I50</f>
        <v>48.474218487944171</v>
      </c>
      <c r="C50">
        <f>BostonSim!I50</f>
        <v>29.612614351181382</v>
      </c>
      <c r="D50" t="str">
        <f t="shared" si="0"/>
        <v>W</v>
      </c>
    </row>
    <row r="51" spans="1:4" x14ac:dyDescent="0.25">
      <c r="A51">
        <v>50</v>
      </c>
      <c r="B51">
        <f>DallasSim!I51</f>
        <v>50.914326491165312</v>
      </c>
      <c r="C51">
        <f>BostonSim!I51</f>
        <v>26.901876054119661</v>
      </c>
      <c r="D51" t="str">
        <f t="shared" si="0"/>
        <v>W</v>
      </c>
    </row>
    <row r="52" spans="1:4" x14ac:dyDescent="0.25">
      <c r="A52">
        <v>51</v>
      </c>
      <c r="B52">
        <f>DallasSim!I52</f>
        <v>40.897033195257656</v>
      </c>
      <c r="C52">
        <f>BostonSim!I52</f>
        <v>30.065389335746541</v>
      </c>
      <c r="D52" t="str">
        <f t="shared" si="0"/>
        <v>W</v>
      </c>
    </row>
    <row r="53" spans="1:4" x14ac:dyDescent="0.25">
      <c r="A53">
        <v>52</v>
      </c>
      <c r="B53">
        <f>DallasSim!I53</f>
        <v>38.478841156663364</v>
      </c>
      <c r="C53">
        <f>BostonSim!I53</f>
        <v>24.721051787015689</v>
      </c>
      <c r="D53" t="str">
        <f t="shared" si="0"/>
        <v>W</v>
      </c>
    </row>
    <row r="54" spans="1:4" x14ac:dyDescent="0.25">
      <c r="A54">
        <v>53</v>
      </c>
      <c r="B54">
        <f>DallasSim!I54</f>
        <v>41.949138884791651</v>
      </c>
      <c r="C54">
        <f>BostonSim!I54</f>
        <v>27.170709364425175</v>
      </c>
      <c r="D54" t="str">
        <f t="shared" si="0"/>
        <v>W</v>
      </c>
    </row>
    <row r="55" spans="1:4" x14ac:dyDescent="0.25">
      <c r="A55">
        <v>54</v>
      </c>
      <c r="B55">
        <f>DallasSim!I55</f>
        <v>47.442178492062162</v>
      </c>
      <c r="C55">
        <f>BostonSim!I55</f>
        <v>22.247973675308071</v>
      </c>
      <c r="D55" t="str">
        <f t="shared" si="0"/>
        <v>W</v>
      </c>
    </row>
    <row r="56" spans="1:4" x14ac:dyDescent="0.25">
      <c r="A56">
        <v>55</v>
      </c>
      <c r="B56">
        <f>DallasSim!I56</f>
        <v>48.115130952002247</v>
      </c>
      <c r="C56">
        <f>BostonSim!I56</f>
        <v>20.702569566575061</v>
      </c>
      <c r="D56" t="str">
        <f t="shared" si="0"/>
        <v>W</v>
      </c>
    </row>
    <row r="57" spans="1:4" x14ac:dyDescent="0.25">
      <c r="A57">
        <v>56</v>
      </c>
      <c r="B57">
        <f>DallasSim!I57</f>
        <v>49.060615563173229</v>
      </c>
      <c r="C57">
        <f>BostonSim!I57</f>
        <v>29.833805545306596</v>
      </c>
      <c r="D57" t="str">
        <f t="shared" si="0"/>
        <v>W</v>
      </c>
    </row>
    <row r="58" spans="1:4" x14ac:dyDescent="0.25">
      <c r="A58">
        <v>57</v>
      </c>
      <c r="B58">
        <f>DallasSim!I58</f>
        <v>44.162563371986273</v>
      </c>
      <c r="C58">
        <f>BostonSim!I58</f>
        <v>24.89839789757114</v>
      </c>
      <c r="D58" t="str">
        <f t="shared" si="0"/>
        <v>W</v>
      </c>
    </row>
    <row r="59" spans="1:4" x14ac:dyDescent="0.25">
      <c r="A59">
        <v>58</v>
      </c>
      <c r="B59">
        <f>DallasSim!I59</f>
        <v>44.049331291177843</v>
      </c>
      <c r="C59">
        <f>BostonSim!I59</f>
        <v>27.747704760222586</v>
      </c>
      <c r="D59" t="str">
        <f t="shared" si="0"/>
        <v>W</v>
      </c>
    </row>
    <row r="60" spans="1:4" x14ac:dyDescent="0.25">
      <c r="A60">
        <v>59</v>
      </c>
      <c r="B60">
        <f>DallasSim!I60</f>
        <v>48.442884515559129</v>
      </c>
      <c r="C60">
        <f>BostonSim!I60</f>
        <v>30.663025338897977</v>
      </c>
      <c r="D60" t="str">
        <f t="shared" si="0"/>
        <v>W</v>
      </c>
    </row>
    <row r="61" spans="1:4" x14ac:dyDescent="0.25">
      <c r="A61">
        <v>60</v>
      </c>
      <c r="B61">
        <f>DallasSim!I61</f>
        <v>28.469220508964597</v>
      </c>
      <c r="C61">
        <f>BostonSim!I61</f>
        <v>27.244048138590053</v>
      </c>
      <c r="D61" t="str">
        <f t="shared" si="0"/>
        <v>W</v>
      </c>
    </row>
    <row r="62" spans="1:4" x14ac:dyDescent="0.25">
      <c r="A62">
        <v>61</v>
      </c>
      <c r="B62">
        <f>DallasSim!I62</f>
        <v>41.439319403856743</v>
      </c>
      <c r="C62">
        <f>BostonSim!I62</f>
        <v>17.271129665470148</v>
      </c>
      <c r="D62" t="str">
        <f t="shared" si="0"/>
        <v>W</v>
      </c>
    </row>
    <row r="63" spans="1:4" x14ac:dyDescent="0.25">
      <c r="A63">
        <v>62</v>
      </c>
      <c r="B63">
        <f>DallasSim!I63</f>
        <v>43.455277541924218</v>
      </c>
      <c r="C63">
        <f>BostonSim!I63</f>
        <v>25.275769590034763</v>
      </c>
      <c r="D63" t="str">
        <f t="shared" si="0"/>
        <v>W</v>
      </c>
    </row>
    <row r="64" spans="1:4" x14ac:dyDescent="0.25">
      <c r="A64">
        <v>63</v>
      </c>
      <c r="B64">
        <f>DallasSim!I64</f>
        <v>36.604291939726494</v>
      </c>
      <c r="C64">
        <f>BostonSim!I64</f>
        <v>24.015423603479363</v>
      </c>
      <c r="D64" t="str">
        <f t="shared" si="0"/>
        <v>W</v>
      </c>
    </row>
    <row r="65" spans="1:4" x14ac:dyDescent="0.25">
      <c r="A65">
        <v>64</v>
      </c>
      <c r="B65">
        <f>DallasSim!I65</f>
        <v>49.567755770588207</v>
      </c>
      <c r="C65">
        <f>BostonSim!I65</f>
        <v>29.151451652920535</v>
      </c>
      <c r="D65" t="str">
        <f t="shared" si="0"/>
        <v>W</v>
      </c>
    </row>
    <row r="66" spans="1:4" x14ac:dyDescent="0.25">
      <c r="A66">
        <v>65</v>
      </c>
      <c r="B66">
        <f>DallasSim!I66</f>
        <v>42.183680144384255</v>
      </c>
      <c r="C66">
        <f>BostonSim!I66</f>
        <v>24.527241814145803</v>
      </c>
      <c r="D66" t="str">
        <f t="shared" si="0"/>
        <v>W</v>
      </c>
    </row>
    <row r="67" spans="1:4" x14ac:dyDescent="0.25">
      <c r="A67">
        <v>66</v>
      </c>
      <c r="B67">
        <f>DallasSim!I67</f>
        <v>44.642855590614026</v>
      </c>
      <c r="C67">
        <f>BostonSim!I67</f>
        <v>22.264073674312407</v>
      </c>
      <c r="D67" t="str">
        <f t="shared" ref="D67:D130" si="1">IF(B67&gt;C67,"W",IF(B67&lt;C67,"L","T"))</f>
        <v>W</v>
      </c>
    </row>
    <row r="68" spans="1:4" x14ac:dyDescent="0.25">
      <c r="A68">
        <v>67</v>
      </c>
      <c r="B68">
        <f>DallasSim!I68</f>
        <v>50.944142795752455</v>
      </c>
      <c r="C68">
        <f>BostonSim!I68</f>
        <v>16.684785467495267</v>
      </c>
      <c r="D68" t="str">
        <f t="shared" si="1"/>
        <v>W</v>
      </c>
    </row>
    <row r="69" spans="1:4" x14ac:dyDescent="0.25">
      <c r="A69">
        <v>68</v>
      </c>
      <c r="B69">
        <f>DallasSim!I69</f>
        <v>50.152895053516914</v>
      </c>
      <c r="C69">
        <f>BostonSim!I69</f>
        <v>22.518150397765975</v>
      </c>
      <c r="D69" t="str">
        <f t="shared" si="1"/>
        <v>W</v>
      </c>
    </row>
    <row r="70" spans="1:4" x14ac:dyDescent="0.25">
      <c r="A70">
        <v>69</v>
      </c>
      <c r="B70">
        <f>DallasSim!I70</f>
        <v>48.520834162190759</v>
      </c>
      <c r="C70">
        <f>BostonSim!I70</f>
        <v>26.334974152746266</v>
      </c>
      <c r="D70" t="str">
        <f t="shared" si="1"/>
        <v>W</v>
      </c>
    </row>
    <row r="71" spans="1:4" x14ac:dyDescent="0.25">
      <c r="A71">
        <v>70</v>
      </c>
      <c r="B71">
        <f>DallasSim!I71</f>
        <v>45.235419807166657</v>
      </c>
      <c r="C71">
        <f>BostonSim!I71</f>
        <v>30.830868480658165</v>
      </c>
      <c r="D71" t="str">
        <f t="shared" si="1"/>
        <v>W</v>
      </c>
    </row>
    <row r="72" spans="1:4" x14ac:dyDescent="0.25">
      <c r="A72">
        <v>71</v>
      </c>
      <c r="B72">
        <f>DallasSim!I72</f>
        <v>50.050538313741882</v>
      </c>
      <c r="C72">
        <f>BostonSim!I72</f>
        <v>30.883633979889598</v>
      </c>
      <c r="D72" t="str">
        <f t="shared" si="1"/>
        <v>W</v>
      </c>
    </row>
    <row r="73" spans="1:4" x14ac:dyDescent="0.25">
      <c r="A73">
        <v>72</v>
      </c>
      <c r="B73">
        <f>DallasSim!I73</f>
        <v>49.411934346197484</v>
      </c>
      <c r="C73">
        <f>BostonSim!I73</f>
        <v>29.150359737573186</v>
      </c>
      <c r="D73" t="str">
        <f t="shared" si="1"/>
        <v>W</v>
      </c>
    </row>
    <row r="74" spans="1:4" x14ac:dyDescent="0.25">
      <c r="A74">
        <v>73</v>
      </c>
      <c r="B74">
        <f>DallasSim!I74</f>
        <v>44.261847861356436</v>
      </c>
      <c r="C74">
        <f>BostonSim!I74</f>
        <v>30.312693661738258</v>
      </c>
      <c r="D74" t="str">
        <f t="shared" si="1"/>
        <v>W</v>
      </c>
    </row>
    <row r="75" spans="1:4" x14ac:dyDescent="0.25">
      <c r="A75">
        <v>74</v>
      </c>
      <c r="B75">
        <f>DallasSim!I75</f>
        <v>46.962096307676596</v>
      </c>
      <c r="C75">
        <f>BostonSim!I75</f>
        <v>26.466148125340727</v>
      </c>
      <c r="D75" t="str">
        <f t="shared" si="1"/>
        <v>W</v>
      </c>
    </row>
    <row r="76" spans="1:4" x14ac:dyDescent="0.25">
      <c r="A76">
        <v>75</v>
      </c>
      <c r="B76">
        <f>DallasSim!I76</f>
        <v>43.231082465069122</v>
      </c>
      <c r="C76">
        <f>BostonSim!I76</f>
        <v>23.830920802737882</v>
      </c>
      <c r="D76" t="str">
        <f t="shared" si="1"/>
        <v>W</v>
      </c>
    </row>
    <row r="77" spans="1:4" x14ac:dyDescent="0.25">
      <c r="A77">
        <v>76</v>
      </c>
      <c r="B77">
        <f>DallasSim!I77</f>
        <v>50.619992785321806</v>
      </c>
      <c r="C77">
        <f>BostonSim!I77</f>
        <v>27.431465243788338</v>
      </c>
      <c r="D77" t="str">
        <f t="shared" si="1"/>
        <v>W</v>
      </c>
    </row>
    <row r="78" spans="1:4" x14ac:dyDescent="0.25">
      <c r="A78">
        <v>77</v>
      </c>
      <c r="B78">
        <f>DallasSim!I78</f>
        <v>44.432129593580207</v>
      </c>
      <c r="C78">
        <f>BostonSim!I78</f>
        <v>28.837816512730004</v>
      </c>
      <c r="D78" t="str">
        <f t="shared" si="1"/>
        <v>W</v>
      </c>
    </row>
    <row r="79" spans="1:4" x14ac:dyDescent="0.25">
      <c r="A79">
        <v>78</v>
      </c>
      <c r="B79">
        <f>DallasSim!I79</f>
        <v>40.931322668128665</v>
      </c>
      <c r="C79">
        <f>BostonSim!I79</f>
        <v>30.867024131455821</v>
      </c>
      <c r="D79" t="str">
        <f t="shared" si="1"/>
        <v>W</v>
      </c>
    </row>
    <row r="80" spans="1:4" x14ac:dyDescent="0.25">
      <c r="A80">
        <v>79</v>
      </c>
      <c r="B80">
        <f>DallasSim!I80</f>
        <v>48.614477577459368</v>
      </c>
      <c r="C80">
        <f>BostonSim!I80</f>
        <v>30.789176203971735</v>
      </c>
      <c r="D80" t="str">
        <f t="shared" si="1"/>
        <v>W</v>
      </c>
    </row>
    <row r="81" spans="1:4" x14ac:dyDescent="0.25">
      <c r="A81">
        <v>80</v>
      </c>
      <c r="B81">
        <f>DallasSim!I81</f>
        <v>45.711743475636823</v>
      </c>
      <c r="C81">
        <f>BostonSim!I81</f>
        <v>28.408277934180155</v>
      </c>
      <c r="D81" t="str">
        <f t="shared" si="1"/>
        <v>W</v>
      </c>
    </row>
    <row r="82" spans="1:4" x14ac:dyDescent="0.25">
      <c r="A82">
        <v>81</v>
      </c>
      <c r="B82">
        <f>DallasSim!I82</f>
        <v>49.698366165887663</v>
      </c>
      <c r="C82">
        <f>BostonSim!I82</f>
        <v>31.221648790311239</v>
      </c>
      <c r="D82" t="str">
        <f t="shared" si="1"/>
        <v>W</v>
      </c>
    </row>
    <row r="83" spans="1:4" x14ac:dyDescent="0.25">
      <c r="A83">
        <v>82</v>
      </c>
      <c r="B83">
        <f>DallasSim!I83</f>
        <v>50.406427463301455</v>
      </c>
      <c r="C83">
        <f>BostonSim!I83</f>
        <v>28.914714476433396</v>
      </c>
      <c r="D83" t="str">
        <f t="shared" si="1"/>
        <v>W</v>
      </c>
    </row>
    <row r="84" spans="1:4" x14ac:dyDescent="0.25">
      <c r="A84">
        <v>83</v>
      </c>
      <c r="B84">
        <f>DallasSim!I84</f>
        <v>37.999723190033805</v>
      </c>
      <c r="C84">
        <f>BostonSim!I84</f>
        <v>29.668786671420083</v>
      </c>
      <c r="D84" t="str">
        <f t="shared" si="1"/>
        <v>W</v>
      </c>
    </row>
    <row r="85" spans="1:4" x14ac:dyDescent="0.25">
      <c r="A85">
        <v>84</v>
      </c>
      <c r="B85">
        <f>DallasSim!I85</f>
        <v>47.272791713230291</v>
      </c>
      <c r="C85">
        <f>BostonSim!I85</f>
        <v>30.96000936700197</v>
      </c>
      <c r="D85" t="str">
        <f t="shared" si="1"/>
        <v>W</v>
      </c>
    </row>
    <row r="86" spans="1:4" x14ac:dyDescent="0.25">
      <c r="A86">
        <v>85</v>
      </c>
      <c r="B86">
        <f>DallasSim!I86</f>
        <v>51.25839199323881</v>
      </c>
      <c r="C86">
        <f>BostonSim!I86</f>
        <v>30.279722680839871</v>
      </c>
      <c r="D86" t="str">
        <f t="shared" si="1"/>
        <v>W</v>
      </c>
    </row>
    <row r="87" spans="1:4" x14ac:dyDescent="0.25">
      <c r="A87">
        <v>86</v>
      </c>
      <c r="B87">
        <f>DallasSim!I87</f>
        <v>37.933140737996013</v>
      </c>
      <c r="C87">
        <f>BostonSim!I87</f>
        <v>21.570375332726407</v>
      </c>
      <c r="D87" t="str">
        <f t="shared" si="1"/>
        <v>W</v>
      </c>
    </row>
    <row r="88" spans="1:4" x14ac:dyDescent="0.25">
      <c r="A88">
        <v>87</v>
      </c>
      <c r="B88">
        <f>DallasSim!I88</f>
        <v>49.060967233867046</v>
      </c>
      <c r="C88">
        <f>BostonSim!I88</f>
        <v>30.695442091805106</v>
      </c>
      <c r="D88" t="str">
        <f t="shared" si="1"/>
        <v>W</v>
      </c>
    </row>
    <row r="89" spans="1:4" x14ac:dyDescent="0.25">
      <c r="A89">
        <v>88</v>
      </c>
      <c r="B89">
        <f>DallasSim!I89</f>
        <v>44.366087437837493</v>
      </c>
      <c r="C89">
        <f>BostonSim!I89</f>
        <v>25.96556014566012</v>
      </c>
      <c r="D89" t="str">
        <f t="shared" si="1"/>
        <v>W</v>
      </c>
    </row>
    <row r="90" spans="1:4" x14ac:dyDescent="0.25">
      <c r="A90">
        <v>89</v>
      </c>
      <c r="B90">
        <f>DallasSim!I90</f>
        <v>49.355417785578346</v>
      </c>
      <c r="C90">
        <f>BostonSim!I90</f>
        <v>25.609855276552711</v>
      </c>
      <c r="D90" t="str">
        <f t="shared" si="1"/>
        <v>W</v>
      </c>
    </row>
    <row r="91" spans="1:4" x14ac:dyDescent="0.25">
      <c r="A91">
        <v>90</v>
      </c>
      <c r="B91">
        <f>DallasSim!I91</f>
        <v>50.104015130093188</v>
      </c>
      <c r="C91">
        <f>BostonSim!I91</f>
        <v>14.840455446461997</v>
      </c>
      <c r="D91" t="str">
        <f t="shared" si="1"/>
        <v>W</v>
      </c>
    </row>
    <row r="92" spans="1:4" x14ac:dyDescent="0.25">
      <c r="A92">
        <v>91</v>
      </c>
      <c r="B92">
        <f>DallasSim!I92</f>
        <v>51.190879062913183</v>
      </c>
      <c r="C92">
        <f>BostonSim!I92</f>
        <v>30.400044437986221</v>
      </c>
      <c r="D92" t="str">
        <f t="shared" si="1"/>
        <v>W</v>
      </c>
    </row>
    <row r="93" spans="1:4" x14ac:dyDescent="0.25">
      <c r="A93">
        <v>92</v>
      </c>
      <c r="B93">
        <f>DallasSim!I93</f>
        <v>49.969582225203432</v>
      </c>
      <c r="C93">
        <f>BostonSim!I93</f>
        <v>29.996895568822413</v>
      </c>
      <c r="D93" t="str">
        <f t="shared" si="1"/>
        <v>W</v>
      </c>
    </row>
    <row r="94" spans="1:4" x14ac:dyDescent="0.25">
      <c r="A94">
        <v>93</v>
      </c>
      <c r="B94">
        <f>DallasSim!I94</f>
        <v>49.178289785575892</v>
      </c>
      <c r="C94">
        <f>BostonSim!I94</f>
        <v>21.538028889504517</v>
      </c>
      <c r="D94" t="str">
        <f t="shared" si="1"/>
        <v>W</v>
      </c>
    </row>
    <row r="95" spans="1:4" x14ac:dyDescent="0.25">
      <c r="A95">
        <v>94</v>
      </c>
      <c r="B95">
        <f>DallasSim!I95</f>
        <v>48.303607162185422</v>
      </c>
      <c r="C95">
        <f>BostonSim!I95</f>
        <v>31.098044977750142</v>
      </c>
      <c r="D95" t="str">
        <f t="shared" si="1"/>
        <v>W</v>
      </c>
    </row>
    <row r="96" spans="1:4" x14ac:dyDescent="0.25">
      <c r="A96">
        <v>95</v>
      </c>
      <c r="B96">
        <f>DallasSim!I96</f>
        <v>45.229733427861909</v>
      </c>
      <c r="C96">
        <f>BostonSim!I96</f>
        <v>30.522274248538924</v>
      </c>
      <c r="D96" t="str">
        <f t="shared" si="1"/>
        <v>W</v>
      </c>
    </row>
    <row r="97" spans="1:4" x14ac:dyDescent="0.25">
      <c r="A97">
        <v>96</v>
      </c>
      <c r="B97">
        <f>DallasSim!I97</f>
        <v>51.074926422912938</v>
      </c>
      <c r="C97">
        <f>BostonSim!I97</f>
        <v>30.689339271498987</v>
      </c>
      <c r="D97" t="str">
        <f t="shared" si="1"/>
        <v>W</v>
      </c>
    </row>
    <row r="98" spans="1:4" x14ac:dyDescent="0.25">
      <c r="A98">
        <v>97</v>
      </c>
      <c r="B98">
        <f>DallasSim!I98</f>
        <v>40.276834964204035</v>
      </c>
      <c r="C98">
        <f>BostonSim!I98</f>
        <v>31.640721912381867</v>
      </c>
      <c r="D98" t="str">
        <f t="shared" si="1"/>
        <v>W</v>
      </c>
    </row>
    <row r="99" spans="1:4" x14ac:dyDescent="0.25">
      <c r="A99">
        <v>98</v>
      </c>
      <c r="B99">
        <f>DallasSim!I99</f>
        <v>50.406043056098362</v>
      </c>
      <c r="C99">
        <f>BostonSim!I99</f>
        <v>30.707812761851816</v>
      </c>
      <c r="D99" t="str">
        <f t="shared" si="1"/>
        <v>W</v>
      </c>
    </row>
    <row r="100" spans="1:4" x14ac:dyDescent="0.25">
      <c r="A100">
        <v>99</v>
      </c>
      <c r="B100">
        <f>DallasSim!I100</f>
        <v>48.826478761790483</v>
      </c>
      <c r="C100">
        <f>BostonSim!I100</f>
        <v>25.808045898257546</v>
      </c>
      <c r="D100" t="str">
        <f t="shared" si="1"/>
        <v>W</v>
      </c>
    </row>
    <row r="101" spans="1:4" x14ac:dyDescent="0.25">
      <c r="A101">
        <v>100</v>
      </c>
      <c r="B101">
        <f>DallasSim!I101</f>
        <v>50.300051357331753</v>
      </c>
      <c r="C101">
        <f>BostonSim!I101</f>
        <v>26.141077934116829</v>
      </c>
      <c r="D101" t="str">
        <f t="shared" si="1"/>
        <v>W</v>
      </c>
    </row>
    <row r="102" spans="1:4" x14ac:dyDescent="0.25">
      <c r="A102">
        <v>101</v>
      </c>
      <c r="B102">
        <f>DallasSim!I102</f>
        <v>48.091474713286317</v>
      </c>
      <c r="C102">
        <f>BostonSim!I102</f>
        <v>25.78625856175989</v>
      </c>
      <c r="D102" t="str">
        <f t="shared" si="1"/>
        <v>W</v>
      </c>
    </row>
    <row r="103" spans="1:4" x14ac:dyDescent="0.25">
      <c r="A103">
        <v>102</v>
      </c>
      <c r="B103">
        <f>DallasSim!I103</f>
        <v>38.894782349283062</v>
      </c>
      <c r="C103">
        <f>BostonSim!I103</f>
        <v>26.721270083702962</v>
      </c>
      <c r="D103" t="str">
        <f t="shared" si="1"/>
        <v>W</v>
      </c>
    </row>
    <row r="104" spans="1:4" x14ac:dyDescent="0.25">
      <c r="A104">
        <v>103</v>
      </c>
      <c r="B104">
        <f>DallasSim!I104</f>
        <v>48.692683180354798</v>
      </c>
      <c r="C104">
        <f>BostonSim!I104</f>
        <v>28.316923982854277</v>
      </c>
      <c r="D104" t="str">
        <f t="shared" si="1"/>
        <v>W</v>
      </c>
    </row>
    <row r="105" spans="1:4" x14ac:dyDescent="0.25">
      <c r="A105">
        <v>104</v>
      </c>
      <c r="B105">
        <f>DallasSim!I105</f>
        <v>38.562696417270416</v>
      </c>
      <c r="C105">
        <f>BostonSim!I105</f>
        <v>30.758523829298717</v>
      </c>
      <c r="D105" t="str">
        <f t="shared" si="1"/>
        <v>W</v>
      </c>
    </row>
    <row r="106" spans="1:4" x14ac:dyDescent="0.25">
      <c r="A106">
        <v>105</v>
      </c>
      <c r="B106">
        <f>DallasSim!I106</f>
        <v>42.422495244272262</v>
      </c>
      <c r="C106">
        <f>BostonSim!I106</f>
        <v>25.394107327864646</v>
      </c>
      <c r="D106" t="str">
        <f t="shared" si="1"/>
        <v>W</v>
      </c>
    </row>
    <row r="107" spans="1:4" x14ac:dyDescent="0.25">
      <c r="A107">
        <v>106</v>
      </c>
      <c r="B107">
        <f>DallasSim!I107</f>
        <v>49.411873058434431</v>
      </c>
      <c r="C107">
        <f>BostonSim!I107</f>
        <v>28.658394995353301</v>
      </c>
      <c r="D107" t="str">
        <f t="shared" si="1"/>
        <v>W</v>
      </c>
    </row>
    <row r="108" spans="1:4" x14ac:dyDescent="0.25">
      <c r="A108">
        <v>107</v>
      </c>
      <c r="B108">
        <f>DallasSim!I108</f>
        <v>44.350489956154632</v>
      </c>
      <c r="C108">
        <f>BostonSim!I108</f>
        <v>29.392980881877556</v>
      </c>
      <c r="D108" t="str">
        <f t="shared" si="1"/>
        <v>W</v>
      </c>
    </row>
    <row r="109" spans="1:4" x14ac:dyDescent="0.25">
      <c r="A109">
        <v>108</v>
      </c>
      <c r="B109">
        <f>DallasSim!I109</f>
        <v>42.185725841122647</v>
      </c>
      <c r="C109">
        <f>BostonSim!I109</f>
        <v>24.4388541807424</v>
      </c>
      <c r="D109" t="str">
        <f t="shared" si="1"/>
        <v>W</v>
      </c>
    </row>
    <row r="110" spans="1:4" x14ac:dyDescent="0.25">
      <c r="A110">
        <v>109</v>
      </c>
      <c r="B110">
        <f>DallasSim!I110</f>
        <v>47.986342410518446</v>
      </c>
      <c r="C110">
        <f>BostonSim!I110</f>
        <v>27.533471250860948</v>
      </c>
      <c r="D110" t="str">
        <f t="shared" si="1"/>
        <v>W</v>
      </c>
    </row>
    <row r="111" spans="1:4" x14ac:dyDescent="0.25">
      <c r="A111">
        <v>110</v>
      </c>
      <c r="B111">
        <f>DallasSim!I111</f>
        <v>43.918289081790284</v>
      </c>
      <c r="C111">
        <f>BostonSim!I111</f>
        <v>25.512113336731051</v>
      </c>
      <c r="D111" t="str">
        <f t="shared" si="1"/>
        <v>W</v>
      </c>
    </row>
    <row r="112" spans="1:4" x14ac:dyDescent="0.25">
      <c r="A112">
        <v>111</v>
      </c>
      <c r="B112">
        <f>DallasSim!I112</f>
        <v>46.77710036087489</v>
      </c>
      <c r="C112">
        <f>BostonSim!I112</f>
        <v>22.832613578107093</v>
      </c>
      <c r="D112" t="str">
        <f t="shared" si="1"/>
        <v>W</v>
      </c>
    </row>
    <row r="113" spans="1:4" x14ac:dyDescent="0.25">
      <c r="A113">
        <v>112</v>
      </c>
      <c r="B113">
        <f>DallasSim!I113</f>
        <v>50.850268998380912</v>
      </c>
      <c r="C113">
        <f>BostonSim!I113</f>
        <v>22.789207808969948</v>
      </c>
      <c r="D113" t="str">
        <f t="shared" si="1"/>
        <v>W</v>
      </c>
    </row>
    <row r="114" spans="1:4" x14ac:dyDescent="0.25">
      <c r="A114">
        <v>113</v>
      </c>
      <c r="B114">
        <f>DallasSim!I114</f>
        <v>42.597979378968802</v>
      </c>
      <c r="C114">
        <f>BostonSim!I114</f>
        <v>30.279029223942555</v>
      </c>
      <c r="D114" t="str">
        <f t="shared" si="1"/>
        <v>W</v>
      </c>
    </row>
    <row r="115" spans="1:4" x14ac:dyDescent="0.25">
      <c r="A115">
        <v>114</v>
      </c>
      <c r="B115">
        <f>DallasSim!I115</f>
        <v>44.07262179833819</v>
      </c>
      <c r="C115">
        <f>BostonSim!I115</f>
        <v>28.095430266495857</v>
      </c>
      <c r="D115" t="str">
        <f t="shared" si="1"/>
        <v>W</v>
      </c>
    </row>
    <row r="116" spans="1:4" x14ac:dyDescent="0.25">
      <c r="A116">
        <v>115</v>
      </c>
      <c r="B116">
        <f>DallasSim!I116</f>
        <v>45.213782522234148</v>
      </c>
      <c r="C116">
        <f>BostonSim!I116</f>
        <v>18.965842194035723</v>
      </c>
      <c r="D116" t="str">
        <f t="shared" si="1"/>
        <v>W</v>
      </c>
    </row>
    <row r="117" spans="1:4" x14ac:dyDescent="0.25">
      <c r="A117">
        <v>116</v>
      </c>
      <c r="B117">
        <f>DallasSim!I117</f>
        <v>40.019758204150705</v>
      </c>
      <c r="C117">
        <f>BostonSim!I117</f>
        <v>30.66218735244637</v>
      </c>
      <c r="D117" t="str">
        <f t="shared" si="1"/>
        <v>W</v>
      </c>
    </row>
    <row r="118" spans="1:4" x14ac:dyDescent="0.25">
      <c r="A118">
        <v>117</v>
      </c>
      <c r="B118">
        <f>DallasSim!I118</f>
        <v>47.916552784504908</v>
      </c>
      <c r="C118">
        <f>BostonSim!I118</f>
        <v>23.908803531344908</v>
      </c>
      <c r="D118" t="str">
        <f t="shared" si="1"/>
        <v>W</v>
      </c>
    </row>
    <row r="119" spans="1:4" x14ac:dyDescent="0.25">
      <c r="A119">
        <v>118</v>
      </c>
      <c r="B119">
        <f>DallasSim!I119</f>
        <v>49.133064112188897</v>
      </c>
      <c r="C119">
        <f>BostonSim!I119</f>
        <v>23.311286205245395</v>
      </c>
      <c r="D119" t="str">
        <f t="shared" si="1"/>
        <v>W</v>
      </c>
    </row>
    <row r="120" spans="1:4" x14ac:dyDescent="0.25">
      <c r="A120">
        <v>119</v>
      </c>
      <c r="B120">
        <f>DallasSim!I120</f>
        <v>49.263884307052344</v>
      </c>
      <c r="C120">
        <f>BostonSim!I120</f>
        <v>30.66328791322951</v>
      </c>
      <c r="D120" t="str">
        <f t="shared" si="1"/>
        <v>W</v>
      </c>
    </row>
    <row r="121" spans="1:4" x14ac:dyDescent="0.25">
      <c r="A121">
        <v>120</v>
      </c>
      <c r="B121">
        <f>DallasSim!I121</f>
        <v>44.759100985593321</v>
      </c>
      <c r="C121">
        <f>BostonSim!I121</f>
        <v>28.034298747077489</v>
      </c>
      <c r="D121" t="str">
        <f t="shared" si="1"/>
        <v>W</v>
      </c>
    </row>
    <row r="122" spans="1:4" x14ac:dyDescent="0.25">
      <c r="A122">
        <v>121</v>
      </c>
      <c r="B122">
        <f>DallasSim!I122</f>
        <v>41.087867834122548</v>
      </c>
      <c r="C122">
        <f>BostonSim!I122</f>
        <v>30.028890198601832</v>
      </c>
      <c r="D122" t="str">
        <f t="shared" si="1"/>
        <v>W</v>
      </c>
    </row>
    <row r="123" spans="1:4" x14ac:dyDescent="0.25">
      <c r="A123">
        <v>122</v>
      </c>
      <c r="B123">
        <f>DallasSim!I123</f>
        <v>44.609670010388058</v>
      </c>
      <c r="C123">
        <f>BostonSim!I123</f>
        <v>30.042119361138045</v>
      </c>
      <c r="D123" t="str">
        <f t="shared" si="1"/>
        <v>W</v>
      </c>
    </row>
    <row r="124" spans="1:4" x14ac:dyDescent="0.25">
      <c r="A124">
        <v>123</v>
      </c>
      <c r="B124">
        <f>DallasSim!I124</f>
        <v>49.393913119972794</v>
      </c>
      <c r="C124">
        <f>BostonSim!I124</f>
        <v>29.959491737433318</v>
      </c>
      <c r="D124" t="str">
        <f t="shared" si="1"/>
        <v>W</v>
      </c>
    </row>
    <row r="125" spans="1:4" x14ac:dyDescent="0.25">
      <c r="A125">
        <v>124</v>
      </c>
      <c r="B125">
        <f>DallasSim!I125</f>
        <v>41.326526092416906</v>
      </c>
      <c r="C125">
        <f>BostonSim!I125</f>
        <v>29.749314763269734</v>
      </c>
      <c r="D125" t="str">
        <f t="shared" si="1"/>
        <v>W</v>
      </c>
    </row>
    <row r="126" spans="1:4" x14ac:dyDescent="0.25">
      <c r="A126">
        <v>125</v>
      </c>
      <c r="B126">
        <f>DallasSim!I126</f>
        <v>38.531817397694979</v>
      </c>
      <c r="C126">
        <f>BostonSim!I126</f>
        <v>27.937695674771305</v>
      </c>
      <c r="D126" t="str">
        <f t="shared" si="1"/>
        <v>W</v>
      </c>
    </row>
    <row r="127" spans="1:4" x14ac:dyDescent="0.25">
      <c r="A127">
        <v>126</v>
      </c>
      <c r="B127">
        <f>DallasSim!I127</f>
        <v>49.599678246314546</v>
      </c>
      <c r="C127">
        <f>BostonSim!I127</f>
        <v>29.140718861144268</v>
      </c>
      <c r="D127" t="str">
        <f t="shared" si="1"/>
        <v>W</v>
      </c>
    </row>
    <row r="128" spans="1:4" x14ac:dyDescent="0.25">
      <c r="A128">
        <v>127</v>
      </c>
      <c r="B128">
        <f>DallasSim!I128</f>
        <v>40.17675788819696</v>
      </c>
      <c r="C128">
        <f>BostonSim!I128</f>
        <v>25.802600587629247</v>
      </c>
      <c r="D128" t="str">
        <f t="shared" si="1"/>
        <v>W</v>
      </c>
    </row>
    <row r="129" spans="1:4" x14ac:dyDescent="0.25">
      <c r="A129">
        <v>128</v>
      </c>
      <c r="B129">
        <f>DallasSim!I129</f>
        <v>50.872171030080665</v>
      </c>
      <c r="C129">
        <f>BostonSim!I129</f>
        <v>31.215930446248162</v>
      </c>
      <c r="D129" t="str">
        <f t="shared" si="1"/>
        <v>W</v>
      </c>
    </row>
    <row r="130" spans="1:4" x14ac:dyDescent="0.25">
      <c r="A130">
        <v>129</v>
      </c>
      <c r="B130">
        <f>DallasSim!I130</f>
        <v>50.04784507527058</v>
      </c>
      <c r="C130">
        <f>BostonSim!I130</f>
        <v>28.677022362133698</v>
      </c>
      <c r="D130" t="str">
        <f t="shared" si="1"/>
        <v>W</v>
      </c>
    </row>
    <row r="131" spans="1:4" x14ac:dyDescent="0.25">
      <c r="A131">
        <v>130</v>
      </c>
      <c r="B131">
        <f>DallasSim!I131</f>
        <v>48.325911631208655</v>
      </c>
      <c r="C131">
        <f>BostonSim!I131</f>
        <v>26.323519470034931</v>
      </c>
      <c r="D131" t="str">
        <f t="shared" ref="D131:D194" si="2">IF(B131&gt;C131,"W",IF(B131&lt;C131,"L","T"))</f>
        <v>W</v>
      </c>
    </row>
    <row r="132" spans="1:4" x14ac:dyDescent="0.25">
      <c r="A132">
        <v>131</v>
      </c>
      <c r="B132">
        <f>DallasSim!I132</f>
        <v>45.34749331217855</v>
      </c>
      <c r="C132">
        <f>BostonSim!I132</f>
        <v>25.108508637042945</v>
      </c>
      <c r="D132" t="str">
        <f t="shared" si="2"/>
        <v>W</v>
      </c>
    </row>
    <row r="133" spans="1:4" x14ac:dyDescent="0.25">
      <c r="A133">
        <v>132</v>
      </c>
      <c r="B133">
        <f>DallasSim!I133</f>
        <v>43.67585618441101</v>
      </c>
      <c r="C133">
        <f>BostonSim!I133</f>
        <v>26.169279716622416</v>
      </c>
      <c r="D133" t="str">
        <f t="shared" si="2"/>
        <v>W</v>
      </c>
    </row>
    <row r="134" spans="1:4" x14ac:dyDescent="0.25">
      <c r="A134">
        <v>133</v>
      </c>
      <c r="B134">
        <f>DallasSim!I134</f>
        <v>44.341289164376491</v>
      </c>
      <c r="C134">
        <f>BostonSim!I134</f>
        <v>18.722592619404644</v>
      </c>
      <c r="D134" t="str">
        <f t="shared" si="2"/>
        <v>W</v>
      </c>
    </row>
    <row r="135" spans="1:4" x14ac:dyDescent="0.25">
      <c r="A135">
        <v>134</v>
      </c>
      <c r="B135">
        <f>DallasSim!I135</f>
        <v>43.286374822646827</v>
      </c>
      <c r="C135">
        <f>BostonSim!I135</f>
        <v>18.915348691027482</v>
      </c>
      <c r="D135" t="str">
        <f t="shared" si="2"/>
        <v>W</v>
      </c>
    </row>
    <row r="136" spans="1:4" x14ac:dyDescent="0.25">
      <c r="A136">
        <v>135</v>
      </c>
      <c r="B136">
        <f>DallasSim!I136</f>
        <v>43.639828810820681</v>
      </c>
      <c r="C136">
        <f>BostonSim!I136</f>
        <v>30.394268521065126</v>
      </c>
      <c r="D136" t="str">
        <f t="shared" si="2"/>
        <v>W</v>
      </c>
    </row>
    <row r="137" spans="1:4" x14ac:dyDescent="0.25">
      <c r="A137">
        <v>136</v>
      </c>
      <c r="B137">
        <f>DallasSim!I137</f>
        <v>48.451983435920887</v>
      </c>
      <c r="C137">
        <f>BostonSim!I137</f>
        <v>24.687338419788286</v>
      </c>
      <c r="D137" t="str">
        <f t="shared" si="2"/>
        <v>W</v>
      </c>
    </row>
    <row r="138" spans="1:4" x14ac:dyDescent="0.25">
      <c r="A138">
        <v>137</v>
      </c>
      <c r="B138">
        <f>DallasSim!I138</f>
        <v>43.539396619562126</v>
      </c>
      <c r="C138">
        <f>BostonSim!I138</f>
        <v>30.49836790343868</v>
      </c>
      <c r="D138" t="str">
        <f t="shared" si="2"/>
        <v>W</v>
      </c>
    </row>
    <row r="139" spans="1:4" x14ac:dyDescent="0.25">
      <c r="A139">
        <v>138</v>
      </c>
      <c r="B139">
        <f>DallasSim!I139</f>
        <v>49.542097015941266</v>
      </c>
      <c r="C139">
        <f>BostonSim!I139</f>
        <v>28.864180436888567</v>
      </c>
      <c r="D139" t="str">
        <f t="shared" si="2"/>
        <v>W</v>
      </c>
    </row>
    <row r="140" spans="1:4" x14ac:dyDescent="0.25">
      <c r="A140">
        <v>139</v>
      </c>
      <c r="B140">
        <f>DallasSim!I140</f>
        <v>48.487791087823979</v>
      </c>
      <c r="C140">
        <f>BostonSim!I140</f>
        <v>29.250185443437552</v>
      </c>
      <c r="D140" t="str">
        <f t="shared" si="2"/>
        <v>W</v>
      </c>
    </row>
    <row r="141" spans="1:4" x14ac:dyDescent="0.25">
      <c r="A141">
        <v>140</v>
      </c>
      <c r="B141">
        <f>DallasSim!I141</f>
        <v>40.614840750065959</v>
      </c>
      <c r="C141">
        <f>BostonSim!I141</f>
        <v>26.456346094699484</v>
      </c>
      <c r="D141" t="str">
        <f t="shared" si="2"/>
        <v>W</v>
      </c>
    </row>
    <row r="142" spans="1:4" x14ac:dyDescent="0.25">
      <c r="A142">
        <v>141</v>
      </c>
      <c r="B142">
        <f>DallasSim!I142</f>
        <v>44.847990075257776</v>
      </c>
      <c r="C142">
        <f>BostonSim!I142</f>
        <v>25.775063715693697</v>
      </c>
      <c r="D142" t="str">
        <f t="shared" si="2"/>
        <v>W</v>
      </c>
    </row>
    <row r="143" spans="1:4" x14ac:dyDescent="0.25">
      <c r="A143">
        <v>142</v>
      </c>
      <c r="B143">
        <f>DallasSim!I143</f>
        <v>38.914163907792727</v>
      </c>
      <c r="C143">
        <f>BostonSim!I143</f>
        <v>30.986429899580141</v>
      </c>
      <c r="D143" t="str">
        <f t="shared" si="2"/>
        <v>W</v>
      </c>
    </row>
    <row r="144" spans="1:4" x14ac:dyDescent="0.25">
      <c r="A144">
        <v>143</v>
      </c>
      <c r="B144">
        <f>DallasSim!I144</f>
        <v>37.523906987105804</v>
      </c>
      <c r="C144">
        <f>BostonSim!I144</f>
        <v>21.294903549420372</v>
      </c>
      <c r="D144" t="str">
        <f t="shared" si="2"/>
        <v>W</v>
      </c>
    </row>
    <row r="145" spans="1:4" x14ac:dyDescent="0.25">
      <c r="A145">
        <v>144</v>
      </c>
      <c r="B145">
        <f>DallasSim!I145</f>
        <v>47.767737986190461</v>
      </c>
      <c r="C145">
        <f>BostonSim!I145</f>
        <v>21.53701493678188</v>
      </c>
      <c r="D145" t="str">
        <f t="shared" si="2"/>
        <v>W</v>
      </c>
    </row>
    <row r="146" spans="1:4" x14ac:dyDescent="0.25">
      <c r="A146">
        <v>145</v>
      </c>
      <c r="B146">
        <f>DallasSim!I146</f>
        <v>39.432975197161312</v>
      </c>
      <c r="C146">
        <f>BostonSim!I146</f>
        <v>24.500083872989197</v>
      </c>
      <c r="D146" t="str">
        <f t="shared" si="2"/>
        <v>W</v>
      </c>
    </row>
    <row r="147" spans="1:4" x14ac:dyDescent="0.25">
      <c r="A147">
        <v>146</v>
      </c>
      <c r="B147">
        <f>DallasSim!I147</f>
        <v>41.988873162166115</v>
      </c>
      <c r="C147">
        <f>BostonSim!I147</f>
        <v>30.173970702157494</v>
      </c>
      <c r="D147" t="str">
        <f t="shared" si="2"/>
        <v>W</v>
      </c>
    </row>
    <row r="148" spans="1:4" x14ac:dyDescent="0.25">
      <c r="A148">
        <v>147</v>
      </c>
      <c r="B148">
        <f>DallasSim!I148</f>
        <v>50.205889402864145</v>
      </c>
      <c r="C148">
        <f>BostonSim!I148</f>
        <v>23.929869180579718</v>
      </c>
      <c r="D148" t="str">
        <f t="shared" si="2"/>
        <v>W</v>
      </c>
    </row>
    <row r="149" spans="1:4" x14ac:dyDescent="0.25">
      <c r="A149">
        <v>148</v>
      </c>
      <c r="B149">
        <f>DallasSim!I149</f>
        <v>33.95105508877505</v>
      </c>
      <c r="C149">
        <f>BostonSim!I149</f>
        <v>30.359223065927999</v>
      </c>
      <c r="D149" t="str">
        <f t="shared" si="2"/>
        <v>W</v>
      </c>
    </row>
    <row r="150" spans="1:4" x14ac:dyDescent="0.25">
      <c r="A150">
        <v>149</v>
      </c>
      <c r="B150">
        <f>DallasSim!I150</f>
        <v>36.000375638735363</v>
      </c>
      <c r="C150">
        <f>BostonSim!I150</f>
        <v>29.053068134658449</v>
      </c>
      <c r="D150" t="str">
        <f t="shared" si="2"/>
        <v>W</v>
      </c>
    </row>
    <row r="151" spans="1:4" x14ac:dyDescent="0.25">
      <c r="A151">
        <v>150</v>
      </c>
      <c r="B151">
        <f>DallasSim!I151</f>
        <v>50.431826820500277</v>
      </c>
      <c r="C151">
        <f>BostonSim!I151</f>
        <v>30.491273946811461</v>
      </c>
      <c r="D151" t="str">
        <f t="shared" si="2"/>
        <v>W</v>
      </c>
    </row>
    <row r="152" spans="1:4" x14ac:dyDescent="0.25">
      <c r="A152">
        <v>151</v>
      </c>
      <c r="B152">
        <f>DallasSim!I152</f>
        <v>36.745011416061061</v>
      </c>
      <c r="C152">
        <f>BostonSim!I152</f>
        <v>31.479193580660258</v>
      </c>
      <c r="D152" t="str">
        <f t="shared" si="2"/>
        <v>W</v>
      </c>
    </row>
    <row r="153" spans="1:4" x14ac:dyDescent="0.25">
      <c r="A153">
        <v>152</v>
      </c>
      <c r="B153">
        <f>DallasSim!I153</f>
        <v>43.049081686941136</v>
      </c>
      <c r="C153">
        <f>BostonSim!I153</f>
        <v>30.012504416042532</v>
      </c>
      <c r="D153" t="str">
        <f t="shared" si="2"/>
        <v>W</v>
      </c>
    </row>
    <row r="154" spans="1:4" x14ac:dyDescent="0.25">
      <c r="A154">
        <v>153</v>
      </c>
      <c r="B154">
        <f>DallasSim!I154</f>
        <v>47.853441660782195</v>
      </c>
      <c r="C154">
        <f>BostonSim!I154</f>
        <v>30.132582895664054</v>
      </c>
      <c r="D154" t="str">
        <f t="shared" si="2"/>
        <v>W</v>
      </c>
    </row>
    <row r="155" spans="1:4" x14ac:dyDescent="0.25">
      <c r="A155">
        <v>154</v>
      </c>
      <c r="B155">
        <f>DallasSim!I155</f>
        <v>50.226573084946168</v>
      </c>
      <c r="C155">
        <f>BostonSim!I155</f>
        <v>27.878815092147004</v>
      </c>
      <c r="D155" t="str">
        <f t="shared" si="2"/>
        <v>W</v>
      </c>
    </row>
    <row r="156" spans="1:4" x14ac:dyDescent="0.25">
      <c r="A156">
        <v>155</v>
      </c>
      <c r="B156">
        <f>DallasSim!I156</f>
        <v>49.02992538812839</v>
      </c>
      <c r="C156">
        <f>BostonSim!I156</f>
        <v>25.672667388736304</v>
      </c>
      <c r="D156" t="str">
        <f t="shared" si="2"/>
        <v>W</v>
      </c>
    </row>
    <row r="157" spans="1:4" x14ac:dyDescent="0.25">
      <c r="A157">
        <v>156</v>
      </c>
      <c r="B157">
        <f>DallasSim!I157</f>
        <v>32.931278172896711</v>
      </c>
      <c r="C157">
        <f>BostonSim!I157</f>
        <v>20.806537184640185</v>
      </c>
      <c r="D157" t="str">
        <f t="shared" si="2"/>
        <v>W</v>
      </c>
    </row>
    <row r="158" spans="1:4" x14ac:dyDescent="0.25">
      <c r="A158">
        <v>157</v>
      </c>
      <c r="B158">
        <f>DallasSim!I158</f>
        <v>48.893700156695367</v>
      </c>
      <c r="C158">
        <f>BostonSim!I158</f>
        <v>21.899578860579034</v>
      </c>
      <c r="D158" t="str">
        <f t="shared" si="2"/>
        <v>W</v>
      </c>
    </row>
    <row r="159" spans="1:4" x14ac:dyDescent="0.25">
      <c r="A159">
        <v>158</v>
      </c>
      <c r="B159">
        <f>DallasSim!I159</f>
        <v>40.132971348722386</v>
      </c>
      <c r="C159">
        <f>BostonSim!I159</f>
        <v>28.166893092776647</v>
      </c>
      <c r="D159" t="str">
        <f t="shared" si="2"/>
        <v>W</v>
      </c>
    </row>
    <row r="160" spans="1:4" x14ac:dyDescent="0.25">
      <c r="A160">
        <v>159</v>
      </c>
      <c r="B160">
        <f>DallasSim!I160</f>
        <v>49.985816932727516</v>
      </c>
      <c r="C160">
        <f>BostonSim!I160</f>
        <v>30.286558949659419</v>
      </c>
      <c r="D160" t="str">
        <f t="shared" si="2"/>
        <v>W</v>
      </c>
    </row>
    <row r="161" spans="1:4" x14ac:dyDescent="0.25">
      <c r="A161">
        <v>160</v>
      </c>
      <c r="B161">
        <f>DallasSim!I161</f>
        <v>46.471221938761126</v>
      </c>
      <c r="C161">
        <f>BostonSim!I161</f>
        <v>30.759290440541321</v>
      </c>
      <c r="D161" t="str">
        <f t="shared" si="2"/>
        <v>W</v>
      </c>
    </row>
    <row r="162" spans="1:4" x14ac:dyDescent="0.25">
      <c r="A162">
        <v>161</v>
      </c>
      <c r="B162">
        <f>DallasSim!I162</f>
        <v>39.304384922875983</v>
      </c>
      <c r="C162">
        <f>BostonSim!I162</f>
        <v>25.4278463746341</v>
      </c>
      <c r="D162" t="str">
        <f t="shared" si="2"/>
        <v>W</v>
      </c>
    </row>
    <row r="163" spans="1:4" x14ac:dyDescent="0.25">
      <c r="A163">
        <v>162</v>
      </c>
      <c r="B163">
        <f>DallasSim!I163</f>
        <v>49.154605648282256</v>
      </c>
      <c r="C163">
        <f>BostonSim!I163</f>
        <v>28.143213512872158</v>
      </c>
      <c r="D163" t="str">
        <f t="shared" si="2"/>
        <v>W</v>
      </c>
    </row>
    <row r="164" spans="1:4" x14ac:dyDescent="0.25">
      <c r="A164">
        <v>163</v>
      </c>
      <c r="B164">
        <f>DallasSim!I164</f>
        <v>48.51027903744663</v>
      </c>
      <c r="C164">
        <f>BostonSim!I164</f>
        <v>32.038355515117104</v>
      </c>
      <c r="D164" t="str">
        <f t="shared" si="2"/>
        <v>W</v>
      </c>
    </row>
    <row r="165" spans="1:4" x14ac:dyDescent="0.25">
      <c r="A165">
        <v>164</v>
      </c>
      <c r="B165">
        <f>DallasSim!I165</f>
        <v>40.058179502001209</v>
      </c>
      <c r="C165">
        <f>BostonSim!I165</f>
        <v>30.928989039596896</v>
      </c>
      <c r="D165" t="str">
        <f t="shared" si="2"/>
        <v>W</v>
      </c>
    </row>
    <row r="166" spans="1:4" x14ac:dyDescent="0.25">
      <c r="A166">
        <v>165</v>
      </c>
      <c r="B166">
        <f>DallasSim!I166</f>
        <v>51.354152707840548</v>
      </c>
      <c r="C166">
        <f>BostonSim!I166</f>
        <v>29.866252487497484</v>
      </c>
      <c r="D166" t="str">
        <f t="shared" si="2"/>
        <v>W</v>
      </c>
    </row>
    <row r="167" spans="1:4" x14ac:dyDescent="0.25">
      <c r="A167">
        <v>166</v>
      </c>
      <c r="B167">
        <f>DallasSim!I167</f>
        <v>43.463731461661709</v>
      </c>
      <c r="C167">
        <f>BostonSim!I167</f>
        <v>31.235143755279726</v>
      </c>
      <c r="D167" t="str">
        <f t="shared" si="2"/>
        <v>W</v>
      </c>
    </row>
    <row r="168" spans="1:4" x14ac:dyDescent="0.25">
      <c r="A168">
        <v>167</v>
      </c>
      <c r="B168">
        <f>DallasSim!I168</f>
        <v>35.37032843386605</v>
      </c>
      <c r="C168">
        <f>BostonSim!I168</f>
        <v>26.081093959773558</v>
      </c>
      <c r="D168" t="str">
        <f t="shared" si="2"/>
        <v>W</v>
      </c>
    </row>
    <row r="169" spans="1:4" x14ac:dyDescent="0.25">
      <c r="A169">
        <v>168</v>
      </c>
      <c r="B169">
        <f>DallasSim!I169</f>
        <v>48.789948318937846</v>
      </c>
      <c r="C169">
        <f>BostonSim!I169</f>
        <v>30.456996406573584</v>
      </c>
      <c r="D169" t="str">
        <f t="shared" si="2"/>
        <v>W</v>
      </c>
    </row>
    <row r="170" spans="1:4" x14ac:dyDescent="0.25">
      <c r="A170">
        <v>169</v>
      </c>
      <c r="B170">
        <f>DallasSim!I170</f>
        <v>49.367302182596703</v>
      </c>
      <c r="C170">
        <f>BostonSim!I170</f>
        <v>30.727322990516157</v>
      </c>
      <c r="D170" t="str">
        <f t="shared" si="2"/>
        <v>W</v>
      </c>
    </row>
    <row r="171" spans="1:4" x14ac:dyDescent="0.25">
      <c r="A171">
        <v>170</v>
      </c>
      <c r="B171">
        <f>DallasSim!I171</f>
        <v>43.782821698532501</v>
      </c>
      <c r="C171">
        <f>BostonSim!I171</f>
        <v>24.33289035523817</v>
      </c>
      <c r="D171" t="str">
        <f t="shared" si="2"/>
        <v>W</v>
      </c>
    </row>
    <row r="172" spans="1:4" x14ac:dyDescent="0.25">
      <c r="A172">
        <v>171</v>
      </c>
      <c r="B172">
        <f>DallasSim!I172</f>
        <v>33.078285766839969</v>
      </c>
      <c r="C172">
        <f>BostonSim!I172</f>
        <v>24.751716011864122</v>
      </c>
      <c r="D172" t="str">
        <f t="shared" si="2"/>
        <v>W</v>
      </c>
    </row>
    <row r="173" spans="1:4" x14ac:dyDescent="0.25">
      <c r="A173">
        <v>172</v>
      </c>
      <c r="B173">
        <f>DallasSim!I173</f>
        <v>36.459570364113098</v>
      </c>
      <c r="C173">
        <f>BostonSim!I173</f>
        <v>29.758363758791383</v>
      </c>
      <c r="D173" t="str">
        <f t="shared" si="2"/>
        <v>W</v>
      </c>
    </row>
    <row r="174" spans="1:4" x14ac:dyDescent="0.25">
      <c r="A174">
        <v>173</v>
      </c>
      <c r="B174">
        <f>DallasSim!I174</f>
        <v>46.48880721166033</v>
      </c>
      <c r="C174">
        <f>BostonSim!I174</f>
        <v>28.994969634718277</v>
      </c>
      <c r="D174" t="str">
        <f t="shared" si="2"/>
        <v>W</v>
      </c>
    </row>
    <row r="175" spans="1:4" x14ac:dyDescent="0.25">
      <c r="A175">
        <v>174</v>
      </c>
      <c r="B175">
        <f>DallasSim!I175</f>
        <v>27.759730967589789</v>
      </c>
      <c r="C175">
        <f>BostonSim!I175</f>
        <v>23.203635191292008</v>
      </c>
      <c r="D175" t="str">
        <f t="shared" si="2"/>
        <v>W</v>
      </c>
    </row>
    <row r="176" spans="1:4" x14ac:dyDescent="0.25">
      <c r="A176">
        <v>175</v>
      </c>
      <c r="B176">
        <f>DallasSim!I176</f>
        <v>48.461202181068479</v>
      </c>
      <c r="C176">
        <f>BostonSim!I176</f>
        <v>30.36953989384843</v>
      </c>
      <c r="D176" t="str">
        <f t="shared" si="2"/>
        <v>W</v>
      </c>
    </row>
    <row r="177" spans="1:4" x14ac:dyDescent="0.25">
      <c r="A177">
        <v>176</v>
      </c>
      <c r="B177">
        <f>DallasSim!I177</f>
        <v>39.873198882213707</v>
      </c>
      <c r="C177">
        <f>BostonSim!I177</f>
        <v>24.838347797604325</v>
      </c>
      <c r="D177" t="str">
        <f t="shared" si="2"/>
        <v>W</v>
      </c>
    </row>
    <row r="178" spans="1:4" x14ac:dyDescent="0.25">
      <c r="A178">
        <v>177</v>
      </c>
      <c r="B178">
        <f>DallasSim!I178</f>
        <v>44.794818876207756</v>
      </c>
      <c r="C178">
        <f>BostonSim!I178</f>
        <v>31.57556066202217</v>
      </c>
      <c r="D178" t="str">
        <f t="shared" si="2"/>
        <v>W</v>
      </c>
    </row>
    <row r="179" spans="1:4" x14ac:dyDescent="0.25">
      <c r="A179">
        <v>178</v>
      </c>
      <c r="B179">
        <f>DallasSim!I179</f>
        <v>49.320115122244964</v>
      </c>
      <c r="C179">
        <f>BostonSim!I179</f>
        <v>29.039076035036871</v>
      </c>
      <c r="D179" t="str">
        <f t="shared" si="2"/>
        <v>W</v>
      </c>
    </row>
    <row r="180" spans="1:4" x14ac:dyDescent="0.25">
      <c r="A180">
        <v>179</v>
      </c>
      <c r="B180">
        <f>DallasSim!I180</f>
        <v>33.38279994477022</v>
      </c>
      <c r="C180">
        <f>BostonSim!I180</f>
        <v>21.741204945221188</v>
      </c>
      <c r="D180" t="str">
        <f t="shared" si="2"/>
        <v>W</v>
      </c>
    </row>
    <row r="181" spans="1:4" x14ac:dyDescent="0.25">
      <c r="A181">
        <v>180</v>
      </c>
      <c r="B181">
        <f>DallasSim!I181</f>
        <v>39.45036392108382</v>
      </c>
      <c r="C181">
        <f>BostonSim!I181</f>
        <v>30.42853220291747</v>
      </c>
      <c r="D181" t="str">
        <f t="shared" si="2"/>
        <v>W</v>
      </c>
    </row>
    <row r="182" spans="1:4" x14ac:dyDescent="0.25">
      <c r="A182">
        <v>181</v>
      </c>
      <c r="B182">
        <f>DallasSim!I182</f>
        <v>37.94606564108534</v>
      </c>
      <c r="C182">
        <f>BostonSim!I182</f>
        <v>30.808283130258765</v>
      </c>
      <c r="D182" t="str">
        <f t="shared" si="2"/>
        <v>W</v>
      </c>
    </row>
    <row r="183" spans="1:4" x14ac:dyDescent="0.25">
      <c r="A183">
        <v>182</v>
      </c>
      <c r="B183">
        <f>DallasSim!I183</f>
        <v>43.03090776389994</v>
      </c>
      <c r="C183">
        <f>BostonSim!I183</f>
        <v>25.456688880789713</v>
      </c>
      <c r="D183" t="str">
        <f t="shared" si="2"/>
        <v>W</v>
      </c>
    </row>
    <row r="184" spans="1:4" x14ac:dyDescent="0.25">
      <c r="A184">
        <v>183</v>
      </c>
      <c r="B184">
        <f>DallasSim!I184</f>
        <v>30.320398077466997</v>
      </c>
      <c r="C184">
        <f>BostonSim!I184</f>
        <v>19.210430378526965</v>
      </c>
      <c r="D184" t="str">
        <f t="shared" si="2"/>
        <v>W</v>
      </c>
    </row>
    <row r="185" spans="1:4" x14ac:dyDescent="0.25">
      <c r="A185">
        <v>184</v>
      </c>
      <c r="B185">
        <f>DallasSim!I185</f>
        <v>49.721402894774549</v>
      </c>
      <c r="C185">
        <f>BostonSim!I185</f>
        <v>28.917936641591215</v>
      </c>
      <c r="D185" t="str">
        <f t="shared" si="2"/>
        <v>W</v>
      </c>
    </row>
    <row r="186" spans="1:4" x14ac:dyDescent="0.25">
      <c r="A186">
        <v>185</v>
      </c>
      <c r="B186">
        <f>DallasSim!I186</f>
        <v>49.172704489762509</v>
      </c>
      <c r="C186">
        <f>BostonSim!I186</f>
        <v>16.600629684888254</v>
      </c>
      <c r="D186" t="str">
        <f t="shared" si="2"/>
        <v>W</v>
      </c>
    </row>
    <row r="187" spans="1:4" x14ac:dyDescent="0.25">
      <c r="A187">
        <v>186</v>
      </c>
      <c r="B187">
        <f>DallasSim!I187</f>
        <v>44.490405214405278</v>
      </c>
      <c r="C187">
        <f>BostonSim!I187</f>
        <v>19.543767306819547</v>
      </c>
      <c r="D187" t="str">
        <f t="shared" si="2"/>
        <v>W</v>
      </c>
    </row>
    <row r="188" spans="1:4" x14ac:dyDescent="0.25">
      <c r="A188">
        <v>187</v>
      </c>
      <c r="B188">
        <f>DallasSim!I188</f>
        <v>39.337621444801563</v>
      </c>
      <c r="C188">
        <f>BostonSim!I188</f>
        <v>25.797953595642277</v>
      </c>
      <c r="D188" t="str">
        <f t="shared" si="2"/>
        <v>W</v>
      </c>
    </row>
    <row r="189" spans="1:4" x14ac:dyDescent="0.25">
      <c r="A189">
        <v>188</v>
      </c>
      <c r="B189">
        <f>DallasSim!I189</f>
        <v>45.089379427756256</v>
      </c>
      <c r="C189">
        <f>BostonSim!I189</f>
        <v>22.872067276623131</v>
      </c>
      <c r="D189" t="str">
        <f t="shared" si="2"/>
        <v>W</v>
      </c>
    </row>
    <row r="190" spans="1:4" x14ac:dyDescent="0.25">
      <c r="A190">
        <v>189</v>
      </c>
      <c r="B190">
        <f>DallasSim!I190</f>
        <v>42.71138232033006</v>
      </c>
      <c r="C190">
        <f>BostonSim!I190</f>
        <v>28.647207515584221</v>
      </c>
      <c r="D190" t="str">
        <f t="shared" si="2"/>
        <v>W</v>
      </c>
    </row>
    <row r="191" spans="1:4" x14ac:dyDescent="0.25">
      <c r="A191">
        <v>190</v>
      </c>
      <c r="B191">
        <f>DallasSim!I191</f>
        <v>48.35239149054842</v>
      </c>
      <c r="C191">
        <f>BostonSim!I191</f>
        <v>31.367183995865538</v>
      </c>
      <c r="D191" t="str">
        <f t="shared" si="2"/>
        <v>W</v>
      </c>
    </row>
    <row r="192" spans="1:4" x14ac:dyDescent="0.25">
      <c r="A192">
        <v>191</v>
      </c>
      <c r="B192">
        <f>DallasSim!I192</f>
        <v>47.320531725521711</v>
      </c>
      <c r="C192">
        <f>BostonSim!I192</f>
        <v>30.836657788298236</v>
      </c>
      <c r="D192" t="str">
        <f t="shared" si="2"/>
        <v>W</v>
      </c>
    </row>
    <row r="193" spans="1:4" x14ac:dyDescent="0.25">
      <c r="A193">
        <v>192</v>
      </c>
      <c r="B193">
        <f>DallasSim!I193</f>
        <v>49.536133663142373</v>
      </c>
      <c r="C193">
        <f>BostonSim!I193</f>
        <v>30.92126847884975</v>
      </c>
      <c r="D193" t="str">
        <f t="shared" si="2"/>
        <v>W</v>
      </c>
    </row>
    <row r="194" spans="1:4" x14ac:dyDescent="0.25">
      <c r="A194">
        <v>193</v>
      </c>
      <c r="B194">
        <f>DallasSim!I194</f>
        <v>48.272717570194288</v>
      </c>
      <c r="C194">
        <f>BostonSim!I194</f>
        <v>29.219514875544455</v>
      </c>
      <c r="D194" t="str">
        <f t="shared" si="2"/>
        <v>W</v>
      </c>
    </row>
    <row r="195" spans="1:4" x14ac:dyDescent="0.25">
      <c r="A195">
        <v>194</v>
      </c>
      <c r="B195">
        <f>DallasSim!I195</f>
        <v>38.308822897526085</v>
      </c>
      <c r="C195">
        <f>BostonSim!I195</f>
        <v>20.990607831705201</v>
      </c>
      <c r="D195" t="str">
        <f t="shared" ref="D195:D258" si="3">IF(B195&gt;C195,"W",IF(B195&lt;C195,"L","T"))</f>
        <v>W</v>
      </c>
    </row>
    <row r="196" spans="1:4" x14ac:dyDescent="0.25">
      <c r="A196">
        <v>195</v>
      </c>
      <c r="B196">
        <f>DallasSim!I196</f>
        <v>32.768650139851978</v>
      </c>
      <c r="C196">
        <f>BostonSim!I196</f>
        <v>30.125604433962469</v>
      </c>
      <c r="D196" t="str">
        <f t="shared" si="3"/>
        <v>W</v>
      </c>
    </row>
    <row r="197" spans="1:4" x14ac:dyDescent="0.25">
      <c r="A197">
        <v>196</v>
      </c>
      <c r="B197">
        <f>DallasSim!I197</f>
        <v>44.714792052775806</v>
      </c>
      <c r="C197">
        <f>BostonSim!I197</f>
        <v>30.860434979117887</v>
      </c>
      <c r="D197" t="str">
        <f t="shared" si="3"/>
        <v>W</v>
      </c>
    </row>
    <row r="198" spans="1:4" x14ac:dyDescent="0.25">
      <c r="A198">
        <v>197</v>
      </c>
      <c r="B198">
        <f>DallasSim!I198</f>
        <v>49.849705444267705</v>
      </c>
      <c r="C198">
        <f>BostonSim!I198</f>
        <v>25.37997042896755</v>
      </c>
      <c r="D198" t="str">
        <f t="shared" si="3"/>
        <v>W</v>
      </c>
    </row>
    <row r="199" spans="1:4" x14ac:dyDescent="0.25">
      <c r="A199">
        <v>198</v>
      </c>
      <c r="B199">
        <f>DallasSim!I199</f>
        <v>43.120581218360137</v>
      </c>
      <c r="C199">
        <f>BostonSim!I199</f>
        <v>30.737231470072352</v>
      </c>
      <c r="D199" t="str">
        <f t="shared" si="3"/>
        <v>W</v>
      </c>
    </row>
    <row r="200" spans="1:4" x14ac:dyDescent="0.25">
      <c r="A200">
        <v>199</v>
      </c>
      <c r="B200">
        <f>DallasSim!I200</f>
        <v>45.084961303032543</v>
      </c>
      <c r="C200">
        <f>BostonSim!I200</f>
        <v>21.865417311154513</v>
      </c>
      <c r="D200" t="str">
        <f t="shared" si="3"/>
        <v>W</v>
      </c>
    </row>
    <row r="201" spans="1:4" x14ac:dyDescent="0.25">
      <c r="A201">
        <v>200</v>
      </c>
      <c r="B201">
        <f>DallasSim!I201</f>
        <v>43.170209844592343</v>
      </c>
      <c r="C201">
        <f>BostonSim!I201</f>
        <v>28.141715705925911</v>
      </c>
      <c r="D201" t="str">
        <f t="shared" si="3"/>
        <v>W</v>
      </c>
    </row>
    <row r="202" spans="1:4" x14ac:dyDescent="0.25">
      <c r="A202">
        <v>201</v>
      </c>
      <c r="B202">
        <f>DallasSim!I202</f>
        <v>44.08650109497502</v>
      </c>
      <c r="C202">
        <f>BostonSim!I202</f>
        <v>30.786987837314019</v>
      </c>
      <c r="D202" t="str">
        <f t="shared" si="3"/>
        <v>W</v>
      </c>
    </row>
    <row r="203" spans="1:4" x14ac:dyDescent="0.25">
      <c r="A203">
        <v>202</v>
      </c>
      <c r="B203">
        <f>DallasSim!I203</f>
        <v>28.539425075711065</v>
      </c>
      <c r="C203">
        <f>BostonSim!I203</f>
        <v>28.003565829813837</v>
      </c>
      <c r="D203" t="str">
        <f t="shared" si="3"/>
        <v>W</v>
      </c>
    </row>
    <row r="204" spans="1:4" x14ac:dyDescent="0.25">
      <c r="A204">
        <v>203</v>
      </c>
      <c r="B204">
        <f>DallasSim!I204</f>
        <v>30.756455907459788</v>
      </c>
      <c r="C204">
        <f>BostonSim!I204</f>
        <v>27.852873553153817</v>
      </c>
      <c r="D204" t="str">
        <f t="shared" si="3"/>
        <v>W</v>
      </c>
    </row>
    <row r="205" spans="1:4" x14ac:dyDescent="0.25">
      <c r="A205">
        <v>204</v>
      </c>
      <c r="B205">
        <f>DallasSim!I205</f>
        <v>45.961295384929912</v>
      </c>
      <c r="C205">
        <f>BostonSim!I205</f>
        <v>22.526675262786313</v>
      </c>
      <c r="D205" t="str">
        <f t="shared" si="3"/>
        <v>W</v>
      </c>
    </row>
    <row r="206" spans="1:4" x14ac:dyDescent="0.25">
      <c r="A206">
        <v>205</v>
      </c>
      <c r="B206">
        <f>DallasSim!I206</f>
        <v>44.78361646073256</v>
      </c>
      <c r="C206">
        <f>BostonSim!I206</f>
        <v>26.363340716852679</v>
      </c>
      <c r="D206" t="str">
        <f t="shared" si="3"/>
        <v>W</v>
      </c>
    </row>
    <row r="207" spans="1:4" x14ac:dyDescent="0.25">
      <c r="A207">
        <v>206</v>
      </c>
      <c r="B207">
        <f>DallasSim!I207</f>
        <v>50.441003722935434</v>
      </c>
      <c r="C207">
        <f>BostonSim!I207</f>
        <v>28.761947460753948</v>
      </c>
      <c r="D207" t="str">
        <f t="shared" si="3"/>
        <v>W</v>
      </c>
    </row>
    <row r="208" spans="1:4" x14ac:dyDescent="0.25">
      <c r="A208">
        <v>207</v>
      </c>
      <c r="B208">
        <f>DallasSim!I208</f>
        <v>44.20011872964875</v>
      </c>
      <c r="C208">
        <f>BostonSim!I208</f>
        <v>30.841925482108742</v>
      </c>
      <c r="D208" t="str">
        <f t="shared" si="3"/>
        <v>W</v>
      </c>
    </row>
    <row r="209" spans="1:4" x14ac:dyDescent="0.25">
      <c r="A209">
        <v>208</v>
      </c>
      <c r="B209">
        <f>DallasSim!I209</f>
        <v>44.079047597656121</v>
      </c>
      <c r="C209">
        <f>BostonSim!I209</f>
        <v>30.261269226454019</v>
      </c>
      <c r="D209" t="str">
        <f t="shared" si="3"/>
        <v>W</v>
      </c>
    </row>
    <row r="210" spans="1:4" x14ac:dyDescent="0.25">
      <c r="A210">
        <v>209</v>
      </c>
      <c r="B210">
        <f>DallasSim!I210</f>
        <v>44.761194823710163</v>
      </c>
      <c r="C210">
        <f>BostonSim!I210</f>
        <v>29.805594220709253</v>
      </c>
      <c r="D210" t="str">
        <f t="shared" si="3"/>
        <v>W</v>
      </c>
    </row>
    <row r="211" spans="1:4" x14ac:dyDescent="0.25">
      <c r="A211">
        <v>210</v>
      </c>
      <c r="B211">
        <f>DallasSim!I211</f>
        <v>49.760214975859654</v>
      </c>
      <c r="C211">
        <f>BostonSim!I211</f>
        <v>27.268843994876999</v>
      </c>
      <c r="D211" t="str">
        <f t="shared" si="3"/>
        <v>W</v>
      </c>
    </row>
    <row r="212" spans="1:4" x14ac:dyDescent="0.25">
      <c r="A212">
        <v>211</v>
      </c>
      <c r="B212">
        <f>DallasSim!I212</f>
        <v>49.039274255859048</v>
      </c>
      <c r="C212">
        <f>BostonSim!I212</f>
        <v>22.081796564647195</v>
      </c>
      <c r="D212" t="str">
        <f t="shared" si="3"/>
        <v>W</v>
      </c>
    </row>
    <row r="213" spans="1:4" x14ac:dyDescent="0.25">
      <c r="A213">
        <v>212</v>
      </c>
      <c r="B213">
        <f>DallasSim!I213</f>
        <v>44.730176888523587</v>
      </c>
      <c r="C213">
        <f>BostonSim!I213</f>
        <v>26.425722209667992</v>
      </c>
      <c r="D213" t="str">
        <f t="shared" si="3"/>
        <v>W</v>
      </c>
    </row>
    <row r="214" spans="1:4" x14ac:dyDescent="0.25">
      <c r="A214">
        <v>213</v>
      </c>
      <c r="B214">
        <f>DallasSim!I214</f>
        <v>44.084854590974565</v>
      </c>
      <c r="C214">
        <f>BostonSim!I214</f>
        <v>25.841790710948178</v>
      </c>
      <c r="D214" t="str">
        <f t="shared" si="3"/>
        <v>W</v>
      </c>
    </row>
    <row r="215" spans="1:4" x14ac:dyDescent="0.25">
      <c r="A215">
        <v>214</v>
      </c>
      <c r="B215">
        <f>DallasSim!I215</f>
        <v>45.248165229802545</v>
      </c>
      <c r="C215">
        <f>BostonSim!I215</f>
        <v>30.39176061770404</v>
      </c>
      <c r="D215" t="str">
        <f t="shared" si="3"/>
        <v>W</v>
      </c>
    </row>
    <row r="216" spans="1:4" x14ac:dyDescent="0.25">
      <c r="A216">
        <v>215</v>
      </c>
      <c r="B216">
        <f>DallasSim!I216</f>
        <v>47.804640004018928</v>
      </c>
      <c r="C216">
        <f>BostonSim!I216</f>
        <v>30.704895726548148</v>
      </c>
      <c r="D216" t="str">
        <f t="shared" si="3"/>
        <v>W</v>
      </c>
    </row>
    <row r="217" spans="1:4" x14ac:dyDescent="0.25">
      <c r="A217">
        <v>216</v>
      </c>
      <c r="B217">
        <f>DallasSim!I217</f>
        <v>32.969859131309448</v>
      </c>
      <c r="C217">
        <f>BostonSim!I217</f>
        <v>22.257951370333213</v>
      </c>
      <c r="D217" t="str">
        <f t="shared" si="3"/>
        <v>W</v>
      </c>
    </row>
    <row r="218" spans="1:4" x14ac:dyDescent="0.25">
      <c r="A218">
        <v>217</v>
      </c>
      <c r="B218">
        <f>DallasSim!I218</f>
        <v>44.883671515143007</v>
      </c>
      <c r="C218">
        <f>BostonSim!I218</f>
        <v>29.805667745486847</v>
      </c>
      <c r="D218" t="str">
        <f t="shared" si="3"/>
        <v>W</v>
      </c>
    </row>
    <row r="219" spans="1:4" x14ac:dyDescent="0.25">
      <c r="A219">
        <v>218</v>
      </c>
      <c r="B219">
        <f>DallasSim!I219</f>
        <v>51.718444485274482</v>
      </c>
      <c r="C219">
        <f>BostonSim!I219</f>
        <v>25.102239666974292</v>
      </c>
      <c r="D219" t="str">
        <f t="shared" si="3"/>
        <v>W</v>
      </c>
    </row>
    <row r="220" spans="1:4" x14ac:dyDescent="0.25">
      <c r="A220">
        <v>219</v>
      </c>
      <c r="B220">
        <f>DallasSim!I220</f>
        <v>50.223473267115992</v>
      </c>
      <c r="C220">
        <f>BostonSim!I220</f>
        <v>29.965154286074235</v>
      </c>
      <c r="D220" t="str">
        <f t="shared" si="3"/>
        <v>W</v>
      </c>
    </row>
    <row r="221" spans="1:4" x14ac:dyDescent="0.25">
      <c r="A221">
        <v>220</v>
      </c>
      <c r="B221">
        <f>DallasSim!I221</f>
        <v>45.657870041769769</v>
      </c>
      <c r="C221">
        <f>BostonSim!I221</f>
        <v>30.549067533691819</v>
      </c>
      <c r="D221" t="str">
        <f t="shared" si="3"/>
        <v>W</v>
      </c>
    </row>
    <row r="222" spans="1:4" x14ac:dyDescent="0.25">
      <c r="A222">
        <v>221</v>
      </c>
      <c r="B222">
        <f>DallasSim!I222</f>
        <v>50.140350743314542</v>
      </c>
      <c r="C222">
        <f>BostonSim!I222</f>
        <v>30.241229202472987</v>
      </c>
      <c r="D222" t="str">
        <f t="shared" si="3"/>
        <v>W</v>
      </c>
    </row>
    <row r="223" spans="1:4" x14ac:dyDescent="0.25">
      <c r="A223">
        <v>222</v>
      </c>
      <c r="B223">
        <f>DallasSim!I223</f>
        <v>47.826027666443096</v>
      </c>
      <c r="C223">
        <f>BostonSim!I223</f>
        <v>23.781940123700387</v>
      </c>
      <c r="D223" t="str">
        <f t="shared" si="3"/>
        <v>W</v>
      </c>
    </row>
    <row r="224" spans="1:4" x14ac:dyDescent="0.25">
      <c r="A224">
        <v>223</v>
      </c>
      <c r="B224">
        <f>DallasSim!I224</f>
        <v>42.205633191135036</v>
      </c>
      <c r="C224">
        <f>BostonSim!I224</f>
        <v>21.961441292902496</v>
      </c>
      <c r="D224" t="str">
        <f t="shared" si="3"/>
        <v>W</v>
      </c>
    </row>
    <row r="225" spans="1:4" x14ac:dyDescent="0.25">
      <c r="A225">
        <v>224</v>
      </c>
      <c r="B225">
        <f>DallasSim!I225</f>
        <v>37.175308437602894</v>
      </c>
      <c r="C225">
        <f>BostonSim!I225</f>
        <v>24.451272539553315</v>
      </c>
      <c r="D225" t="str">
        <f t="shared" si="3"/>
        <v>W</v>
      </c>
    </row>
    <row r="226" spans="1:4" x14ac:dyDescent="0.25">
      <c r="A226">
        <v>225</v>
      </c>
      <c r="B226">
        <f>DallasSim!I226</f>
        <v>50.14948896489561</v>
      </c>
      <c r="C226">
        <f>BostonSim!I226</f>
        <v>25.743546111179686</v>
      </c>
      <c r="D226" t="str">
        <f t="shared" si="3"/>
        <v>W</v>
      </c>
    </row>
    <row r="227" spans="1:4" x14ac:dyDescent="0.25">
      <c r="A227">
        <v>226</v>
      </c>
      <c r="B227">
        <f>DallasSim!I227</f>
        <v>51.121998130736714</v>
      </c>
      <c r="C227">
        <f>BostonSim!I227</f>
        <v>25.440772069210965</v>
      </c>
      <c r="D227" t="str">
        <f t="shared" si="3"/>
        <v>W</v>
      </c>
    </row>
    <row r="228" spans="1:4" x14ac:dyDescent="0.25">
      <c r="A228">
        <v>227</v>
      </c>
      <c r="B228">
        <f>DallasSim!I228</f>
        <v>48.776204276500955</v>
      </c>
      <c r="C228">
        <f>BostonSim!I228</f>
        <v>28.977313380702952</v>
      </c>
      <c r="D228" t="str">
        <f t="shared" si="3"/>
        <v>W</v>
      </c>
    </row>
    <row r="229" spans="1:4" x14ac:dyDescent="0.25">
      <c r="A229">
        <v>228</v>
      </c>
      <c r="B229">
        <f>DallasSim!I229</f>
        <v>49.783831040341298</v>
      </c>
      <c r="C229">
        <f>BostonSim!I229</f>
        <v>21.281730355824909</v>
      </c>
      <c r="D229" t="str">
        <f t="shared" si="3"/>
        <v>W</v>
      </c>
    </row>
    <row r="230" spans="1:4" x14ac:dyDescent="0.25">
      <c r="A230">
        <v>229</v>
      </c>
      <c r="B230">
        <f>DallasSim!I230</f>
        <v>45.396064788271687</v>
      </c>
      <c r="C230">
        <f>BostonSim!I230</f>
        <v>26.790936469359306</v>
      </c>
      <c r="D230" t="str">
        <f t="shared" si="3"/>
        <v>W</v>
      </c>
    </row>
    <row r="231" spans="1:4" x14ac:dyDescent="0.25">
      <c r="A231">
        <v>230</v>
      </c>
      <c r="B231">
        <f>DallasSim!I231</f>
        <v>34.657831192776186</v>
      </c>
      <c r="C231">
        <f>BostonSim!I231</f>
        <v>25.440605070560842</v>
      </c>
      <c r="D231" t="str">
        <f t="shared" si="3"/>
        <v>W</v>
      </c>
    </row>
    <row r="232" spans="1:4" x14ac:dyDescent="0.25">
      <c r="A232">
        <v>231</v>
      </c>
      <c r="B232">
        <f>DallasSim!I232</f>
        <v>47.631998206572575</v>
      </c>
      <c r="C232">
        <f>BostonSim!I232</f>
        <v>21.681069437037259</v>
      </c>
      <c r="D232" t="str">
        <f t="shared" si="3"/>
        <v>W</v>
      </c>
    </row>
    <row r="233" spans="1:4" x14ac:dyDescent="0.25">
      <c r="A233">
        <v>232</v>
      </c>
      <c r="B233">
        <f>DallasSim!I233</f>
        <v>48.996311225252285</v>
      </c>
      <c r="C233">
        <f>BostonSim!I233</f>
        <v>26.848006224669842</v>
      </c>
      <c r="D233" t="str">
        <f t="shared" si="3"/>
        <v>W</v>
      </c>
    </row>
    <row r="234" spans="1:4" x14ac:dyDescent="0.25">
      <c r="A234">
        <v>233</v>
      </c>
      <c r="B234">
        <f>DallasSim!I234</f>
        <v>42.631036918103298</v>
      </c>
      <c r="C234">
        <f>BostonSim!I234</f>
        <v>26.622209703360113</v>
      </c>
      <c r="D234" t="str">
        <f t="shared" si="3"/>
        <v>W</v>
      </c>
    </row>
    <row r="235" spans="1:4" x14ac:dyDescent="0.25">
      <c r="A235">
        <v>234</v>
      </c>
      <c r="B235">
        <f>DallasSim!I235</f>
        <v>29.008351118855892</v>
      </c>
      <c r="C235">
        <f>BostonSim!I235</f>
        <v>30.13190503741901</v>
      </c>
      <c r="D235" t="str">
        <f t="shared" si="3"/>
        <v>L</v>
      </c>
    </row>
    <row r="236" spans="1:4" x14ac:dyDescent="0.25">
      <c r="A236">
        <v>235</v>
      </c>
      <c r="B236">
        <f>DallasSim!I236</f>
        <v>42.968142414926163</v>
      </c>
      <c r="C236">
        <f>BostonSim!I236</f>
        <v>22.936448418274864</v>
      </c>
      <c r="D236" t="str">
        <f t="shared" si="3"/>
        <v>W</v>
      </c>
    </row>
    <row r="237" spans="1:4" x14ac:dyDescent="0.25">
      <c r="A237">
        <v>236</v>
      </c>
      <c r="B237">
        <f>DallasSim!I237</f>
        <v>49.479222029612671</v>
      </c>
      <c r="C237">
        <f>BostonSim!I237</f>
        <v>22.814639187183236</v>
      </c>
      <c r="D237" t="str">
        <f t="shared" si="3"/>
        <v>W</v>
      </c>
    </row>
    <row r="238" spans="1:4" x14ac:dyDescent="0.25">
      <c r="A238">
        <v>237</v>
      </c>
      <c r="B238">
        <f>DallasSim!I238</f>
        <v>47.655965096917761</v>
      </c>
      <c r="C238">
        <f>BostonSim!I238</f>
        <v>31.031947705019601</v>
      </c>
      <c r="D238" t="str">
        <f t="shared" si="3"/>
        <v>W</v>
      </c>
    </row>
    <row r="239" spans="1:4" x14ac:dyDescent="0.25">
      <c r="A239">
        <v>238</v>
      </c>
      <c r="B239">
        <f>DallasSim!I239</f>
        <v>44.641981382346117</v>
      </c>
      <c r="C239">
        <f>BostonSim!I239</f>
        <v>22.344950112005037</v>
      </c>
      <c r="D239" t="str">
        <f t="shared" si="3"/>
        <v>W</v>
      </c>
    </row>
    <row r="240" spans="1:4" x14ac:dyDescent="0.25">
      <c r="A240">
        <v>239</v>
      </c>
      <c r="B240">
        <f>DallasSim!I240</f>
        <v>47.324124346384465</v>
      </c>
      <c r="C240">
        <f>BostonSim!I240</f>
        <v>30.852631139456967</v>
      </c>
      <c r="D240" t="str">
        <f t="shared" si="3"/>
        <v>W</v>
      </c>
    </row>
    <row r="241" spans="1:4" x14ac:dyDescent="0.25">
      <c r="A241">
        <v>240</v>
      </c>
      <c r="B241">
        <f>DallasSim!I241</f>
        <v>37.407677761845008</v>
      </c>
      <c r="C241">
        <f>BostonSim!I241</f>
        <v>25.150657752629641</v>
      </c>
      <c r="D241" t="str">
        <f t="shared" si="3"/>
        <v>W</v>
      </c>
    </row>
    <row r="242" spans="1:4" x14ac:dyDescent="0.25">
      <c r="A242">
        <v>241</v>
      </c>
      <c r="B242">
        <f>DallasSim!I242</f>
        <v>50.177883708213095</v>
      </c>
      <c r="C242">
        <f>BostonSim!I242</f>
        <v>26.897893724059944</v>
      </c>
      <c r="D242" t="str">
        <f t="shared" si="3"/>
        <v>W</v>
      </c>
    </row>
    <row r="243" spans="1:4" x14ac:dyDescent="0.25">
      <c r="A243">
        <v>242</v>
      </c>
      <c r="B243">
        <f>DallasSim!I243</f>
        <v>48.135028032277795</v>
      </c>
      <c r="C243">
        <f>BostonSim!I243</f>
        <v>24.891812922110585</v>
      </c>
      <c r="D243" t="str">
        <f t="shared" si="3"/>
        <v>W</v>
      </c>
    </row>
    <row r="244" spans="1:4" x14ac:dyDescent="0.25">
      <c r="A244">
        <v>243</v>
      </c>
      <c r="B244">
        <f>DallasSim!I244</f>
        <v>45.060854495481031</v>
      </c>
      <c r="C244">
        <f>BostonSim!I244</f>
        <v>30.587909178213344</v>
      </c>
      <c r="D244" t="str">
        <f t="shared" si="3"/>
        <v>W</v>
      </c>
    </row>
    <row r="245" spans="1:4" x14ac:dyDescent="0.25">
      <c r="A245">
        <v>244</v>
      </c>
      <c r="B245">
        <f>DallasSim!I245</f>
        <v>33.866383306606849</v>
      </c>
      <c r="C245">
        <f>BostonSim!I245</f>
        <v>30.873525667186467</v>
      </c>
      <c r="D245" t="str">
        <f t="shared" si="3"/>
        <v>W</v>
      </c>
    </row>
    <row r="246" spans="1:4" x14ac:dyDescent="0.25">
      <c r="A246">
        <v>245</v>
      </c>
      <c r="B246">
        <f>DallasSim!I246</f>
        <v>40.259051586635252</v>
      </c>
      <c r="C246">
        <f>BostonSim!I246</f>
        <v>25.316933409787627</v>
      </c>
      <c r="D246" t="str">
        <f t="shared" si="3"/>
        <v>W</v>
      </c>
    </row>
    <row r="247" spans="1:4" x14ac:dyDescent="0.25">
      <c r="A247">
        <v>246</v>
      </c>
      <c r="B247">
        <f>DallasSim!I247</f>
        <v>43.487376395509237</v>
      </c>
      <c r="C247">
        <f>BostonSim!I247</f>
        <v>26.475144666195852</v>
      </c>
      <c r="D247" t="str">
        <f t="shared" si="3"/>
        <v>W</v>
      </c>
    </row>
    <row r="248" spans="1:4" x14ac:dyDescent="0.25">
      <c r="A248">
        <v>247</v>
      </c>
      <c r="B248">
        <f>DallasSim!I248</f>
        <v>45.517375562228963</v>
      </c>
      <c r="C248">
        <f>BostonSim!I248</f>
        <v>24.111744018144883</v>
      </c>
      <c r="D248" t="str">
        <f t="shared" si="3"/>
        <v>W</v>
      </c>
    </row>
    <row r="249" spans="1:4" x14ac:dyDescent="0.25">
      <c r="A249">
        <v>248</v>
      </c>
      <c r="B249">
        <f>DallasSim!I249</f>
        <v>50.337033223282646</v>
      </c>
      <c r="C249">
        <f>BostonSim!I249</f>
        <v>24.097111073808755</v>
      </c>
      <c r="D249" t="str">
        <f t="shared" si="3"/>
        <v>W</v>
      </c>
    </row>
    <row r="250" spans="1:4" x14ac:dyDescent="0.25">
      <c r="A250">
        <v>249</v>
      </c>
      <c r="B250">
        <f>DallasSim!I250</f>
        <v>46.938182156452584</v>
      </c>
      <c r="C250">
        <f>BostonSim!I250</f>
        <v>23.102557807173387</v>
      </c>
      <c r="D250" t="str">
        <f t="shared" si="3"/>
        <v>W</v>
      </c>
    </row>
    <row r="251" spans="1:4" x14ac:dyDescent="0.25">
      <c r="A251">
        <v>250</v>
      </c>
      <c r="B251">
        <f>DallasSim!I251</f>
        <v>44.883951210809101</v>
      </c>
      <c r="C251">
        <f>BostonSim!I251</f>
        <v>16.270563509153849</v>
      </c>
      <c r="D251" t="str">
        <f t="shared" si="3"/>
        <v>W</v>
      </c>
    </row>
    <row r="252" spans="1:4" x14ac:dyDescent="0.25">
      <c r="A252">
        <v>251</v>
      </c>
      <c r="B252">
        <f>DallasSim!I252</f>
        <v>39.00762114439712</v>
      </c>
      <c r="C252">
        <f>BostonSim!I252</f>
        <v>24.870657380533991</v>
      </c>
      <c r="D252" t="str">
        <f t="shared" si="3"/>
        <v>W</v>
      </c>
    </row>
    <row r="253" spans="1:4" x14ac:dyDescent="0.25">
      <c r="A253">
        <v>252</v>
      </c>
      <c r="B253">
        <f>DallasSim!I253</f>
        <v>40.135012823075044</v>
      </c>
      <c r="C253">
        <f>BostonSim!I253</f>
        <v>26.883442531500965</v>
      </c>
      <c r="D253" t="str">
        <f t="shared" si="3"/>
        <v>W</v>
      </c>
    </row>
    <row r="254" spans="1:4" x14ac:dyDescent="0.25">
      <c r="A254">
        <v>253</v>
      </c>
      <c r="B254">
        <f>DallasSim!I254</f>
        <v>47.982397505089104</v>
      </c>
      <c r="C254">
        <f>BostonSim!I254</f>
        <v>26.50727510213764</v>
      </c>
      <c r="D254" t="str">
        <f t="shared" si="3"/>
        <v>W</v>
      </c>
    </row>
    <row r="255" spans="1:4" x14ac:dyDescent="0.25">
      <c r="A255">
        <v>254</v>
      </c>
      <c r="B255">
        <f>DallasSim!I255</f>
        <v>42.75850367527871</v>
      </c>
      <c r="C255">
        <f>BostonSim!I255</f>
        <v>21.758337952000147</v>
      </c>
      <c r="D255" t="str">
        <f t="shared" si="3"/>
        <v>W</v>
      </c>
    </row>
    <row r="256" spans="1:4" x14ac:dyDescent="0.25">
      <c r="A256">
        <v>255</v>
      </c>
      <c r="B256">
        <f>DallasSim!I256</f>
        <v>51.682283138931453</v>
      </c>
      <c r="C256">
        <f>BostonSim!I256</f>
        <v>29.083934449253089</v>
      </c>
      <c r="D256" t="str">
        <f t="shared" si="3"/>
        <v>W</v>
      </c>
    </row>
    <row r="257" spans="1:4" x14ac:dyDescent="0.25">
      <c r="A257">
        <v>256</v>
      </c>
      <c r="B257">
        <f>DallasSim!I257</f>
        <v>48.420150797130844</v>
      </c>
      <c r="C257">
        <f>BostonSim!I257</f>
        <v>31.189289368189318</v>
      </c>
      <c r="D257" t="str">
        <f t="shared" si="3"/>
        <v>W</v>
      </c>
    </row>
    <row r="258" spans="1:4" x14ac:dyDescent="0.25">
      <c r="A258">
        <v>257</v>
      </c>
      <c r="B258">
        <f>DallasSim!I258</f>
        <v>40.181332501149114</v>
      </c>
      <c r="C258">
        <f>BostonSim!I258</f>
        <v>23.14917364558811</v>
      </c>
      <c r="D258" t="str">
        <f t="shared" si="3"/>
        <v>W</v>
      </c>
    </row>
    <row r="259" spans="1:4" x14ac:dyDescent="0.25">
      <c r="A259">
        <v>258</v>
      </c>
      <c r="B259">
        <f>DallasSim!I259</f>
        <v>48.552279610463152</v>
      </c>
      <c r="C259">
        <f>BostonSim!I259</f>
        <v>25.911552200591917</v>
      </c>
      <c r="D259" t="str">
        <f t="shared" ref="D259:D322" si="4">IF(B259&gt;C259,"W",IF(B259&lt;C259,"L","T"))</f>
        <v>W</v>
      </c>
    </row>
    <row r="260" spans="1:4" x14ac:dyDescent="0.25">
      <c r="A260">
        <v>259</v>
      </c>
      <c r="B260">
        <f>DallasSim!I260</f>
        <v>49.789017639344095</v>
      </c>
      <c r="C260">
        <f>BostonSim!I260</f>
        <v>19.952121602244659</v>
      </c>
      <c r="D260" t="str">
        <f t="shared" si="4"/>
        <v>W</v>
      </c>
    </row>
    <row r="261" spans="1:4" x14ac:dyDescent="0.25">
      <c r="A261">
        <v>260</v>
      </c>
      <c r="B261">
        <f>DallasSim!I261</f>
        <v>48.770519352945733</v>
      </c>
      <c r="C261">
        <f>BostonSim!I261</f>
        <v>29.593612718788879</v>
      </c>
      <c r="D261" t="str">
        <f t="shared" si="4"/>
        <v>W</v>
      </c>
    </row>
    <row r="262" spans="1:4" x14ac:dyDescent="0.25">
      <c r="A262">
        <v>261</v>
      </c>
      <c r="B262">
        <f>DallasSim!I262</f>
        <v>38.78509893889418</v>
      </c>
      <c r="C262">
        <f>BostonSim!I262</f>
        <v>29.280616318953317</v>
      </c>
      <c r="D262" t="str">
        <f t="shared" si="4"/>
        <v>W</v>
      </c>
    </row>
    <row r="263" spans="1:4" x14ac:dyDescent="0.25">
      <c r="A263">
        <v>262</v>
      </c>
      <c r="B263">
        <f>DallasSim!I263</f>
        <v>49.321519707295984</v>
      </c>
      <c r="C263">
        <f>BostonSim!I263</f>
        <v>30.611989839994443</v>
      </c>
      <c r="D263" t="str">
        <f t="shared" si="4"/>
        <v>W</v>
      </c>
    </row>
    <row r="264" spans="1:4" x14ac:dyDescent="0.25">
      <c r="A264">
        <v>263</v>
      </c>
      <c r="B264">
        <f>DallasSim!I264</f>
        <v>50.497985296038145</v>
      </c>
      <c r="C264">
        <f>BostonSim!I264</f>
        <v>30.212407726524976</v>
      </c>
      <c r="D264" t="str">
        <f t="shared" si="4"/>
        <v>W</v>
      </c>
    </row>
    <row r="265" spans="1:4" x14ac:dyDescent="0.25">
      <c r="A265">
        <v>264</v>
      </c>
      <c r="B265">
        <f>DallasSim!I265</f>
        <v>49.899239768391404</v>
      </c>
      <c r="C265">
        <f>BostonSim!I265</f>
        <v>19.722301036719603</v>
      </c>
      <c r="D265" t="str">
        <f t="shared" si="4"/>
        <v>W</v>
      </c>
    </row>
    <row r="266" spans="1:4" x14ac:dyDescent="0.25">
      <c r="A266">
        <v>265</v>
      </c>
      <c r="B266">
        <f>DallasSim!I266</f>
        <v>48.303742678131677</v>
      </c>
      <c r="C266">
        <f>BostonSim!I266</f>
        <v>25.645735907170128</v>
      </c>
      <c r="D266" t="str">
        <f t="shared" si="4"/>
        <v>W</v>
      </c>
    </row>
    <row r="267" spans="1:4" x14ac:dyDescent="0.25">
      <c r="A267">
        <v>266</v>
      </c>
      <c r="B267">
        <f>DallasSim!I267</f>
        <v>34.472163641591891</v>
      </c>
      <c r="C267">
        <f>BostonSim!I267</f>
        <v>27.645329438623193</v>
      </c>
      <c r="D267" t="str">
        <f t="shared" si="4"/>
        <v>W</v>
      </c>
    </row>
    <row r="268" spans="1:4" x14ac:dyDescent="0.25">
      <c r="A268">
        <v>267</v>
      </c>
      <c r="B268">
        <f>DallasSim!I268</f>
        <v>48.645658926390126</v>
      </c>
      <c r="C268">
        <f>BostonSim!I268</f>
        <v>31.148990473827919</v>
      </c>
      <c r="D268" t="str">
        <f t="shared" si="4"/>
        <v>W</v>
      </c>
    </row>
    <row r="269" spans="1:4" x14ac:dyDescent="0.25">
      <c r="A269">
        <v>268</v>
      </c>
      <c r="B269">
        <f>DallasSim!I269</f>
        <v>50.212822684061663</v>
      </c>
      <c r="C269">
        <f>BostonSim!I269</f>
        <v>28.526406612436098</v>
      </c>
      <c r="D269" t="str">
        <f t="shared" si="4"/>
        <v>W</v>
      </c>
    </row>
    <row r="270" spans="1:4" x14ac:dyDescent="0.25">
      <c r="A270">
        <v>269</v>
      </c>
      <c r="B270">
        <f>DallasSim!I270</f>
        <v>44.688789482548977</v>
      </c>
      <c r="C270">
        <f>BostonSim!I270</f>
        <v>27.178981228025634</v>
      </c>
      <c r="D270" t="str">
        <f t="shared" si="4"/>
        <v>W</v>
      </c>
    </row>
    <row r="271" spans="1:4" x14ac:dyDescent="0.25">
      <c r="A271">
        <v>270</v>
      </c>
      <c r="B271">
        <f>DallasSim!I271</f>
        <v>36.744447633989083</v>
      </c>
      <c r="C271">
        <f>BostonSim!I271</f>
        <v>26.64820852686065</v>
      </c>
      <c r="D271" t="str">
        <f t="shared" si="4"/>
        <v>W</v>
      </c>
    </row>
    <row r="272" spans="1:4" x14ac:dyDescent="0.25">
      <c r="A272">
        <v>271</v>
      </c>
      <c r="B272">
        <f>DallasSim!I272</f>
        <v>34.628289730597885</v>
      </c>
      <c r="C272">
        <f>BostonSim!I272</f>
        <v>30.020340474753855</v>
      </c>
      <c r="D272" t="str">
        <f t="shared" si="4"/>
        <v>W</v>
      </c>
    </row>
    <row r="273" spans="1:4" x14ac:dyDescent="0.25">
      <c r="A273">
        <v>272</v>
      </c>
      <c r="B273">
        <f>DallasSim!I273</f>
        <v>52.299448435847481</v>
      </c>
      <c r="C273">
        <f>BostonSim!I273</f>
        <v>30.146376940140595</v>
      </c>
      <c r="D273" t="str">
        <f t="shared" si="4"/>
        <v>W</v>
      </c>
    </row>
    <row r="274" spans="1:4" x14ac:dyDescent="0.25">
      <c r="A274">
        <v>273</v>
      </c>
      <c r="B274">
        <f>DallasSim!I274</f>
        <v>34.964080378522937</v>
      </c>
      <c r="C274">
        <f>BostonSim!I274</f>
        <v>27.055851484845409</v>
      </c>
      <c r="D274" t="str">
        <f t="shared" si="4"/>
        <v>W</v>
      </c>
    </row>
    <row r="275" spans="1:4" x14ac:dyDescent="0.25">
      <c r="A275">
        <v>274</v>
      </c>
      <c r="B275">
        <f>DallasSim!I275</f>
        <v>47.556428267360772</v>
      </c>
      <c r="C275">
        <f>BostonSim!I275</f>
        <v>21.689498369294522</v>
      </c>
      <c r="D275" t="str">
        <f t="shared" si="4"/>
        <v>W</v>
      </c>
    </row>
    <row r="276" spans="1:4" x14ac:dyDescent="0.25">
      <c r="A276">
        <v>275</v>
      </c>
      <c r="B276">
        <f>DallasSim!I276</f>
        <v>49.178139627577067</v>
      </c>
      <c r="C276">
        <f>BostonSim!I276</f>
        <v>20.634688120866045</v>
      </c>
      <c r="D276" t="str">
        <f t="shared" si="4"/>
        <v>W</v>
      </c>
    </row>
    <row r="277" spans="1:4" x14ac:dyDescent="0.25">
      <c r="A277">
        <v>276</v>
      </c>
      <c r="B277">
        <f>DallasSim!I277</f>
        <v>40.485798223734349</v>
      </c>
      <c r="C277">
        <f>BostonSim!I277</f>
        <v>32.002761919530222</v>
      </c>
      <c r="D277" t="str">
        <f t="shared" si="4"/>
        <v>W</v>
      </c>
    </row>
    <row r="278" spans="1:4" x14ac:dyDescent="0.25">
      <c r="A278">
        <v>277</v>
      </c>
      <c r="B278">
        <f>DallasSim!I278</f>
        <v>45.448152766076319</v>
      </c>
      <c r="C278">
        <f>BostonSim!I278</f>
        <v>23.42094821722441</v>
      </c>
      <c r="D278" t="str">
        <f t="shared" si="4"/>
        <v>W</v>
      </c>
    </row>
    <row r="279" spans="1:4" x14ac:dyDescent="0.25">
      <c r="A279">
        <v>278</v>
      </c>
      <c r="B279">
        <f>DallasSim!I279</f>
        <v>44.385247172317008</v>
      </c>
      <c r="C279">
        <f>BostonSim!I279</f>
        <v>25.583806344299042</v>
      </c>
      <c r="D279" t="str">
        <f t="shared" si="4"/>
        <v>W</v>
      </c>
    </row>
    <row r="280" spans="1:4" x14ac:dyDescent="0.25">
      <c r="A280">
        <v>279</v>
      </c>
      <c r="B280">
        <f>DallasSim!I280</f>
        <v>42.587359135307636</v>
      </c>
      <c r="C280">
        <f>BostonSim!I280</f>
        <v>23.27918868680111</v>
      </c>
      <c r="D280" t="str">
        <f t="shared" si="4"/>
        <v>W</v>
      </c>
    </row>
    <row r="281" spans="1:4" x14ac:dyDescent="0.25">
      <c r="A281">
        <v>280</v>
      </c>
      <c r="B281">
        <f>DallasSim!I281</f>
        <v>48.973884243025381</v>
      </c>
      <c r="C281">
        <f>BostonSim!I281</f>
        <v>25.442829745966556</v>
      </c>
      <c r="D281" t="str">
        <f t="shared" si="4"/>
        <v>W</v>
      </c>
    </row>
    <row r="282" spans="1:4" x14ac:dyDescent="0.25">
      <c r="A282">
        <v>281</v>
      </c>
      <c r="B282">
        <f>DallasSim!I282</f>
        <v>43.147930462035291</v>
      </c>
      <c r="C282">
        <f>BostonSim!I282</f>
        <v>16.261070789438691</v>
      </c>
      <c r="D282" t="str">
        <f t="shared" si="4"/>
        <v>W</v>
      </c>
    </row>
    <row r="283" spans="1:4" x14ac:dyDescent="0.25">
      <c r="A283">
        <v>282</v>
      </c>
      <c r="B283">
        <f>DallasSim!I283</f>
        <v>49.386622236261594</v>
      </c>
      <c r="C283">
        <f>BostonSim!I283</f>
        <v>29.21009174978709</v>
      </c>
      <c r="D283" t="str">
        <f t="shared" si="4"/>
        <v>W</v>
      </c>
    </row>
    <row r="284" spans="1:4" x14ac:dyDescent="0.25">
      <c r="A284">
        <v>283</v>
      </c>
      <c r="B284">
        <f>DallasSim!I284</f>
        <v>44.140190877269731</v>
      </c>
      <c r="C284">
        <f>BostonSim!I284</f>
        <v>23.769683304914132</v>
      </c>
      <c r="D284" t="str">
        <f t="shared" si="4"/>
        <v>W</v>
      </c>
    </row>
    <row r="285" spans="1:4" x14ac:dyDescent="0.25">
      <c r="A285">
        <v>284</v>
      </c>
      <c r="B285">
        <f>DallasSim!I285</f>
        <v>47.79823308948712</v>
      </c>
      <c r="C285">
        <f>BostonSim!I285</f>
        <v>29.837132290242668</v>
      </c>
      <c r="D285" t="str">
        <f t="shared" si="4"/>
        <v>W</v>
      </c>
    </row>
    <row r="286" spans="1:4" x14ac:dyDescent="0.25">
      <c r="A286">
        <v>285</v>
      </c>
      <c r="B286">
        <f>DallasSim!I286</f>
        <v>43.24733052844865</v>
      </c>
      <c r="C286">
        <f>BostonSim!I286</f>
        <v>24.582836023162965</v>
      </c>
      <c r="D286" t="str">
        <f t="shared" si="4"/>
        <v>W</v>
      </c>
    </row>
    <row r="287" spans="1:4" x14ac:dyDescent="0.25">
      <c r="A287">
        <v>286</v>
      </c>
      <c r="B287">
        <f>DallasSim!I287</f>
        <v>50.540667823965762</v>
      </c>
      <c r="C287">
        <f>BostonSim!I287</f>
        <v>19.791296036823116</v>
      </c>
      <c r="D287" t="str">
        <f t="shared" si="4"/>
        <v>W</v>
      </c>
    </row>
    <row r="288" spans="1:4" x14ac:dyDescent="0.25">
      <c r="A288">
        <v>287</v>
      </c>
      <c r="B288">
        <f>DallasSim!I288</f>
        <v>41.116261571345831</v>
      </c>
      <c r="C288">
        <f>BostonSim!I288</f>
        <v>24.892407080531562</v>
      </c>
      <c r="D288" t="str">
        <f t="shared" si="4"/>
        <v>W</v>
      </c>
    </row>
    <row r="289" spans="1:4" x14ac:dyDescent="0.25">
      <c r="A289">
        <v>288</v>
      </c>
      <c r="B289">
        <f>DallasSim!I289</f>
        <v>50.222786307117993</v>
      </c>
      <c r="C289">
        <f>BostonSim!I289</f>
        <v>30.734333775791047</v>
      </c>
      <c r="D289" t="str">
        <f t="shared" si="4"/>
        <v>W</v>
      </c>
    </row>
    <row r="290" spans="1:4" x14ac:dyDescent="0.25">
      <c r="A290">
        <v>289</v>
      </c>
      <c r="B290">
        <f>DallasSim!I290</f>
        <v>47.117835913746248</v>
      </c>
      <c r="C290">
        <f>BostonSim!I290</f>
        <v>25.979826515631085</v>
      </c>
      <c r="D290" t="str">
        <f t="shared" si="4"/>
        <v>W</v>
      </c>
    </row>
    <row r="291" spans="1:4" x14ac:dyDescent="0.25">
      <c r="A291">
        <v>290</v>
      </c>
      <c r="B291">
        <f>DallasSim!I291</f>
        <v>46.751901752066381</v>
      </c>
      <c r="C291">
        <f>BostonSim!I291</f>
        <v>31.451479217114723</v>
      </c>
      <c r="D291" t="str">
        <f t="shared" si="4"/>
        <v>W</v>
      </c>
    </row>
    <row r="292" spans="1:4" x14ac:dyDescent="0.25">
      <c r="A292">
        <v>291</v>
      </c>
      <c r="B292">
        <f>DallasSim!I292</f>
        <v>50.6883696813901</v>
      </c>
      <c r="C292">
        <f>BostonSim!I292</f>
        <v>30.413036571722788</v>
      </c>
      <c r="D292" t="str">
        <f t="shared" si="4"/>
        <v>W</v>
      </c>
    </row>
    <row r="293" spans="1:4" x14ac:dyDescent="0.25">
      <c r="A293">
        <v>292</v>
      </c>
      <c r="B293">
        <f>DallasSim!I293</f>
        <v>38.544970916893853</v>
      </c>
      <c r="C293">
        <f>BostonSim!I293</f>
        <v>31.126970194862704</v>
      </c>
      <c r="D293" t="str">
        <f t="shared" si="4"/>
        <v>W</v>
      </c>
    </row>
    <row r="294" spans="1:4" x14ac:dyDescent="0.25">
      <c r="A294">
        <v>293</v>
      </c>
      <c r="B294">
        <f>DallasSim!I294</f>
        <v>39.443146906745078</v>
      </c>
      <c r="C294">
        <f>BostonSim!I294</f>
        <v>31.151045905739462</v>
      </c>
      <c r="D294" t="str">
        <f t="shared" si="4"/>
        <v>W</v>
      </c>
    </row>
    <row r="295" spans="1:4" x14ac:dyDescent="0.25">
      <c r="A295">
        <v>294</v>
      </c>
      <c r="B295">
        <f>DallasSim!I295</f>
        <v>38.250995814205112</v>
      </c>
      <c r="C295">
        <f>BostonSim!I295</f>
        <v>21.794975784116534</v>
      </c>
      <c r="D295" t="str">
        <f t="shared" si="4"/>
        <v>W</v>
      </c>
    </row>
    <row r="296" spans="1:4" x14ac:dyDescent="0.25">
      <c r="A296">
        <v>295</v>
      </c>
      <c r="B296">
        <f>DallasSim!I296</f>
        <v>39.06884070329675</v>
      </c>
      <c r="C296">
        <f>BostonSim!I296</f>
        <v>24.81221614241095</v>
      </c>
      <c r="D296" t="str">
        <f t="shared" si="4"/>
        <v>W</v>
      </c>
    </row>
    <row r="297" spans="1:4" x14ac:dyDescent="0.25">
      <c r="A297">
        <v>296</v>
      </c>
      <c r="B297">
        <f>DallasSim!I297</f>
        <v>49.94395373711253</v>
      </c>
      <c r="C297">
        <f>BostonSim!I297</f>
        <v>30.249253318414731</v>
      </c>
      <c r="D297" t="str">
        <f t="shared" si="4"/>
        <v>W</v>
      </c>
    </row>
    <row r="298" spans="1:4" x14ac:dyDescent="0.25">
      <c r="A298">
        <v>297</v>
      </c>
      <c r="B298">
        <f>DallasSim!I298</f>
        <v>48.923410756472322</v>
      </c>
      <c r="C298">
        <f>BostonSim!I298</f>
        <v>28.487517001823218</v>
      </c>
      <c r="D298" t="str">
        <f t="shared" si="4"/>
        <v>W</v>
      </c>
    </row>
    <row r="299" spans="1:4" x14ac:dyDescent="0.25">
      <c r="A299">
        <v>298</v>
      </c>
      <c r="B299">
        <f>DallasSim!I299</f>
        <v>43.310190029301694</v>
      </c>
      <c r="C299">
        <f>BostonSim!I299</f>
        <v>24.362454663781726</v>
      </c>
      <c r="D299" t="str">
        <f t="shared" si="4"/>
        <v>W</v>
      </c>
    </row>
    <row r="300" spans="1:4" x14ac:dyDescent="0.25">
      <c r="A300">
        <v>299</v>
      </c>
      <c r="B300">
        <f>DallasSim!I300</f>
        <v>39.605105952407101</v>
      </c>
      <c r="C300">
        <f>BostonSim!I300</f>
        <v>30.29922283737535</v>
      </c>
      <c r="D300" t="str">
        <f t="shared" si="4"/>
        <v>W</v>
      </c>
    </row>
    <row r="301" spans="1:4" x14ac:dyDescent="0.25">
      <c r="A301">
        <v>300</v>
      </c>
      <c r="B301">
        <f>DallasSim!I301</f>
        <v>39.142958947028305</v>
      </c>
      <c r="C301">
        <f>BostonSim!I301</f>
        <v>30.46410453757121</v>
      </c>
      <c r="D301" t="str">
        <f t="shared" si="4"/>
        <v>W</v>
      </c>
    </row>
    <row r="302" spans="1:4" x14ac:dyDescent="0.25">
      <c r="A302">
        <v>301</v>
      </c>
      <c r="B302">
        <f>DallasSim!I302</f>
        <v>42.178724750348735</v>
      </c>
      <c r="C302">
        <f>BostonSim!I302</f>
        <v>27.276058623279901</v>
      </c>
      <c r="D302" t="str">
        <f t="shared" si="4"/>
        <v>W</v>
      </c>
    </row>
    <row r="303" spans="1:4" x14ac:dyDescent="0.25">
      <c r="A303">
        <v>302</v>
      </c>
      <c r="B303">
        <f>DallasSim!I303</f>
        <v>34.20588596558401</v>
      </c>
      <c r="C303">
        <f>BostonSim!I303</f>
        <v>26.198386142907715</v>
      </c>
      <c r="D303" t="str">
        <f t="shared" si="4"/>
        <v>W</v>
      </c>
    </row>
    <row r="304" spans="1:4" x14ac:dyDescent="0.25">
      <c r="A304">
        <v>303</v>
      </c>
      <c r="B304">
        <f>DallasSim!I304</f>
        <v>33.227742498527071</v>
      </c>
      <c r="C304">
        <f>BostonSim!I304</f>
        <v>24.5492891156577</v>
      </c>
      <c r="D304" t="str">
        <f t="shared" si="4"/>
        <v>W</v>
      </c>
    </row>
    <row r="305" spans="1:4" x14ac:dyDescent="0.25">
      <c r="A305">
        <v>304</v>
      </c>
      <c r="B305">
        <f>DallasSim!I305</f>
        <v>47.215950563121503</v>
      </c>
      <c r="C305">
        <f>BostonSim!I305</f>
        <v>30.819355632647323</v>
      </c>
      <c r="D305" t="str">
        <f t="shared" si="4"/>
        <v>W</v>
      </c>
    </row>
    <row r="306" spans="1:4" x14ac:dyDescent="0.25">
      <c r="A306">
        <v>305</v>
      </c>
      <c r="B306">
        <f>DallasSim!I306</f>
        <v>45.636336600841091</v>
      </c>
      <c r="C306">
        <f>BostonSim!I306</f>
        <v>18.827102848632624</v>
      </c>
      <c r="D306" t="str">
        <f t="shared" si="4"/>
        <v>W</v>
      </c>
    </row>
    <row r="307" spans="1:4" x14ac:dyDescent="0.25">
      <c r="A307">
        <v>306</v>
      </c>
      <c r="B307">
        <f>DallasSim!I307</f>
        <v>41.052380484801859</v>
      </c>
      <c r="C307">
        <f>BostonSim!I307</f>
        <v>21.472372239577542</v>
      </c>
      <c r="D307" t="str">
        <f t="shared" si="4"/>
        <v>W</v>
      </c>
    </row>
    <row r="308" spans="1:4" x14ac:dyDescent="0.25">
      <c r="A308">
        <v>307</v>
      </c>
      <c r="B308">
        <f>DallasSim!I308</f>
        <v>36.336685955076206</v>
      </c>
      <c r="C308">
        <f>BostonSim!I308</f>
        <v>28.444492805189661</v>
      </c>
      <c r="D308" t="str">
        <f t="shared" si="4"/>
        <v>W</v>
      </c>
    </row>
    <row r="309" spans="1:4" x14ac:dyDescent="0.25">
      <c r="A309">
        <v>308</v>
      </c>
      <c r="B309">
        <f>DallasSim!I309</f>
        <v>48.766369900403674</v>
      </c>
      <c r="C309">
        <f>BostonSim!I309</f>
        <v>30.576844910024029</v>
      </c>
      <c r="D309" t="str">
        <f t="shared" si="4"/>
        <v>W</v>
      </c>
    </row>
    <row r="310" spans="1:4" x14ac:dyDescent="0.25">
      <c r="A310">
        <v>309</v>
      </c>
      <c r="B310">
        <f>DallasSim!I310</f>
        <v>44.719323885970837</v>
      </c>
      <c r="C310">
        <f>BostonSim!I310</f>
        <v>27.847600214869946</v>
      </c>
      <c r="D310" t="str">
        <f t="shared" si="4"/>
        <v>W</v>
      </c>
    </row>
    <row r="311" spans="1:4" x14ac:dyDescent="0.25">
      <c r="A311">
        <v>310</v>
      </c>
      <c r="B311">
        <f>DallasSim!I311</f>
        <v>48.458054148727697</v>
      </c>
      <c r="C311">
        <f>BostonSim!I311</f>
        <v>30.915539258433895</v>
      </c>
      <c r="D311" t="str">
        <f t="shared" si="4"/>
        <v>W</v>
      </c>
    </row>
    <row r="312" spans="1:4" x14ac:dyDescent="0.25">
      <c r="A312">
        <v>311</v>
      </c>
      <c r="B312">
        <f>DallasSim!I312</f>
        <v>43.789919013653261</v>
      </c>
      <c r="C312">
        <f>BostonSim!I312</f>
        <v>29.450189371814474</v>
      </c>
      <c r="D312" t="str">
        <f t="shared" si="4"/>
        <v>W</v>
      </c>
    </row>
    <row r="313" spans="1:4" x14ac:dyDescent="0.25">
      <c r="A313">
        <v>312</v>
      </c>
      <c r="B313">
        <f>DallasSim!I313</f>
        <v>38.617549311903595</v>
      </c>
      <c r="C313">
        <f>BostonSim!I313</f>
        <v>27.239188551885182</v>
      </c>
      <c r="D313" t="str">
        <f t="shared" si="4"/>
        <v>W</v>
      </c>
    </row>
    <row r="314" spans="1:4" x14ac:dyDescent="0.25">
      <c r="A314">
        <v>313</v>
      </c>
      <c r="B314">
        <f>DallasSim!I314</f>
        <v>43.53482034794893</v>
      </c>
      <c r="C314">
        <f>BostonSim!I314</f>
        <v>28.934925979794084</v>
      </c>
      <c r="D314" t="str">
        <f t="shared" si="4"/>
        <v>W</v>
      </c>
    </row>
    <row r="315" spans="1:4" x14ac:dyDescent="0.25">
      <c r="A315">
        <v>314</v>
      </c>
      <c r="B315">
        <f>DallasSim!I315</f>
        <v>48.954944105484543</v>
      </c>
      <c r="C315">
        <f>BostonSim!I315</f>
        <v>27.397233113245687</v>
      </c>
      <c r="D315" t="str">
        <f t="shared" si="4"/>
        <v>W</v>
      </c>
    </row>
    <row r="316" spans="1:4" x14ac:dyDescent="0.25">
      <c r="A316">
        <v>315</v>
      </c>
      <c r="B316">
        <f>DallasSim!I316</f>
        <v>47.784181248861572</v>
      </c>
      <c r="C316">
        <f>BostonSim!I316</f>
        <v>22.825324628395364</v>
      </c>
      <c r="D316" t="str">
        <f t="shared" si="4"/>
        <v>W</v>
      </c>
    </row>
    <row r="317" spans="1:4" x14ac:dyDescent="0.25">
      <c r="A317">
        <v>316</v>
      </c>
      <c r="B317">
        <f>DallasSim!I317</f>
        <v>39.625228066102942</v>
      </c>
      <c r="C317">
        <f>BostonSim!I317</f>
        <v>19.82476631524116</v>
      </c>
      <c r="D317" t="str">
        <f t="shared" si="4"/>
        <v>W</v>
      </c>
    </row>
    <row r="318" spans="1:4" x14ac:dyDescent="0.25">
      <c r="A318">
        <v>317</v>
      </c>
      <c r="B318">
        <f>DallasSim!I318</f>
        <v>47.75050521313667</v>
      </c>
      <c r="C318">
        <f>BostonSim!I318</f>
        <v>23.670157571008549</v>
      </c>
      <c r="D318" t="str">
        <f t="shared" si="4"/>
        <v>W</v>
      </c>
    </row>
    <row r="319" spans="1:4" x14ac:dyDescent="0.25">
      <c r="A319">
        <v>318</v>
      </c>
      <c r="B319">
        <f>DallasSim!I319</f>
        <v>40.278388633176199</v>
      </c>
      <c r="C319">
        <f>BostonSim!I319</f>
        <v>24.326977525096005</v>
      </c>
      <c r="D319" t="str">
        <f t="shared" si="4"/>
        <v>W</v>
      </c>
    </row>
    <row r="320" spans="1:4" x14ac:dyDescent="0.25">
      <c r="A320">
        <v>319</v>
      </c>
      <c r="B320">
        <f>DallasSim!I320</f>
        <v>40.15283400615872</v>
      </c>
      <c r="C320">
        <f>BostonSim!I320</f>
        <v>26.099698013189542</v>
      </c>
      <c r="D320" t="str">
        <f t="shared" si="4"/>
        <v>W</v>
      </c>
    </row>
    <row r="321" spans="1:4" x14ac:dyDescent="0.25">
      <c r="A321">
        <v>320</v>
      </c>
      <c r="B321">
        <f>DallasSim!I321</f>
        <v>32.495344201587933</v>
      </c>
      <c r="C321">
        <f>BostonSim!I321</f>
        <v>26.753618603396241</v>
      </c>
      <c r="D321" t="str">
        <f t="shared" si="4"/>
        <v>W</v>
      </c>
    </row>
    <row r="322" spans="1:4" x14ac:dyDescent="0.25">
      <c r="A322">
        <v>321</v>
      </c>
      <c r="B322">
        <f>DallasSim!I322</f>
        <v>48.171208636147782</v>
      </c>
      <c r="C322">
        <f>BostonSim!I322</f>
        <v>21.294483171164572</v>
      </c>
      <c r="D322" t="str">
        <f t="shared" si="4"/>
        <v>W</v>
      </c>
    </row>
    <row r="323" spans="1:4" x14ac:dyDescent="0.25">
      <c r="A323">
        <v>322</v>
      </c>
      <c r="B323">
        <f>DallasSim!I323</f>
        <v>49.972803075690628</v>
      </c>
      <c r="C323">
        <f>BostonSim!I323</f>
        <v>25.884427776393196</v>
      </c>
      <c r="D323" t="str">
        <f t="shared" ref="D323:D386" si="5">IF(B323&gt;C323,"W",IF(B323&lt;C323,"L","T"))</f>
        <v>W</v>
      </c>
    </row>
    <row r="324" spans="1:4" x14ac:dyDescent="0.25">
      <c r="A324">
        <v>323</v>
      </c>
      <c r="B324">
        <f>DallasSim!I324</f>
        <v>43.931173862745219</v>
      </c>
      <c r="C324">
        <f>BostonSim!I324</f>
        <v>21.696176329868322</v>
      </c>
      <c r="D324" t="str">
        <f t="shared" si="5"/>
        <v>W</v>
      </c>
    </row>
    <row r="325" spans="1:4" x14ac:dyDescent="0.25">
      <c r="A325">
        <v>324</v>
      </c>
      <c r="B325">
        <f>DallasSim!I325</f>
        <v>48.635331550378041</v>
      </c>
      <c r="C325">
        <f>BostonSim!I325</f>
        <v>25.409389692066298</v>
      </c>
      <c r="D325" t="str">
        <f t="shared" si="5"/>
        <v>W</v>
      </c>
    </row>
    <row r="326" spans="1:4" x14ac:dyDescent="0.25">
      <c r="A326">
        <v>325</v>
      </c>
      <c r="B326">
        <f>DallasSim!I326</f>
        <v>36.218655893281841</v>
      </c>
      <c r="C326">
        <f>BostonSim!I326</f>
        <v>28.986706674534364</v>
      </c>
      <c r="D326" t="str">
        <f t="shared" si="5"/>
        <v>W</v>
      </c>
    </row>
    <row r="327" spans="1:4" x14ac:dyDescent="0.25">
      <c r="A327">
        <v>326</v>
      </c>
      <c r="B327">
        <f>DallasSim!I327</f>
        <v>48.771768517483949</v>
      </c>
      <c r="C327">
        <f>BostonSim!I327</f>
        <v>22.343994478494796</v>
      </c>
      <c r="D327" t="str">
        <f t="shared" si="5"/>
        <v>W</v>
      </c>
    </row>
    <row r="328" spans="1:4" x14ac:dyDescent="0.25">
      <c r="A328">
        <v>327</v>
      </c>
      <c r="B328">
        <f>DallasSim!I328</f>
        <v>41.036393541187017</v>
      </c>
      <c r="C328">
        <f>BostonSim!I328</f>
        <v>25.204647143406476</v>
      </c>
      <c r="D328" t="str">
        <f t="shared" si="5"/>
        <v>W</v>
      </c>
    </row>
    <row r="329" spans="1:4" x14ac:dyDescent="0.25">
      <c r="A329">
        <v>328</v>
      </c>
      <c r="B329">
        <f>DallasSim!I329</f>
        <v>46.67773665292134</v>
      </c>
      <c r="C329">
        <f>BostonSim!I329</f>
        <v>30.516449206806051</v>
      </c>
      <c r="D329" t="str">
        <f t="shared" si="5"/>
        <v>W</v>
      </c>
    </row>
    <row r="330" spans="1:4" x14ac:dyDescent="0.25">
      <c r="A330">
        <v>329</v>
      </c>
      <c r="B330">
        <f>DallasSim!I330</f>
        <v>41.544256383321034</v>
      </c>
      <c r="C330">
        <f>BostonSim!I330</f>
        <v>28.759446580276872</v>
      </c>
      <c r="D330" t="str">
        <f t="shared" si="5"/>
        <v>W</v>
      </c>
    </row>
    <row r="331" spans="1:4" x14ac:dyDescent="0.25">
      <c r="A331">
        <v>330</v>
      </c>
      <c r="B331">
        <f>DallasSim!I331</f>
        <v>50.275330360477589</v>
      </c>
      <c r="C331">
        <f>BostonSim!I331</f>
        <v>28.04374567483875</v>
      </c>
      <c r="D331" t="str">
        <f t="shared" si="5"/>
        <v>W</v>
      </c>
    </row>
    <row r="332" spans="1:4" x14ac:dyDescent="0.25">
      <c r="A332">
        <v>331</v>
      </c>
      <c r="B332">
        <f>DallasSim!I332</f>
        <v>48.353165069579909</v>
      </c>
      <c r="C332">
        <f>BostonSim!I332</f>
        <v>24.041053921948734</v>
      </c>
      <c r="D332" t="str">
        <f t="shared" si="5"/>
        <v>W</v>
      </c>
    </row>
    <row r="333" spans="1:4" x14ac:dyDescent="0.25">
      <c r="A333">
        <v>332</v>
      </c>
      <c r="B333">
        <f>DallasSim!I333</f>
        <v>49.513570970895444</v>
      </c>
      <c r="C333">
        <f>BostonSim!I333</f>
        <v>26.528753050890113</v>
      </c>
      <c r="D333" t="str">
        <f t="shared" si="5"/>
        <v>W</v>
      </c>
    </row>
    <row r="334" spans="1:4" x14ac:dyDescent="0.25">
      <c r="A334">
        <v>333</v>
      </c>
      <c r="B334">
        <f>DallasSim!I334</f>
        <v>49.324464921721827</v>
      </c>
      <c r="C334">
        <f>BostonSim!I334</f>
        <v>24.509837930484423</v>
      </c>
      <c r="D334" t="str">
        <f t="shared" si="5"/>
        <v>W</v>
      </c>
    </row>
    <row r="335" spans="1:4" x14ac:dyDescent="0.25">
      <c r="A335">
        <v>334</v>
      </c>
      <c r="B335">
        <f>DallasSim!I335</f>
        <v>49.308654191392272</v>
      </c>
      <c r="C335">
        <f>BostonSim!I335</f>
        <v>30.619986848200789</v>
      </c>
      <c r="D335" t="str">
        <f t="shared" si="5"/>
        <v>W</v>
      </c>
    </row>
    <row r="336" spans="1:4" x14ac:dyDescent="0.25">
      <c r="A336">
        <v>335</v>
      </c>
      <c r="B336">
        <f>DallasSim!I336</f>
        <v>32.638847850043568</v>
      </c>
      <c r="C336">
        <f>BostonSim!I336</f>
        <v>30.256733256593751</v>
      </c>
      <c r="D336" t="str">
        <f t="shared" si="5"/>
        <v>W</v>
      </c>
    </row>
    <row r="337" spans="1:4" x14ac:dyDescent="0.25">
      <c r="A337">
        <v>336</v>
      </c>
      <c r="B337">
        <f>DallasSim!I337</f>
        <v>28.789040164423799</v>
      </c>
      <c r="C337">
        <f>BostonSim!I337</f>
        <v>31.227199786110564</v>
      </c>
      <c r="D337" t="str">
        <f t="shared" si="5"/>
        <v>L</v>
      </c>
    </row>
    <row r="338" spans="1:4" x14ac:dyDescent="0.25">
      <c r="A338">
        <v>337</v>
      </c>
      <c r="B338">
        <f>DallasSim!I338</f>
        <v>28.607238885582809</v>
      </c>
      <c r="C338">
        <f>BostonSim!I338</f>
        <v>18.965140741329982</v>
      </c>
      <c r="D338" t="str">
        <f t="shared" si="5"/>
        <v>W</v>
      </c>
    </row>
    <row r="339" spans="1:4" x14ac:dyDescent="0.25">
      <c r="A339">
        <v>338</v>
      </c>
      <c r="B339">
        <f>DallasSim!I339</f>
        <v>38.017237471639483</v>
      </c>
      <c r="C339">
        <f>BostonSim!I339</f>
        <v>30.155143411881493</v>
      </c>
      <c r="D339" t="str">
        <f t="shared" si="5"/>
        <v>W</v>
      </c>
    </row>
    <row r="340" spans="1:4" x14ac:dyDescent="0.25">
      <c r="A340">
        <v>339</v>
      </c>
      <c r="B340">
        <f>DallasSim!I340</f>
        <v>45.140803031276917</v>
      </c>
      <c r="C340">
        <f>BostonSim!I340</f>
        <v>22.111188449943775</v>
      </c>
      <c r="D340" t="str">
        <f t="shared" si="5"/>
        <v>W</v>
      </c>
    </row>
    <row r="341" spans="1:4" x14ac:dyDescent="0.25">
      <c r="A341">
        <v>340</v>
      </c>
      <c r="B341">
        <f>DallasSim!I341</f>
        <v>42.580907311743616</v>
      </c>
      <c r="C341">
        <f>BostonSim!I341</f>
        <v>25.790220904807548</v>
      </c>
      <c r="D341" t="str">
        <f t="shared" si="5"/>
        <v>W</v>
      </c>
    </row>
    <row r="342" spans="1:4" x14ac:dyDescent="0.25">
      <c r="A342">
        <v>341</v>
      </c>
      <c r="B342">
        <f>DallasSim!I342</f>
        <v>45.703117699523617</v>
      </c>
      <c r="C342">
        <f>BostonSim!I342</f>
        <v>29.174607039736966</v>
      </c>
      <c r="D342" t="str">
        <f t="shared" si="5"/>
        <v>W</v>
      </c>
    </row>
    <row r="343" spans="1:4" x14ac:dyDescent="0.25">
      <c r="A343">
        <v>342</v>
      </c>
      <c r="B343">
        <f>DallasSim!I343</f>
        <v>46.406908357641278</v>
      </c>
      <c r="C343">
        <f>BostonSim!I343</f>
        <v>23.538821948600241</v>
      </c>
      <c r="D343" t="str">
        <f t="shared" si="5"/>
        <v>W</v>
      </c>
    </row>
    <row r="344" spans="1:4" x14ac:dyDescent="0.25">
      <c r="A344">
        <v>343</v>
      </c>
      <c r="B344">
        <f>DallasSim!I344</f>
        <v>43.229132252715864</v>
      </c>
      <c r="C344">
        <f>BostonSim!I344</f>
        <v>29.911480393577818</v>
      </c>
      <c r="D344" t="str">
        <f t="shared" si="5"/>
        <v>W</v>
      </c>
    </row>
    <row r="345" spans="1:4" x14ac:dyDescent="0.25">
      <c r="A345">
        <v>344</v>
      </c>
      <c r="B345">
        <f>DallasSim!I345</f>
        <v>44.507719618547902</v>
      </c>
      <c r="C345">
        <f>BostonSim!I345</f>
        <v>24.503890719234398</v>
      </c>
      <c r="D345" t="str">
        <f t="shared" si="5"/>
        <v>W</v>
      </c>
    </row>
    <row r="346" spans="1:4" x14ac:dyDescent="0.25">
      <c r="A346">
        <v>345</v>
      </c>
      <c r="B346">
        <f>DallasSim!I346</f>
        <v>49.366121077949508</v>
      </c>
      <c r="C346">
        <f>BostonSim!I346</f>
        <v>29.646310786200701</v>
      </c>
      <c r="D346" t="str">
        <f t="shared" si="5"/>
        <v>W</v>
      </c>
    </row>
    <row r="347" spans="1:4" x14ac:dyDescent="0.25">
      <c r="A347">
        <v>346</v>
      </c>
      <c r="B347">
        <f>DallasSim!I347</f>
        <v>49.070009616609461</v>
      </c>
      <c r="C347">
        <f>BostonSim!I347</f>
        <v>26.648910313277792</v>
      </c>
      <c r="D347" t="str">
        <f t="shared" si="5"/>
        <v>W</v>
      </c>
    </row>
    <row r="348" spans="1:4" x14ac:dyDescent="0.25">
      <c r="A348">
        <v>347</v>
      </c>
      <c r="B348">
        <f>DallasSim!I348</f>
        <v>44.178864999582046</v>
      </c>
      <c r="C348">
        <f>BostonSim!I348</f>
        <v>17.285577014693306</v>
      </c>
      <c r="D348" t="str">
        <f t="shared" si="5"/>
        <v>W</v>
      </c>
    </row>
    <row r="349" spans="1:4" x14ac:dyDescent="0.25">
      <c r="A349">
        <v>348</v>
      </c>
      <c r="B349">
        <f>DallasSim!I349</f>
        <v>50.016069270450728</v>
      </c>
      <c r="C349">
        <f>BostonSim!I349</f>
        <v>21.825171561556306</v>
      </c>
      <c r="D349" t="str">
        <f t="shared" si="5"/>
        <v>W</v>
      </c>
    </row>
    <row r="350" spans="1:4" x14ac:dyDescent="0.25">
      <c r="A350">
        <v>349</v>
      </c>
      <c r="B350">
        <f>DallasSim!I350</f>
        <v>40.158018700010935</v>
      </c>
      <c r="C350">
        <f>BostonSim!I350</f>
        <v>28.136333483309571</v>
      </c>
      <c r="D350" t="str">
        <f t="shared" si="5"/>
        <v>W</v>
      </c>
    </row>
    <row r="351" spans="1:4" x14ac:dyDescent="0.25">
      <c r="A351">
        <v>350</v>
      </c>
      <c r="B351">
        <f>DallasSim!I351</f>
        <v>48.693503461887467</v>
      </c>
      <c r="C351">
        <f>BostonSim!I351</f>
        <v>31.434921540375694</v>
      </c>
      <c r="D351" t="str">
        <f t="shared" si="5"/>
        <v>W</v>
      </c>
    </row>
    <row r="352" spans="1:4" x14ac:dyDescent="0.25">
      <c r="A352">
        <v>351</v>
      </c>
      <c r="B352">
        <f>DallasSim!I352</f>
        <v>48.696422054531844</v>
      </c>
      <c r="C352">
        <f>BostonSim!I352</f>
        <v>30.488634419223438</v>
      </c>
      <c r="D352" t="str">
        <f t="shared" si="5"/>
        <v>W</v>
      </c>
    </row>
    <row r="353" spans="1:4" x14ac:dyDescent="0.25">
      <c r="A353">
        <v>352</v>
      </c>
      <c r="B353">
        <f>DallasSim!I353</f>
        <v>40.910878202110069</v>
      </c>
      <c r="C353">
        <f>BostonSim!I353</f>
        <v>26.920721931500221</v>
      </c>
      <c r="D353" t="str">
        <f t="shared" si="5"/>
        <v>W</v>
      </c>
    </row>
    <row r="354" spans="1:4" x14ac:dyDescent="0.25">
      <c r="A354">
        <v>353</v>
      </c>
      <c r="B354">
        <f>DallasSim!I354</f>
        <v>38.02460815459294</v>
      </c>
      <c r="C354">
        <f>BostonSim!I354</f>
        <v>27.963017305894031</v>
      </c>
      <c r="D354" t="str">
        <f t="shared" si="5"/>
        <v>W</v>
      </c>
    </row>
    <row r="355" spans="1:4" x14ac:dyDescent="0.25">
      <c r="A355">
        <v>354</v>
      </c>
      <c r="B355">
        <f>DallasSim!I355</f>
        <v>48.836976145877998</v>
      </c>
      <c r="C355">
        <f>BostonSim!I355</f>
        <v>18.393293553216893</v>
      </c>
      <c r="D355" t="str">
        <f t="shared" si="5"/>
        <v>W</v>
      </c>
    </row>
    <row r="356" spans="1:4" x14ac:dyDescent="0.25">
      <c r="A356">
        <v>355</v>
      </c>
      <c r="B356">
        <f>DallasSim!I356</f>
        <v>49.852959332968688</v>
      </c>
      <c r="C356">
        <f>BostonSim!I356</f>
        <v>30.625898707233606</v>
      </c>
      <c r="D356" t="str">
        <f t="shared" si="5"/>
        <v>W</v>
      </c>
    </row>
    <row r="357" spans="1:4" x14ac:dyDescent="0.25">
      <c r="A357">
        <v>356</v>
      </c>
      <c r="B357">
        <f>DallasSim!I357</f>
        <v>48.787385752372749</v>
      </c>
      <c r="C357">
        <f>BostonSim!I357</f>
        <v>30.813084706613893</v>
      </c>
      <c r="D357" t="str">
        <f t="shared" si="5"/>
        <v>W</v>
      </c>
    </row>
    <row r="358" spans="1:4" x14ac:dyDescent="0.25">
      <c r="A358">
        <v>357</v>
      </c>
      <c r="B358">
        <f>DallasSim!I358</f>
        <v>38.820413916926491</v>
      </c>
      <c r="C358">
        <f>BostonSim!I358</f>
        <v>23.053626774413381</v>
      </c>
      <c r="D358" t="str">
        <f t="shared" si="5"/>
        <v>W</v>
      </c>
    </row>
    <row r="359" spans="1:4" x14ac:dyDescent="0.25">
      <c r="A359">
        <v>358</v>
      </c>
      <c r="B359">
        <f>DallasSim!I359</f>
        <v>50.78462405412035</v>
      </c>
      <c r="C359">
        <f>BostonSim!I359</f>
        <v>26.455473046076897</v>
      </c>
      <c r="D359" t="str">
        <f t="shared" si="5"/>
        <v>W</v>
      </c>
    </row>
    <row r="360" spans="1:4" x14ac:dyDescent="0.25">
      <c r="A360">
        <v>359</v>
      </c>
      <c r="B360">
        <f>DallasSim!I360</f>
        <v>49.337191039658684</v>
      </c>
      <c r="C360">
        <f>BostonSim!I360</f>
        <v>30.659368389766193</v>
      </c>
      <c r="D360" t="str">
        <f t="shared" si="5"/>
        <v>W</v>
      </c>
    </row>
    <row r="361" spans="1:4" x14ac:dyDescent="0.25">
      <c r="A361">
        <v>360</v>
      </c>
      <c r="B361">
        <f>DallasSim!I361</f>
        <v>40.004030458129492</v>
      </c>
      <c r="C361">
        <f>BostonSim!I361</f>
        <v>24.84387058945282</v>
      </c>
      <c r="D361" t="str">
        <f t="shared" si="5"/>
        <v>W</v>
      </c>
    </row>
    <row r="362" spans="1:4" x14ac:dyDescent="0.25">
      <c r="A362">
        <v>361</v>
      </c>
      <c r="B362">
        <f>DallasSim!I362</f>
        <v>44.37466761557954</v>
      </c>
      <c r="C362">
        <f>BostonSim!I362</f>
        <v>30.903888560273508</v>
      </c>
      <c r="D362" t="str">
        <f t="shared" si="5"/>
        <v>W</v>
      </c>
    </row>
    <row r="363" spans="1:4" x14ac:dyDescent="0.25">
      <c r="A363">
        <v>362</v>
      </c>
      <c r="B363">
        <f>DallasSim!I363</f>
        <v>49.839106787133417</v>
      </c>
      <c r="C363">
        <f>BostonSim!I363</f>
        <v>25.572434021342708</v>
      </c>
      <c r="D363" t="str">
        <f t="shared" si="5"/>
        <v>W</v>
      </c>
    </row>
    <row r="364" spans="1:4" x14ac:dyDescent="0.25">
      <c r="A364">
        <v>363</v>
      </c>
      <c r="B364">
        <f>DallasSim!I364</f>
        <v>50.590019263194698</v>
      </c>
      <c r="C364">
        <f>BostonSim!I364</f>
        <v>19.826459117892242</v>
      </c>
      <c r="D364" t="str">
        <f t="shared" si="5"/>
        <v>W</v>
      </c>
    </row>
    <row r="365" spans="1:4" x14ac:dyDescent="0.25">
      <c r="A365">
        <v>364</v>
      </c>
      <c r="B365">
        <f>DallasSim!I365</f>
        <v>45.874460085575713</v>
      </c>
      <c r="C365">
        <f>BostonSim!I365</f>
        <v>28.499205995923241</v>
      </c>
      <c r="D365" t="str">
        <f t="shared" si="5"/>
        <v>W</v>
      </c>
    </row>
    <row r="366" spans="1:4" x14ac:dyDescent="0.25">
      <c r="A366">
        <v>365</v>
      </c>
      <c r="B366">
        <f>DallasSim!I366</f>
        <v>49.86200364315242</v>
      </c>
      <c r="C366">
        <f>BostonSim!I366</f>
        <v>28.497577323014905</v>
      </c>
      <c r="D366" t="str">
        <f t="shared" si="5"/>
        <v>W</v>
      </c>
    </row>
    <row r="367" spans="1:4" x14ac:dyDescent="0.25">
      <c r="A367">
        <v>366</v>
      </c>
      <c r="B367">
        <f>DallasSim!I367</f>
        <v>38.315064024035365</v>
      </c>
      <c r="C367">
        <f>BostonSim!I367</f>
        <v>20.395701242636704</v>
      </c>
      <c r="D367" t="str">
        <f t="shared" si="5"/>
        <v>W</v>
      </c>
    </row>
    <row r="368" spans="1:4" x14ac:dyDescent="0.25">
      <c r="A368">
        <v>367</v>
      </c>
      <c r="B368">
        <f>DallasSim!I368</f>
        <v>50.012726678436501</v>
      </c>
      <c r="C368">
        <f>BostonSim!I368</f>
        <v>30.098537347925106</v>
      </c>
      <c r="D368" t="str">
        <f t="shared" si="5"/>
        <v>W</v>
      </c>
    </row>
    <row r="369" spans="1:4" x14ac:dyDescent="0.25">
      <c r="A369">
        <v>368</v>
      </c>
      <c r="B369">
        <f>DallasSim!I369</f>
        <v>48.960518134131959</v>
      </c>
      <c r="C369">
        <f>BostonSim!I369</f>
        <v>25.469666846050806</v>
      </c>
      <c r="D369" t="str">
        <f t="shared" si="5"/>
        <v>W</v>
      </c>
    </row>
    <row r="370" spans="1:4" x14ac:dyDescent="0.25">
      <c r="A370">
        <v>369</v>
      </c>
      <c r="B370">
        <f>DallasSim!I370</f>
        <v>51.333670116909317</v>
      </c>
      <c r="C370">
        <f>BostonSim!I370</f>
        <v>29.365535116257089</v>
      </c>
      <c r="D370" t="str">
        <f t="shared" si="5"/>
        <v>W</v>
      </c>
    </row>
    <row r="371" spans="1:4" x14ac:dyDescent="0.25">
      <c r="A371">
        <v>370</v>
      </c>
      <c r="B371">
        <f>DallasSim!I371</f>
        <v>49.406339699741849</v>
      </c>
      <c r="C371">
        <f>BostonSim!I371</f>
        <v>31.000992462419987</v>
      </c>
      <c r="D371" t="str">
        <f t="shared" si="5"/>
        <v>W</v>
      </c>
    </row>
    <row r="372" spans="1:4" x14ac:dyDescent="0.25">
      <c r="A372">
        <v>371</v>
      </c>
      <c r="B372">
        <f>DallasSim!I372</f>
        <v>50.192594786088797</v>
      </c>
      <c r="C372">
        <f>BostonSim!I372</f>
        <v>29.506136005952431</v>
      </c>
      <c r="D372" t="str">
        <f t="shared" si="5"/>
        <v>W</v>
      </c>
    </row>
    <row r="373" spans="1:4" x14ac:dyDescent="0.25">
      <c r="A373">
        <v>372</v>
      </c>
      <c r="B373">
        <f>DallasSim!I373</f>
        <v>50.231553932293806</v>
      </c>
      <c r="C373">
        <f>BostonSim!I373</f>
        <v>28.05148410692837</v>
      </c>
      <c r="D373" t="str">
        <f t="shared" si="5"/>
        <v>W</v>
      </c>
    </row>
    <row r="374" spans="1:4" x14ac:dyDescent="0.25">
      <c r="A374">
        <v>373</v>
      </c>
      <c r="B374">
        <f>DallasSim!I374</f>
        <v>48.466237196919622</v>
      </c>
      <c r="C374">
        <f>BostonSim!I374</f>
        <v>29.881041479211671</v>
      </c>
      <c r="D374" t="str">
        <f t="shared" si="5"/>
        <v>W</v>
      </c>
    </row>
    <row r="375" spans="1:4" x14ac:dyDescent="0.25">
      <c r="A375">
        <v>374</v>
      </c>
      <c r="B375">
        <f>DallasSim!I375</f>
        <v>45.414416660067445</v>
      </c>
      <c r="C375">
        <f>BostonSim!I375</f>
        <v>13.223985904753121</v>
      </c>
      <c r="D375" t="str">
        <f t="shared" si="5"/>
        <v>W</v>
      </c>
    </row>
    <row r="376" spans="1:4" x14ac:dyDescent="0.25">
      <c r="A376">
        <v>375</v>
      </c>
      <c r="B376">
        <f>DallasSim!I376</f>
        <v>50.911750899569185</v>
      </c>
      <c r="C376">
        <f>BostonSim!I376</f>
        <v>20.708209848678678</v>
      </c>
      <c r="D376" t="str">
        <f t="shared" si="5"/>
        <v>W</v>
      </c>
    </row>
    <row r="377" spans="1:4" x14ac:dyDescent="0.25">
      <c r="A377">
        <v>376</v>
      </c>
      <c r="B377">
        <f>DallasSim!I377</f>
        <v>50.15462477597822</v>
      </c>
      <c r="C377">
        <f>BostonSim!I377</f>
        <v>26.60570406852813</v>
      </c>
      <c r="D377" t="str">
        <f t="shared" si="5"/>
        <v>W</v>
      </c>
    </row>
    <row r="378" spans="1:4" x14ac:dyDescent="0.25">
      <c r="A378">
        <v>377</v>
      </c>
      <c r="B378">
        <f>DallasSim!I378</f>
        <v>40.900759269062839</v>
      </c>
      <c r="C378">
        <f>BostonSim!I378</f>
        <v>30.550489362391552</v>
      </c>
      <c r="D378" t="str">
        <f t="shared" si="5"/>
        <v>W</v>
      </c>
    </row>
    <row r="379" spans="1:4" x14ac:dyDescent="0.25">
      <c r="A379">
        <v>378</v>
      </c>
      <c r="B379">
        <f>DallasSim!I379</f>
        <v>50.217812485731294</v>
      </c>
      <c r="C379">
        <f>BostonSim!I379</f>
        <v>29.792645288795125</v>
      </c>
      <c r="D379" t="str">
        <f t="shared" si="5"/>
        <v>W</v>
      </c>
    </row>
    <row r="380" spans="1:4" x14ac:dyDescent="0.25">
      <c r="A380">
        <v>379</v>
      </c>
      <c r="B380">
        <f>DallasSim!I380</f>
        <v>43.632143605145885</v>
      </c>
      <c r="C380">
        <f>BostonSim!I380</f>
        <v>27.50278232783252</v>
      </c>
      <c r="D380" t="str">
        <f t="shared" si="5"/>
        <v>W</v>
      </c>
    </row>
    <row r="381" spans="1:4" x14ac:dyDescent="0.25">
      <c r="A381">
        <v>380</v>
      </c>
      <c r="B381">
        <f>DallasSim!I381</f>
        <v>41.01298089478167</v>
      </c>
      <c r="C381">
        <f>BostonSim!I381</f>
        <v>22.675336503469548</v>
      </c>
      <c r="D381" t="str">
        <f t="shared" si="5"/>
        <v>W</v>
      </c>
    </row>
    <row r="382" spans="1:4" x14ac:dyDescent="0.25">
      <c r="A382">
        <v>381</v>
      </c>
      <c r="B382">
        <f>DallasSim!I382</f>
        <v>49.447892982008234</v>
      </c>
      <c r="C382">
        <f>BostonSim!I382</f>
        <v>28.897062636659914</v>
      </c>
      <c r="D382" t="str">
        <f t="shared" si="5"/>
        <v>W</v>
      </c>
    </row>
    <row r="383" spans="1:4" x14ac:dyDescent="0.25">
      <c r="A383">
        <v>382</v>
      </c>
      <c r="B383">
        <f>DallasSim!I383</f>
        <v>38.22575098637892</v>
      </c>
      <c r="C383">
        <f>BostonSim!I383</f>
        <v>31.447394300090817</v>
      </c>
      <c r="D383" t="str">
        <f t="shared" si="5"/>
        <v>W</v>
      </c>
    </row>
    <row r="384" spans="1:4" x14ac:dyDescent="0.25">
      <c r="A384">
        <v>383</v>
      </c>
      <c r="B384">
        <f>DallasSim!I384</f>
        <v>48.93444313182848</v>
      </c>
      <c r="C384">
        <f>BostonSim!I384</f>
        <v>31.668953662346468</v>
      </c>
      <c r="D384" t="str">
        <f t="shared" si="5"/>
        <v>W</v>
      </c>
    </row>
    <row r="385" spans="1:4" x14ac:dyDescent="0.25">
      <c r="A385">
        <v>384</v>
      </c>
      <c r="B385">
        <f>DallasSim!I385</f>
        <v>43.52167096835354</v>
      </c>
      <c r="C385">
        <f>BostonSim!I385</f>
        <v>25.399143373561053</v>
      </c>
      <c r="D385" t="str">
        <f t="shared" si="5"/>
        <v>W</v>
      </c>
    </row>
    <row r="386" spans="1:4" x14ac:dyDescent="0.25">
      <c r="A386">
        <v>385</v>
      </c>
      <c r="B386">
        <f>DallasSim!I386</f>
        <v>33.084020207203665</v>
      </c>
      <c r="C386">
        <f>BostonSim!I386</f>
        <v>30.733182244166898</v>
      </c>
      <c r="D386" t="str">
        <f t="shared" si="5"/>
        <v>W</v>
      </c>
    </row>
    <row r="387" spans="1:4" x14ac:dyDescent="0.25">
      <c r="A387">
        <v>386</v>
      </c>
      <c r="B387">
        <f>DallasSim!I387</f>
        <v>49.084540832022618</v>
      </c>
      <c r="C387">
        <f>BostonSim!I387</f>
        <v>29.789907195854713</v>
      </c>
      <c r="D387" t="str">
        <f t="shared" ref="D387:D450" si="6">IF(B387&gt;C387,"W",IF(B387&lt;C387,"L","T"))</f>
        <v>W</v>
      </c>
    </row>
    <row r="388" spans="1:4" x14ac:dyDescent="0.25">
      <c r="A388">
        <v>387</v>
      </c>
      <c r="B388">
        <f>DallasSim!I388</f>
        <v>45.347154209685947</v>
      </c>
      <c r="C388">
        <f>BostonSim!I388</f>
        <v>30.760897640579667</v>
      </c>
      <c r="D388" t="str">
        <f t="shared" si="6"/>
        <v>W</v>
      </c>
    </row>
    <row r="389" spans="1:4" x14ac:dyDescent="0.25">
      <c r="A389">
        <v>388</v>
      </c>
      <c r="B389">
        <f>DallasSim!I389</f>
        <v>35.955309051757268</v>
      </c>
      <c r="C389">
        <f>BostonSim!I389</f>
        <v>30.200662058414011</v>
      </c>
      <c r="D389" t="str">
        <f t="shared" si="6"/>
        <v>W</v>
      </c>
    </row>
    <row r="390" spans="1:4" x14ac:dyDescent="0.25">
      <c r="A390">
        <v>389</v>
      </c>
      <c r="B390">
        <f>DallasSim!I390</f>
        <v>49.717829365270255</v>
      </c>
      <c r="C390">
        <f>BostonSim!I390</f>
        <v>22.148161074516985</v>
      </c>
      <c r="D390" t="str">
        <f t="shared" si="6"/>
        <v>W</v>
      </c>
    </row>
    <row r="391" spans="1:4" x14ac:dyDescent="0.25">
      <c r="A391">
        <v>390</v>
      </c>
      <c r="B391">
        <f>DallasSim!I391</f>
        <v>50.302722925404112</v>
      </c>
      <c r="C391">
        <f>BostonSim!I391</f>
        <v>30.497045553923908</v>
      </c>
      <c r="D391" t="str">
        <f t="shared" si="6"/>
        <v>W</v>
      </c>
    </row>
    <row r="392" spans="1:4" x14ac:dyDescent="0.25">
      <c r="A392">
        <v>391</v>
      </c>
      <c r="B392">
        <f>DallasSim!I392</f>
        <v>47.977781348749161</v>
      </c>
      <c r="C392">
        <f>BostonSim!I392</f>
        <v>29.21611822673157</v>
      </c>
      <c r="D392" t="str">
        <f t="shared" si="6"/>
        <v>W</v>
      </c>
    </row>
    <row r="393" spans="1:4" x14ac:dyDescent="0.25">
      <c r="A393">
        <v>392</v>
      </c>
      <c r="B393">
        <f>DallasSim!I393</f>
        <v>48.510905385695345</v>
      </c>
      <c r="C393">
        <f>BostonSim!I393</f>
        <v>31.314072818538904</v>
      </c>
      <c r="D393" t="str">
        <f t="shared" si="6"/>
        <v>W</v>
      </c>
    </row>
    <row r="394" spans="1:4" x14ac:dyDescent="0.25">
      <c r="A394">
        <v>393</v>
      </c>
      <c r="B394">
        <f>DallasSim!I394</f>
        <v>38.874562398308832</v>
      </c>
      <c r="C394">
        <f>BostonSim!I394</f>
        <v>30.397252909141166</v>
      </c>
      <c r="D394" t="str">
        <f t="shared" si="6"/>
        <v>W</v>
      </c>
    </row>
    <row r="395" spans="1:4" x14ac:dyDescent="0.25">
      <c r="A395">
        <v>394</v>
      </c>
      <c r="B395">
        <f>DallasSim!I395</f>
        <v>37.77055342241912</v>
      </c>
      <c r="C395">
        <f>BostonSim!I395</f>
        <v>30.115369427324509</v>
      </c>
      <c r="D395" t="str">
        <f t="shared" si="6"/>
        <v>W</v>
      </c>
    </row>
    <row r="396" spans="1:4" x14ac:dyDescent="0.25">
      <c r="A396">
        <v>395</v>
      </c>
      <c r="B396">
        <f>DallasSim!I396</f>
        <v>52.052205609141708</v>
      </c>
      <c r="C396">
        <f>BostonSim!I396</f>
        <v>29.795643830254711</v>
      </c>
      <c r="D396" t="str">
        <f t="shared" si="6"/>
        <v>W</v>
      </c>
    </row>
    <row r="397" spans="1:4" x14ac:dyDescent="0.25">
      <c r="A397">
        <v>396</v>
      </c>
      <c r="B397">
        <f>DallasSim!I397</f>
        <v>47.786961973711222</v>
      </c>
      <c r="C397">
        <f>BostonSim!I397</f>
        <v>27.984667744579546</v>
      </c>
      <c r="D397" t="str">
        <f t="shared" si="6"/>
        <v>W</v>
      </c>
    </row>
    <row r="398" spans="1:4" x14ac:dyDescent="0.25">
      <c r="A398">
        <v>397</v>
      </c>
      <c r="B398">
        <f>DallasSim!I398</f>
        <v>47.325812469695812</v>
      </c>
      <c r="C398">
        <f>BostonSim!I398</f>
        <v>19.399800861644394</v>
      </c>
      <c r="D398" t="str">
        <f t="shared" si="6"/>
        <v>W</v>
      </c>
    </row>
    <row r="399" spans="1:4" x14ac:dyDescent="0.25">
      <c r="A399">
        <v>398</v>
      </c>
      <c r="B399">
        <f>DallasSim!I399</f>
        <v>46.08585259850399</v>
      </c>
      <c r="C399">
        <f>BostonSim!I399</f>
        <v>28.986509673742972</v>
      </c>
      <c r="D399" t="str">
        <f t="shared" si="6"/>
        <v>W</v>
      </c>
    </row>
    <row r="400" spans="1:4" x14ac:dyDescent="0.25">
      <c r="A400">
        <v>399</v>
      </c>
      <c r="B400">
        <f>DallasSim!I400</f>
        <v>34.347105077397011</v>
      </c>
      <c r="C400">
        <f>BostonSim!I400</f>
        <v>24.720504999899021</v>
      </c>
      <c r="D400" t="str">
        <f t="shared" si="6"/>
        <v>W</v>
      </c>
    </row>
    <row r="401" spans="1:4" x14ac:dyDescent="0.25">
      <c r="A401">
        <v>400</v>
      </c>
      <c r="B401">
        <f>DallasSim!I401</f>
        <v>44.657082725344878</v>
      </c>
      <c r="C401">
        <f>BostonSim!I401</f>
        <v>29.662368649873979</v>
      </c>
      <c r="D401" t="str">
        <f t="shared" si="6"/>
        <v>W</v>
      </c>
    </row>
    <row r="402" spans="1:4" x14ac:dyDescent="0.25">
      <c r="A402">
        <v>401</v>
      </c>
      <c r="B402">
        <f>DallasSim!I402</f>
        <v>37.688079427780366</v>
      </c>
      <c r="C402">
        <f>BostonSim!I402</f>
        <v>30.484299528903165</v>
      </c>
      <c r="D402" t="str">
        <f t="shared" si="6"/>
        <v>W</v>
      </c>
    </row>
    <row r="403" spans="1:4" x14ac:dyDescent="0.25">
      <c r="A403">
        <v>402</v>
      </c>
      <c r="B403">
        <f>DallasSim!I403</f>
        <v>49.246398936692863</v>
      </c>
      <c r="C403">
        <f>BostonSim!I403</f>
        <v>28.641171746482883</v>
      </c>
      <c r="D403" t="str">
        <f t="shared" si="6"/>
        <v>W</v>
      </c>
    </row>
    <row r="404" spans="1:4" x14ac:dyDescent="0.25">
      <c r="A404">
        <v>403</v>
      </c>
      <c r="B404">
        <f>DallasSim!I404</f>
        <v>32.204370240682579</v>
      </c>
      <c r="C404">
        <f>BostonSim!I404</f>
        <v>30.21394905399714</v>
      </c>
      <c r="D404" t="str">
        <f t="shared" si="6"/>
        <v>W</v>
      </c>
    </row>
    <row r="405" spans="1:4" x14ac:dyDescent="0.25">
      <c r="A405">
        <v>404</v>
      </c>
      <c r="B405">
        <f>DallasSim!I405</f>
        <v>39.808320915572786</v>
      </c>
      <c r="C405">
        <f>BostonSim!I405</f>
        <v>22.212519507143519</v>
      </c>
      <c r="D405" t="str">
        <f t="shared" si="6"/>
        <v>W</v>
      </c>
    </row>
    <row r="406" spans="1:4" x14ac:dyDescent="0.25">
      <c r="A406">
        <v>405</v>
      </c>
      <c r="B406">
        <f>DallasSim!I406</f>
        <v>39.316027619752902</v>
      </c>
      <c r="C406">
        <f>BostonSim!I406</f>
        <v>24.302574164026112</v>
      </c>
      <c r="D406" t="str">
        <f t="shared" si="6"/>
        <v>W</v>
      </c>
    </row>
    <row r="407" spans="1:4" x14ac:dyDescent="0.25">
      <c r="A407">
        <v>406</v>
      </c>
      <c r="B407">
        <f>DallasSim!I407</f>
        <v>42.587887373950956</v>
      </c>
      <c r="C407">
        <f>BostonSim!I407</f>
        <v>30.146277261947983</v>
      </c>
      <c r="D407" t="str">
        <f t="shared" si="6"/>
        <v>W</v>
      </c>
    </row>
    <row r="408" spans="1:4" x14ac:dyDescent="0.25">
      <c r="A408">
        <v>407</v>
      </c>
      <c r="B408">
        <f>DallasSim!I408</f>
        <v>40.414171700252965</v>
      </c>
      <c r="C408">
        <f>BostonSim!I408</f>
        <v>27.792374534082573</v>
      </c>
      <c r="D408" t="str">
        <f t="shared" si="6"/>
        <v>W</v>
      </c>
    </row>
    <row r="409" spans="1:4" x14ac:dyDescent="0.25">
      <c r="A409">
        <v>408</v>
      </c>
      <c r="B409">
        <f>DallasSim!I409</f>
        <v>36.306541692191274</v>
      </c>
      <c r="C409">
        <f>BostonSim!I409</f>
        <v>31.372998907857845</v>
      </c>
      <c r="D409" t="str">
        <f t="shared" si="6"/>
        <v>W</v>
      </c>
    </row>
    <row r="410" spans="1:4" x14ac:dyDescent="0.25">
      <c r="A410">
        <v>409</v>
      </c>
      <c r="B410">
        <f>DallasSim!I410</f>
        <v>46.887409394160166</v>
      </c>
      <c r="C410">
        <f>BostonSim!I410</f>
        <v>22.496608748545562</v>
      </c>
      <c r="D410" t="str">
        <f t="shared" si="6"/>
        <v>W</v>
      </c>
    </row>
    <row r="411" spans="1:4" x14ac:dyDescent="0.25">
      <c r="A411">
        <v>410</v>
      </c>
      <c r="B411">
        <f>DallasSim!I411</f>
        <v>44.910444648197725</v>
      </c>
      <c r="C411">
        <f>BostonSim!I411</f>
        <v>28.936687360272309</v>
      </c>
      <c r="D411" t="str">
        <f t="shared" si="6"/>
        <v>W</v>
      </c>
    </row>
    <row r="412" spans="1:4" x14ac:dyDescent="0.25">
      <c r="A412">
        <v>411</v>
      </c>
      <c r="B412">
        <f>DallasSim!I412</f>
        <v>42.742136514316854</v>
      </c>
      <c r="C412">
        <f>BostonSim!I412</f>
        <v>30.796719711633102</v>
      </c>
      <c r="D412" t="str">
        <f t="shared" si="6"/>
        <v>W</v>
      </c>
    </row>
    <row r="413" spans="1:4" x14ac:dyDescent="0.25">
      <c r="A413">
        <v>412</v>
      </c>
      <c r="B413">
        <f>DallasSim!I413</f>
        <v>35.166866327702984</v>
      </c>
      <c r="C413">
        <f>BostonSim!I413</f>
        <v>26.775076911981508</v>
      </c>
      <c r="D413" t="str">
        <f t="shared" si="6"/>
        <v>W</v>
      </c>
    </row>
    <row r="414" spans="1:4" x14ac:dyDescent="0.25">
      <c r="A414">
        <v>413</v>
      </c>
      <c r="B414">
        <f>DallasSim!I414</f>
        <v>32.468973774562158</v>
      </c>
      <c r="C414">
        <f>BostonSim!I414</f>
        <v>30.481473607515504</v>
      </c>
      <c r="D414" t="str">
        <f t="shared" si="6"/>
        <v>W</v>
      </c>
    </row>
    <row r="415" spans="1:4" x14ac:dyDescent="0.25">
      <c r="A415">
        <v>414</v>
      </c>
      <c r="B415">
        <f>DallasSim!I415</f>
        <v>51.127165741651908</v>
      </c>
      <c r="C415">
        <f>BostonSim!I415</f>
        <v>30.511807618755192</v>
      </c>
      <c r="D415" t="str">
        <f t="shared" si="6"/>
        <v>W</v>
      </c>
    </row>
    <row r="416" spans="1:4" x14ac:dyDescent="0.25">
      <c r="A416">
        <v>415</v>
      </c>
      <c r="B416">
        <f>DallasSim!I416</f>
        <v>41.807095194420405</v>
      </c>
      <c r="C416">
        <f>BostonSim!I416</f>
        <v>27.265190734609675</v>
      </c>
      <c r="D416" t="str">
        <f t="shared" si="6"/>
        <v>W</v>
      </c>
    </row>
    <row r="417" spans="1:4" x14ac:dyDescent="0.25">
      <c r="A417">
        <v>416</v>
      </c>
      <c r="B417">
        <f>DallasSim!I417</f>
        <v>49.668260613239035</v>
      </c>
      <c r="C417">
        <f>BostonSim!I417</f>
        <v>26.799855991831397</v>
      </c>
      <c r="D417" t="str">
        <f t="shared" si="6"/>
        <v>W</v>
      </c>
    </row>
    <row r="418" spans="1:4" x14ac:dyDescent="0.25">
      <c r="A418">
        <v>417</v>
      </c>
      <c r="B418">
        <f>DallasSim!I418</f>
        <v>47.138913072623794</v>
      </c>
      <c r="C418">
        <f>BostonSim!I418</f>
        <v>29.308296818456153</v>
      </c>
      <c r="D418" t="str">
        <f t="shared" si="6"/>
        <v>W</v>
      </c>
    </row>
    <row r="419" spans="1:4" x14ac:dyDescent="0.25">
      <c r="A419">
        <v>418</v>
      </c>
      <c r="B419">
        <f>DallasSim!I419</f>
        <v>44.841070605376565</v>
      </c>
      <c r="C419">
        <f>BostonSim!I419</f>
        <v>29.237691756682409</v>
      </c>
      <c r="D419" t="str">
        <f t="shared" si="6"/>
        <v>W</v>
      </c>
    </row>
    <row r="420" spans="1:4" x14ac:dyDescent="0.25">
      <c r="A420">
        <v>419</v>
      </c>
      <c r="B420">
        <f>DallasSim!I420</f>
        <v>48.857711690537009</v>
      </c>
      <c r="C420">
        <f>BostonSim!I420</f>
        <v>20.865171303801457</v>
      </c>
      <c r="D420" t="str">
        <f t="shared" si="6"/>
        <v>W</v>
      </c>
    </row>
    <row r="421" spans="1:4" x14ac:dyDescent="0.25">
      <c r="A421">
        <v>420</v>
      </c>
      <c r="B421">
        <f>DallasSim!I421</f>
        <v>38.689976829590428</v>
      </c>
      <c r="C421">
        <f>BostonSim!I421</f>
        <v>29.751133700033247</v>
      </c>
      <c r="D421" t="str">
        <f t="shared" si="6"/>
        <v>W</v>
      </c>
    </row>
    <row r="422" spans="1:4" x14ac:dyDescent="0.25">
      <c r="A422">
        <v>421</v>
      </c>
      <c r="B422">
        <f>DallasSim!I422</f>
        <v>46.120710624964254</v>
      </c>
      <c r="C422">
        <f>BostonSim!I422</f>
        <v>31.632565838411868</v>
      </c>
      <c r="D422" t="str">
        <f t="shared" si="6"/>
        <v>W</v>
      </c>
    </row>
    <row r="423" spans="1:4" x14ac:dyDescent="0.25">
      <c r="A423">
        <v>422</v>
      </c>
      <c r="B423">
        <f>DallasSim!I423</f>
        <v>39.437446156746056</v>
      </c>
      <c r="C423">
        <f>BostonSim!I423</f>
        <v>30.315634210715469</v>
      </c>
      <c r="D423" t="str">
        <f t="shared" si="6"/>
        <v>W</v>
      </c>
    </row>
    <row r="424" spans="1:4" x14ac:dyDescent="0.25">
      <c r="A424">
        <v>423</v>
      </c>
      <c r="B424">
        <f>DallasSim!I424</f>
        <v>38.017822860646802</v>
      </c>
      <c r="C424">
        <f>BostonSim!I424</f>
        <v>25.650072340705833</v>
      </c>
      <c r="D424" t="str">
        <f t="shared" si="6"/>
        <v>W</v>
      </c>
    </row>
    <row r="425" spans="1:4" x14ac:dyDescent="0.25">
      <c r="A425">
        <v>424</v>
      </c>
      <c r="B425">
        <f>DallasSim!I425</f>
        <v>43.263969838724321</v>
      </c>
      <c r="C425">
        <f>BostonSim!I425</f>
        <v>28.086479950272746</v>
      </c>
      <c r="D425" t="str">
        <f t="shared" si="6"/>
        <v>W</v>
      </c>
    </row>
    <row r="426" spans="1:4" x14ac:dyDescent="0.25">
      <c r="A426">
        <v>425</v>
      </c>
      <c r="B426">
        <f>DallasSim!I426</f>
        <v>48.584413850368357</v>
      </c>
      <c r="C426">
        <f>BostonSim!I426</f>
        <v>18.402143700994916</v>
      </c>
      <c r="D426" t="str">
        <f t="shared" si="6"/>
        <v>W</v>
      </c>
    </row>
    <row r="427" spans="1:4" x14ac:dyDescent="0.25">
      <c r="A427">
        <v>426</v>
      </c>
      <c r="B427">
        <f>DallasSim!I427</f>
        <v>43.30201749516511</v>
      </c>
      <c r="C427">
        <f>BostonSim!I427</f>
        <v>27.957750426294911</v>
      </c>
      <c r="D427" t="str">
        <f t="shared" si="6"/>
        <v>W</v>
      </c>
    </row>
    <row r="428" spans="1:4" x14ac:dyDescent="0.25">
      <c r="A428">
        <v>427</v>
      </c>
      <c r="B428">
        <f>DallasSim!I428</f>
        <v>49.248927963702322</v>
      </c>
      <c r="C428">
        <f>BostonSim!I428</f>
        <v>31.118029605276153</v>
      </c>
      <c r="D428" t="str">
        <f t="shared" si="6"/>
        <v>W</v>
      </c>
    </row>
    <row r="429" spans="1:4" x14ac:dyDescent="0.25">
      <c r="A429">
        <v>428</v>
      </c>
      <c r="B429">
        <f>DallasSim!I429</f>
        <v>37.156734083292875</v>
      </c>
      <c r="C429">
        <f>BostonSim!I429</f>
        <v>24.888431922496743</v>
      </c>
      <c r="D429" t="str">
        <f t="shared" si="6"/>
        <v>W</v>
      </c>
    </row>
    <row r="430" spans="1:4" x14ac:dyDescent="0.25">
      <c r="A430">
        <v>429</v>
      </c>
      <c r="B430">
        <f>DallasSim!I430</f>
        <v>50.035820334404235</v>
      </c>
      <c r="C430">
        <f>BostonSim!I430</f>
        <v>30.413581367371094</v>
      </c>
      <c r="D430" t="str">
        <f t="shared" si="6"/>
        <v>W</v>
      </c>
    </row>
    <row r="431" spans="1:4" x14ac:dyDescent="0.25">
      <c r="A431">
        <v>430</v>
      </c>
      <c r="B431">
        <f>DallasSim!I431</f>
        <v>43.993078752774636</v>
      </c>
      <c r="C431">
        <f>BostonSim!I431</f>
        <v>24.67361885364171</v>
      </c>
      <c r="D431" t="str">
        <f t="shared" si="6"/>
        <v>W</v>
      </c>
    </row>
    <row r="432" spans="1:4" x14ac:dyDescent="0.25">
      <c r="A432">
        <v>431</v>
      </c>
      <c r="B432">
        <f>DallasSim!I432</f>
        <v>47.976351050016085</v>
      </c>
      <c r="C432">
        <f>BostonSim!I432</f>
        <v>25.642888345485765</v>
      </c>
      <c r="D432" t="str">
        <f t="shared" si="6"/>
        <v>W</v>
      </c>
    </row>
    <row r="433" spans="1:4" x14ac:dyDescent="0.25">
      <c r="A433">
        <v>432</v>
      </c>
      <c r="B433">
        <f>DallasSim!I433</f>
        <v>42.89646198517525</v>
      </c>
      <c r="C433">
        <f>BostonSim!I433</f>
        <v>24.365815996200332</v>
      </c>
      <c r="D433" t="str">
        <f t="shared" si="6"/>
        <v>W</v>
      </c>
    </row>
    <row r="434" spans="1:4" x14ac:dyDescent="0.25">
      <c r="A434">
        <v>433</v>
      </c>
      <c r="B434">
        <f>DallasSim!I434</f>
        <v>39.213067205260444</v>
      </c>
      <c r="C434">
        <f>BostonSim!I434</f>
        <v>26.486885679936915</v>
      </c>
      <c r="D434" t="str">
        <f t="shared" si="6"/>
        <v>W</v>
      </c>
    </row>
    <row r="435" spans="1:4" x14ac:dyDescent="0.25">
      <c r="A435">
        <v>434</v>
      </c>
      <c r="B435">
        <f>DallasSim!I435</f>
        <v>48.576489606398653</v>
      </c>
      <c r="C435">
        <f>BostonSim!I435</f>
        <v>25.704202639010077</v>
      </c>
      <c r="D435" t="str">
        <f t="shared" si="6"/>
        <v>W</v>
      </c>
    </row>
    <row r="436" spans="1:4" x14ac:dyDescent="0.25">
      <c r="A436">
        <v>435</v>
      </c>
      <c r="B436">
        <f>DallasSim!I436</f>
        <v>50.586578814567325</v>
      </c>
      <c r="C436">
        <f>BostonSim!I436</f>
        <v>27.531561348124885</v>
      </c>
      <c r="D436" t="str">
        <f t="shared" si="6"/>
        <v>W</v>
      </c>
    </row>
    <row r="437" spans="1:4" x14ac:dyDescent="0.25">
      <c r="A437">
        <v>436</v>
      </c>
      <c r="B437">
        <f>DallasSim!I437</f>
        <v>49.315731346664201</v>
      </c>
      <c r="C437">
        <f>BostonSim!I437</f>
        <v>31.22038746442221</v>
      </c>
      <c r="D437" t="str">
        <f t="shared" si="6"/>
        <v>W</v>
      </c>
    </row>
    <row r="438" spans="1:4" x14ac:dyDescent="0.25">
      <c r="A438">
        <v>437</v>
      </c>
      <c r="B438">
        <f>DallasSim!I438</f>
        <v>43.863547695868029</v>
      </c>
      <c r="C438">
        <f>BostonSim!I438</f>
        <v>21.657792768131081</v>
      </c>
      <c r="D438" t="str">
        <f t="shared" si="6"/>
        <v>W</v>
      </c>
    </row>
    <row r="439" spans="1:4" x14ac:dyDescent="0.25">
      <c r="A439">
        <v>438</v>
      </c>
      <c r="B439">
        <f>DallasSim!I439</f>
        <v>48.07085072878435</v>
      </c>
      <c r="C439">
        <f>BostonSim!I439</f>
        <v>24.534435636831272</v>
      </c>
      <c r="D439" t="str">
        <f t="shared" si="6"/>
        <v>W</v>
      </c>
    </row>
    <row r="440" spans="1:4" x14ac:dyDescent="0.25">
      <c r="A440">
        <v>439</v>
      </c>
      <c r="B440">
        <f>DallasSim!I440</f>
        <v>48.156842030085834</v>
      </c>
      <c r="C440">
        <f>BostonSim!I440</f>
        <v>19.727648611194464</v>
      </c>
      <c r="D440" t="str">
        <f t="shared" si="6"/>
        <v>W</v>
      </c>
    </row>
    <row r="441" spans="1:4" x14ac:dyDescent="0.25">
      <c r="A441">
        <v>440</v>
      </c>
      <c r="B441">
        <f>DallasSim!I441</f>
        <v>50.265292577829904</v>
      </c>
      <c r="C441">
        <f>BostonSim!I441</f>
        <v>30.069394220422076</v>
      </c>
      <c r="D441" t="str">
        <f t="shared" si="6"/>
        <v>W</v>
      </c>
    </row>
    <row r="442" spans="1:4" x14ac:dyDescent="0.25">
      <c r="A442">
        <v>441</v>
      </c>
      <c r="B442">
        <f>DallasSim!I442</f>
        <v>41.153813682169776</v>
      </c>
      <c r="C442">
        <f>BostonSim!I442</f>
        <v>23.949908853995549</v>
      </c>
      <c r="D442" t="str">
        <f t="shared" si="6"/>
        <v>W</v>
      </c>
    </row>
    <row r="443" spans="1:4" x14ac:dyDescent="0.25">
      <c r="A443">
        <v>442</v>
      </c>
      <c r="B443">
        <f>DallasSim!I443</f>
        <v>43.845567015497075</v>
      </c>
      <c r="C443">
        <f>BostonSim!I443</f>
        <v>29.182217558349926</v>
      </c>
      <c r="D443" t="str">
        <f t="shared" si="6"/>
        <v>W</v>
      </c>
    </row>
    <row r="444" spans="1:4" x14ac:dyDescent="0.25">
      <c r="A444">
        <v>443</v>
      </c>
      <c r="B444">
        <f>DallasSim!I444</f>
        <v>39.642454532926415</v>
      </c>
      <c r="C444">
        <f>BostonSim!I444</f>
        <v>29.566826817164994</v>
      </c>
      <c r="D444" t="str">
        <f t="shared" si="6"/>
        <v>W</v>
      </c>
    </row>
    <row r="445" spans="1:4" x14ac:dyDescent="0.25">
      <c r="A445">
        <v>444</v>
      </c>
      <c r="B445">
        <f>DallasSim!I445</f>
        <v>44.433715004041012</v>
      </c>
      <c r="C445">
        <f>BostonSim!I445</f>
        <v>31.093360550946784</v>
      </c>
      <c r="D445" t="str">
        <f t="shared" si="6"/>
        <v>W</v>
      </c>
    </row>
    <row r="446" spans="1:4" x14ac:dyDescent="0.25">
      <c r="A446">
        <v>445</v>
      </c>
      <c r="B446">
        <f>DallasSim!I446</f>
        <v>42.412926654768363</v>
      </c>
      <c r="C446">
        <f>BostonSim!I446</f>
        <v>27.655508686444044</v>
      </c>
      <c r="D446" t="str">
        <f t="shared" si="6"/>
        <v>W</v>
      </c>
    </row>
    <row r="447" spans="1:4" x14ac:dyDescent="0.25">
      <c r="A447">
        <v>446</v>
      </c>
      <c r="B447">
        <f>DallasSim!I447</f>
        <v>49.325387936132302</v>
      </c>
      <c r="C447">
        <f>BostonSim!I447</f>
        <v>30.260478289751902</v>
      </c>
      <c r="D447" t="str">
        <f t="shared" si="6"/>
        <v>W</v>
      </c>
    </row>
    <row r="448" spans="1:4" x14ac:dyDescent="0.25">
      <c r="A448">
        <v>447</v>
      </c>
      <c r="B448">
        <f>DallasSim!I448</f>
        <v>49.869534516113561</v>
      </c>
      <c r="C448">
        <f>BostonSim!I448</f>
        <v>26.260069113824276</v>
      </c>
      <c r="D448" t="str">
        <f t="shared" si="6"/>
        <v>W</v>
      </c>
    </row>
    <row r="449" spans="1:4" x14ac:dyDescent="0.25">
      <c r="A449">
        <v>448</v>
      </c>
      <c r="B449">
        <f>DallasSim!I449</f>
        <v>49.755749229004365</v>
      </c>
      <c r="C449">
        <f>BostonSim!I449</f>
        <v>30.145897849984824</v>
      </c>
      <c r="D449" t="str">
        <f t="shared" si="6"/>
        <v>W</v>
      </c>
    </row>
    <row r="450" spans="1:4" x14ac:dyDescent="0.25">
      <c r="A450">
        <v>449</v>
      </c>
      <c r="B450">
        <f>DallasSim!I450</f>
        <v>40.025541066504552</v>
      </c>
      <c r="C450">
        <f>BostonSim!I450</f>
        <v>28.601926424391912</v>
      </c>
      <c r="D450" t="str">
        <f t="shared" si="6"/>
        <v>W</v>
      </c>
    </row>
    <row r="451" spans="1:4" x14ac:dyDescent="0.25">
      <c r="A451">
        <v>450</v>
      </c>
      <c r="B451">
        <f>DallasSim!I451</f>
        <v>49.517958467449333</v>
      </c>
      <c r="C451">
        <f>BostonSim!I451</f>
        <v>24.543119281012803</v>
      </c>
      <c r="D451" t="str">
        <f t="shared" ref="D451:D514" si="7">IF(B451&gt;C451,"W",IF(B451&lt;C451,"L","T"))</f>
        <v>W</v>
      </c>
    </row>
    <row r="452" spans="1:4" x14ac:dyDescent="0.25">
      <c r="A452">
        <v>451</v>
      </c>
      <c r="B452">
        <f>DallasSim!I452</f>
        <v>44.711425259463965</v>
      </c>
      <c r="C452">
        <f>BostonSim!I452</f>
        <v>31.67076272165421</v>
      </c>
      <c r="D452" t="str">
        <f t="shared" si="7"/>
        <v>W</v>
      </c>
    </row>
    <row r="453" spans="1:4" x14ac:dyDescent="0.25">
      <c r="A453">
        <v>452</v>
      </c>
      <c r="B453">
        <f>DallasSim!I453</f>
        <v>29.380266623544362</v>
      </c>
      <c r="C453">
        <f>BostonSim!I453</f>
        <v>25.349079475557136</v>
      </c>
      <c r="D453" t="str">
        <f t="shared" si="7"/>
        <v>W</v>
      </c>
    </row>
    <row r="454" spans="1:4" x14ac:dyDescent="0.25">
      <c r="A454">
        <v>453</v>
      </c>
      <c r="B454">
        <f>DallasSim!I454</f>
        <v>32.465295629947221</v>
      </c>
      <c r="C454">
        <f>BostonSim!I454</f>
        <v>28.516069285386997</v>
      </c>
      <c r="D454" t="str">
        <f t="shared" si="7"/>
        <v>W</v>
      </c>
    </row>
    <row r="455" spans="1:4" x14ac:dyDescent="0.25">
      <c r="A455">
        <v>454</v>
      </c>
      <c r="B455">
        <f>DallasSim!I455</f>
        <v>50.276136538270329</v>
      </c>
      <c r="C455">
        <f>BostonSim!I455</f>
        <v>24.010355505828887</v>
      </c>
      <c r="D455" t="str">
        <f t="shared" si="7"/>
        <v>W</v>
      </c>
    </row>
    <row r="456" spans="1:4" x14ac:dyDescent="0.25">
      <c r="A456">
        <v>455</v>
      </c>
      <c r="B456">
        <f>DallasSim!I456</f>
        <v>48.921199515534475</v>
      </c>
      <c r="C456">
        <f>BostonSim!I456</f>
        <v>23.873296260602796</v>
      </c>
      <c r="D456" t="str">
        <f t="shared" si="7"/>
        <v>W</v>
      </c>
    </row>
    <row r="457" spans="1:4" x14ac:dyDescent="0.25">
      <c r="A457">
        <v>456</v>
      </c>
      <c r="B457">
        <f>DallasSim!I457</f>
        <v>43.772721390800221</v>
      </c>
      <c r="C457">
        <f>BostonSim!I457</f>
        <v>24.931976411201223</v>
      </c>
      <c r="D457" t="str">
        <f t="shared" si="7"/>
        <v>W</v>
      </c>
    </row>
    <row r="458" spans="1:4" x14ac:dyDescent="0.25">
      <c r="A458">
        <v>457</v>
      </c>
      <c r="B458">
        <f>DallasSim!I458</f>
        <v>36.955123865747225</v>
      </c>
      <c r="C458">
        <f>BostonSim!I458</f>
        <v>18.191867636369999</v>
      </c>
      <c r="D458" t="str">
        <f t="shared" si="7"/>
        <v>W</v>
      </c>
    </row>
    <row r="459" spans="1:4" x14ac:dyDescent="0.25">
      <c r="A459">
        <v>458</v>
      </c>
      <c r="B459">
        <f>DallasSim!I459</f>
        <v>40.861847567400176</v>
      </c>
      <c r="C459">
        <f>BostonSim!I459</f>
        <v>31.138522138490025</v>
      </c>
      <c r="D459" t="str">
        <f t="shared" si="7"/>
        <v>W</v>
      </c>
    </row>
    <row r="460" spans="1:4" x14ac:dyDescent="0.25">
      <c r="A460">
        <v>459</v>
      </c>
      <c r="B460">
        <f>DallasSim!I460</f>
        <v>49.423442841922046</v>
      </c>
      <c r="C460">
        <f>BostonSim!I460</f>
        <v>28.777149361049261</v>
      </c>
      <c r="D460" t="str">
        <f t="shared" si="7"/>
        <v>W</v>
      </c>
    </row>
    <row r="461" spans="1:4" x14ac:dyDescent="0.25">
      <c r="A461">
        <v>460</v>
      </c>
      <c r="B461">
        <f>DallasSim!I461</f>
        <v>49.982189809473326</v>
      </c>
      <c r="C461">
        <f>BostonSim!I461</f>
        <v>31.153060636841275</v>
      </c>
      <c r="D461" t="str">
        <f t="shared" si="7"/>
        <v>W</v>
      </c>
    </row>
    <row r="462" spans="1:4" x14ac:dyDescent="0.25">
      <c r="A462">
        <v>461</v>
      </c>
      <c r="B462">
        <f>DallasSim!I462</f>
        <v>46.22785291861846</v>
      </c>
      <c r="C462">
        <f>BostonSim!I462</f>
        <v>31.130175340768513</v>
      </c>
      <c r="D462" t="str">
        <f t="shared" si="7"/>
        <v>W</v>
      </c>
    </row>
    <row r="463" spans="1:4" x14ac:dyDescent="0.25">
      <c r="A463">
        <v>462</v>
      </c>
      <c r="B463">
        <f>DallasSim!I463</f>
        <v>49.687782581254496</v>
      </c>
      <c r="C463">
        <f>BostonSim!I463</f>
        <v>29.724088292036747</v>
      </c>
      <c r="D463" t="str">
        <f t="shared" si="7"/>
        <v>W</v>
      </c>
    </row>
    <row r="464" spans="1:4" x14ac:dyDescent="0.25">
      <c r="A464">
        <v>463</v>
      </c>
      <c r="B464">
        <f>DallasSim!I464</f>
        <v>40.891619300854813</v>
      </c>
      <c r="C464">
        <f>BostonSim!I464</f>
        <v>30.993467985777734</v>
      </c>
      <c r="D464" t="str">
        <f t="shared" si="7"/>
        <v>W</v>
      </c>
    </row>
    <row r="465" spans="1:4" x14ac:dyDescent="0.25">
      <c r="A465">
        <v>464</v>
      </c>
      <c r="B465">
        <f>DallasSim!I465</f>
        <v>49.314910688895942</v>
      </c>
      <c r="C465">
        <f>BostonSim!I465</f>
        <v>25.249646483861852</v>
      </c>
      <c r="D465" t="str">
        <f t="shared" si="7"/>
        <v>W</v>
      </c>
    </row>
    <row r="466" spans="1:4" x14ac:dyDescent="0.25">
      <c r="A466">
        <v>465</v>
      </c>
      <c r="B466">
        <f>DallasSim!I466</f>
        <v>42.954039615251233</v>
      </c>
      <c r="C466">
        <f>BostonSim!I466</f>
        <v>31.763692108801305</v>
      </c>
      <c r="D466" t="str">
        <f t="shared" si="7"/>
        <v>W</v>
      </c>
    </row>
    <row r="467" spans="1:4" x14ac:dyDescent="0.25">
      <c r="A467">
        <v>466</v>
      </c>
      <c r="B467">
        <f>DallasSim!I467</f>
        <v>34.103816548933281</v>
      </c>
      <c r="C467">
        <f>BostonSim!I467</f>
        <v>22.687789588955908</v>
      </c>
      <c r="D467" t="str">
        <f t="shared" si="7"/>
        <v>W</v>
      </c>
    </row>
    <row r="468" spans="1:4" x14ac:dyDescent="0.25">
      <c r="A468">
        <v>467</v>
      </c>
      <c r="B468">
        <f>DallasSim!I468</f>
        <v>44.170099091604797</v>
      </c>
      <c r="C468">
        <f>BostonSim!I468</f>
        <v>24.830013342635894</v>
      </c>
      <c r="D468" t="str">
        <f t="shared" si="7"/>
        <v>W</v>
      </c>
    </row>
    <row r="469" spans="1:4" x14ac:dyDescent="0.25">
      <c r="A469">
        <v>468</v>
      </c>
      <c r="B469">
        <f>DallasSim!I469</f>
        <v>45.539855334015577</v>
      </c>
      <c r="C469">
        <f>BostonSim!I469</f>
        <v>30.543511349186293</v>
      </c>
      <c r="D469" t="str">
        <f t="shared" si="7"/>
        <v>W</v>
      </c>
    </row>
    <row r="470" spans="1:4" x14ac:dyDescent="0.25">
      <c r="A470">
        <v>469</v>
      </c>
      <c r="B470">
        <f>DallasSim!I470</f>
        <v>50.071335470710963</v>
      </c>
      <c r="C470">
        <f>BostonSim!I470</f>
        <v>30.940687157871917</v>
      </c>
      <c r="D470" t="str">
        <f t="shared" si="7"/>
        <v>W</v>
      </c>
    </row>
    <row r="471" spans="1:4" x14ac:dyDescent="0.25">
      <c r="A471">
        <v>470</v>
      </c>
      <c r="B471">
        <f>DallasSim!I471</f>
        <v>34.865607291094484</v>
      </c>
      <c r="C471">
        <f>BostonSim!I471</f>
        <v>30.184524396470692</v>
      </c>
      <c r="D471" t="str">
        <f t="shared" si="7"/>
        <v>W</v>
      </c>
    </row>
    <row r="472" spans="1:4" x14ac:dyDescent="0.25">
      <c r="A472">
        <v>471</v>
      </c>
      <c r="B472">
        <f>DallasSim!I472</f>
        <v>48.287624838552532</v>
      </c>
      <c r="C472">
        <f>BostonSim!I472</f>
        <v>25.258526949071182</v>
      </c>
      <c r="D472" t="str">
        <f t="shared" si="7"/>
        <v>W</v>
      </c>
    </row>
    <row r="473" spans="1:4" x14ac:dyDescent="0.25">
      <c r="A473">
        <v>472</v>
      </c>
      <c r="B473">
        <f>DallasSim!I473</f>
        <v>49.982019011712573</v>
      </c>
      <c r="C473">
        <f>BostonSim!I473</f>
        <v>31.540498805507386</v>
      </c>
      <c r="D473" t="str">
        <f t="shared" si="7"/>
        <v>W</v>
      </c>
    </row>
    <row r="474" spans="1:4" x14ac:dyDescent="0.25">
      <c r="A474">
        <v>473</v>
      </c>
      <c r="B474">
        <f>DallasSim!I474</f>
        <v>42.882360855731825</v>
      </c>
      <c r="C474">
        <f>BostonSim!I474</f>
        <v>23.821295518291222</v>
      </c>
      <c r="D474" t="str">
        <f t="shared" si="7"/>
        <v>W</v>
      </c>
    </row>
    <row r="475" spans="1:4" x14ac:dyDescent="0.25">
      <c r="A475">
        <v>474</v>
      </c>
      <c r="B475">
        <f>DallasSim!I475</f>
        <v>44.012683963537128</v>
      </c>
      <c r="C475">
        <f>BostonSim!I475</f>
        <v>29.33297583157486</v>
      </c>
      <c r="D475" t="str">
        <f t="shared" si="7"/>
        <v>W</v>
      </c>
    </row>
    <row r="476" spans="1:4" x14ac:dyDescent="0.25">
      <c r="A476">
        <v>475</v>
      </c>
      <c r="B476">
        <f>DallasSim!I476</f>
        <v>49.114784459462726</v>
      </c>
      <c r="C476">
        <f>BostonSim!I476</f>
        <v>29.176890703611058</v>
      </c>
      <c r="D476" t="str">
        <f t="shared" si="7"/>
        <v>W</v>
      </c>
    </row>
    <row r="477" spans="1:4" x14ac:dyDescent="0.25">
      <c r="A477">
        <v>476</v>
      </c>
      <c r="B477">
        <f>DallasSim!I477</f>
        <v>50.046021705793216</v>
      </c>
      <c r="C477">
        <f>BostonSim!I477</f>
        <v>29.91322168408724</v>
      </c>
      <c r="D477" t="str">
        <f t="shared" si="7"/>
        <v>W</v>
      </c>
    </row>
    <row r="478" spans="1:4" x14ac:dyDescent="0.25">
      <c r="A478">
        <v>477</v>
      </c>
      <c r="B478">
        <f>DallasSim!I478</f>
        <v>49.179984869186995</v>
      </c>
      <c r="C478">
        <f>BostonSim!I478</f>
        <v>25.374087895462168</v>
      </c>
      <c r="D478" t="str">
        <f t="shared" si="7"/>
        <v>W</v>
      </c>
    </row>
    <row r="479" spans="1:4" x14ac:dyDescent="0.25">
      <c r="A479">
        <v>478</v>
      </c>
      <c r="B479">
        <f>DallasSim!I479</f>
        <v>36.076968922904712</v>
      </c>
      <c r="C479">
        <f>BostonSim!I479</f>
        <v>30.3095974317201</v>
      </c>
      <c r="D479" t="str">
        <f t="shared" si="7"/>
        <v>W</v>
      </c>
    </row>
    <row r="480" spans="1:4" x14ac:dyDescent="0.25">
      <c r="A480">
        <v>479</v>
      </c>
      <c r="B480">
        <f>DallasSim!I480</f>
        <v>39.75210205627932</v>
      </c>
      <c r="C480">
        <f>BostonSim!I480</f>
        <v>30.016675143988213</v>
      </c>
      <c r="D480" t="str">
        <f t="shared" si="7"/>
        <v>W</v>
      </c>
    </row>
    <row r="481" spans="1:4" x14ac:dyDescent="0.25">
      <c r="A481">
        <v>480</v>
      </c>
      <c r="B481">
        <f>DallasSim!I481</f>
        <v>49.701037281665116</v>
      </c>
      <c r="C481">
        <f>BostonSim!I481</f>
        <v>25.062471129410941</v>
      </c>
      <c r="D481" t="str">
        <f t="shared" si="7"/>
        <v>W</v>
      </c>
    </row>
    <row r="482" spans="1:4" x14ac:dyDescent="0.25">
      <c r="A482">
        <v>481</v>
      </c>
      <c r="B482">
        <f>DallasSim!I482</f>
        <v>44.782754413017102</v>
      </c>
      <c r="C482">
        <f>BostonSim!I482</f>
        <v>30.470142565086185</v>
      </c>
      <c r="D482" t="str">
        <f t="shared" si="7"/>
        <v>W</v>
      </c>
    </row>
    <row r="483" spans="1:4" x14ac:dyDescent="0.25">
      <c r="A483">
        <v>482</v>
      </c>
      <c r="B483">
        <f>DallasSim!I483</f>
        <v>47.379979061149243</v>
      </c>
      <c r="C483">
        <f>BostonSim!I483</f>
        <v>27.343337327524011</v>
      </c>
      <c r="D483" t="str">
        <f t="shared" si="7"/>
        <v>W</v>
      </c>
    </row>
    <row r="484" spans="1:4" x14ac:dyDescent="0.25">
      <c r="A484">
        <v>483</v>
      </c>
      <c r="B484">
        <f>DallasSim!I484</f>
        <v>43.780824313759446</v>
      </c>
      <c r="C484">
        <f>BostonSim!I484</f>
        <v>30.033942859904528</v>
      </c>
      <c r="D484" t="str">
        <f t="shared" si="7"/>
        <v>W</v>
      </c>
    </row>
    <row r="485" spans="1:4" x14ac:dyDescent="0.25">
      <c r="A485">
        <v>484</v>
      </c>
      <c r="B485">
        <f>DallasSim!I485</f>
        <v>44.65142822749111</v>
      </c>
      <c r="C485">
        <f>BostonSim!I485</f>
        <v>30.130652415427814</v>
      </c>
      <c r="D485" t="str">
        <f t="shared" si="7"/>
        <v>W</v>
      </c>
    </row>
    <row r="486" spans="1:4" x14ac:dyDescent="0.25">
      <c r="A486">
        <v>485</v>
      </c>
      <c r="B486">
        <f>DallasSim!I486</f>
        <v>42.306307388419427</v>
      </c>
      <c r="C486">
        <f>BostonSim!I486</f>
        <v>25.212808808183265</v>
      </c>
      <c r="D486" t="str">
        <f t="shared" si="7"/>
        <v>W</v>
      </c>
    </row>
    <row r="487" spans="1:4" x14ac:dyDescent="0.25">
      <c r="A487">
        <v>486</v>
      </c>
      <c r="B487">
        <f>DallasSim!I487</f>
        <v>48.310012634406391</v>
      </c>
      <c r="C487">
        <f>BostonSim!I487</f>
        <v>28.209896770108521</v>
      </c>
      <c r="D487" t="str">
        <f t="shared" si="7"/>
        <v>W</v>
      </c>
    </row>
    <row r="488" spans="1:4" x14ac:dyDescent="0.25">
      <c r="A488">
        <v>487</v>
      </c>
      <c r="B488">
        <f>DallasSim!I488</f>
        <v>39.857565947841643</v>
      </c>
      <c r="C488">
        <f>BostonSim!I488</f>
        <v>31.527497673447904</v>
      </c>
      <c r="D488" t="str">
        <f t="shared" si="7"/>
        <v>W</v>
      </c>
    </row>
    <row r="489" spans="1:4" x14ac:dyDescent="0.25">
      <c r="A489">
        <v>488</v>
      </c>
      <c r="B489">
        <f>DallasSim!I489</f>
        <v>45.03672139302283</v>
      </c>
      <c r="C489">
        <f>BostonSim!I489</f>
        <v>24.732208810575944</v>
      </c>
      <c r="D489" t="str">
        <f t="shared" si="7"/>
        <v>W</v>
      </c>
    </row>
    <row r="490" spans="1:4" x14ac:dyDescent="0.25">
      <c r="A490">
        <v>489</v>
      </c>
      <c r="B490">
        <f>DallasSim!I490</f>
        <v>50.949334089808708</v>
      </c>
      <c r="C490">
        <f>BostonSim!I490</f>
        <v>23.818316142861747</v>
      </c>
      <c r="D490" t="str">
        <f t="shared" si="7"/>
        <v>W</v>
      </c>
    </row>
    <row r="491" spans="1:4" x14ac:dyDescent="0.25">
      <c r="A491">
        <v>490</v>
      </c>
      <c r="B491">
        <f>DallasSim!I491</f>
        <v>49.210271948411432</v>
      </c>
      <c r="C491">
        <f>BostonSim!I491</f>
        <v>23.205036933655748</v>
      </c>
      <c r="D491" t="str">
        <f t="shared" si="7"/>
        <v>W</v>
      </c>
    </row>
    <row r="492" spans="1:4" x14ac:dyDescent="0.25">
      <c r="A492">
        <v>491</v>
      </c>
      <c r="B492">
        <f>DallasSim!I492</f>
        <v>33.127188626406586</v>
      </c>
      <c r="C492">
        <f>BostonSim!I492</f>
        <v>22.343614388016785</v>
      </c>
      <c r="D492" t="str">
        <f t="shared" si="7"/>
        <v>W</v>
      </c>
    </row>
    <row r="493" spans="1:4" x14ac:dyDescent="0.25">
      <c r="A493">
        <v>492</v>
      </c>
      <c r="B493">
        <f>DallasSim!I493</f>
        <v>43.957151973985042</v>
      </c>
      <c r="C493">
        <f>BostonSim!I493</f>
        <v>28.494649126181599</v>
      </c>
      <c r="D493" t="str">
        <f t="shared" si="7"/>
        <v>W</v>
      </c>
    </row>
    <row r="494" spans="1:4" x14ac:dyDescent="0.25">
      <c r="A494">
        <v>493</v>
      </c>
      <c r="B494">
        <f>DallasSim!I494</f>
        <v>47.962387889148935</v>
      </c>
      <c r="C494">
        <f>BostonSim!I494</f>
        <v>31.301593025641484</v>
      </c>
      <c r="D494" t="str">
        <f t="shared" si="7"/>
        <v>W</v>
      </c>
    </row>
    <row r="495" spans="1:4" x14ac:dyDescent="0.25">
      <c r="A495">
        <v>494</v>
      </c>
      <c r="B495">
        <f>DallasSim!I495</f>
        <v>47.586451026881605</v>
      </c>
      <c r="C495">
        <f>BostonSim!I495</f>
        <v>25.689024920650713</v>
      </c>
      <c r="D495" t="str">
        <f t="shared" si="7"/>
        <v>W</v>
      </c>
    </row>
    <row r="496" spans="1:4" x14ac:dyDescent="0.25">
      <c r="A496">
        <v>495</v>
      </c>
      <c r="B496">
        <f>DallasSim!I496</f>
        <v>40.643835843517621</v>
      </c>
      <c r="C496">
        <f>BostonSim!I496</f>
        <v>26.823545184636249</v>
      </c>
      <c r="D496" t="str">
        <f t="shared" si="7"/>
        <v>W</v>
      </c>
    </row>
    <row r="497" spans="1:4" x14ac:dyDescent="0.25">
      <c r="A497">
        <v>496</v>
      </c>
      <c r="B497">
        <f>DallasSim!I497</f>
        <v>38.83426046548675</v>
      </c>
      <c r="C497">
        <f>BostonSim!I497</f>
        <v>15.3587760049503</v>
      </c>
      <c r="D497" t="str">
        <f t="shared" si="7"/>
        <v>W</v>
      </c>
    </row>
    <row r="498" spans="1:4" x14ac:dyDescent="0.25">
      <c r="A498">
        <v>497</v>
      </c>
      <c r="B498">
        <f>DallasSim!I498</f>
        <v>38.843576688238784</v>
      </c>
      <c r="C498">
        <f>BostonSim!I498</f>
        <v>25.693267851272889</v>
      </c>
      <c r="D498" t="str">
        <f t="shared" si="7"/>
        <v>W</v>
      </c>
    </row>
    <row r="499" spans="1:4" x14ac:dyDescent="0.25">
      <c r="A499">
        <v>498</v>
      </c>
      <c r="B499">
        <f>DallasSim!I499</f>
        <v>42.8930653824494</v>
      </c>
      <c r="C499">
        <f>BostonSim!I499</f>
        <v>31.906213016547504</v>
      </c>
      <c r="D499" t="str">
        <f t="shared" si="7"/>
        <v>W</v>
      </c>
    </row>
    <row r="500" spans="1:4" x14ac:dyDescent="0.25">
      <c r="A500">
        <v>499</v>
      </c>
      <c r="B500">
        <f>DallasSim!I500</f>
        <v>48.571615710427722</v>
      </c>
      <c r="C500">
        <f>BostonSim!I500</f>
        <v>29.178205595879376</v>
      </c>
      <c r="D500" t="str">
        <f t="shared" si="7"/>
        <v>W</v>
      </c>
    </row>
    <row r="501" spans="1:4" x14ac:dyDescent="0.25">
      <c r="A501">
        <v>500</v>
      </c>
      <c r="B501">
        <f>DallasSim!I501</f>
        <v>43.443452339143626</v>
      </c>
      <c r="C501">
        <f>BostonSim!I501</f>
        <v>23.937618609490947</v>
      </c>
      <c r="D501" t="str">
        <f t="shared" si="7"/>
        <v>W</v>
      </c>
    </row>
    <row r="502" spans="1:4" x14ac:dyDescent="0.25">
      <c r="A502">
        <v>501</v>
      </c>
      <c r="B502">
        <f>DallasSim!I502</f>
        <v>38.640210001606576</v>
      </c>
      <c r="C502">
        <f>BostonSim!I502</f>
        <v>30.292720839028362</v>
      </c>
      <c r="D502" t="str">
        <f t="shared" si="7"/>
        <v>W</v>
      </c>
    </row>
    <row r="503" spans="1:4" x14ac:dyDescent="0.25">
      <c r="A503">
        <v>502</v>
      </c>
      <c r="B503">
        <f>DallasSim!I503</f>
        <v>49.275676835162471</v>
      </c>
      <c r="C503">
        <f>BostonSim!I503</f>
        <v>22.981151858349119</v>
      </c>
      <c r="D503" t="str">
        <f t="shared" si="7"/>
        <v>W</v>
      </c>
    </row>
    <row r="504" spans="1:4" x14ac:dyDescent="0.25">
      <c r="A504">
        <v>503</v>
      </c>
      <c r="B504">
        <f>DallasSim!I504</f>
        <v>50.547985347410496</v>
      </c>
      <c r="C504">
        <f>BostonSim!I504</f>
        <v>26.430555449216406</v>
      </c>
      <c r="D504" t="str">
        <f t="shared" si="7"/>
        <v>W</v>
      </c>
    </row>
    <row r="505" spans="1:4" x14ac:dyDescent="0.25">
      <c r="A505">
        <v>504</v>
      </c>
      <c r="B505">
        <f>DallasSim!I505</f>
        <v>44.050766379188751</v>
      </c>
      <c r="C505">
        <f>BostonSim!I505</f>
        <v>25.680233786545433</v>
      </c>
      <c r="D505" t="str">
        <f t="shared" si="7"/>
        <v>W</v>
      </c>
    </row>
    <row r="506" spans="1:4" x14ac:dyDescent="0.25">
      <c r="A506">
        <v>505</v>
      </c>
      <c r="B506">
        <f>DallasSim!I506</f>
        <v>50.167816164306359</v>
      </c>
      <c r="C506">
        <f>BostonSim!I506</f>
        <v>26.341683337008519</v>
      </c>
      <c r="D506" t="str">
        <f t="shared" si="7"/>
        <v>W</v>
      </c>
    </row>
    <row r="507" spans="1:4" x14ac:dyDescent="0.25">
      <c r="A507">
        <v>506</v>
      </c>
      <c r="B507">
        <f>DallasSim!I507</f>
        <v>44.057092224448084</v>
      </c>
      <c r="C507">
        <f>BostonSim!I507</f>
        <v>27.051118774725989</v>
      </c>
      <c r="D507" t="str">
        <f t="shared" si="7"/>
        <v>W</v>
      </c>
    </row>
    <row r="508" spans="1:4" x14ac:dyDescent="0.25">
      <c r="A508">
        <v>507</v>
      </c>
      <c r="B508">
        <f>DallasSim!I508</f>
        <v>49.956803760972505</v>
      </c>
      <c r="C508">
        <f>BostonSim!I508</f>
        <v>28.559327702624387</v>
      </c>
      <c r="D508" t="str">
        <f t="shared" si="7"/>
        <v>W</v>
      </c>
    </row>
    <row r="509" spans="1:4" x14ac:dyDescent="0.25">
      <c r="A509">
        <v>508</v>
      </c>
      <c r="B509">
        <f>DallasSim!I509</f>
        <v>47.929199582984623</v>
      </c>
      <c r="C509">
        <f>BostonSim!I509</f>
        <v>30.302718598151348</v>
      </c>
      <c r="D509" t="str">
        <f t="shared" si="7"/>
        <v>W</v>
      </c>
    </row>
    <row r="510" spans="1:4" x14ac:dyDescent="0.25">
      <c r="A510">
        <v>509</v>
      </c>
      <c r="B510">
        <f>DallasSim!I510</f>
        <v>48.553396416670971</v>
      </c>
      <c r="C510">
        <f>BostonSim!I510</f>
        <v>28.668193284335569</v>
      </c>
      <c r="D510" t="str">
        <f t="shared" si="7"/>
        <v>W</v>
      </c>
    </row>
    <row r="511" spans="1:4" x14ac:dyDescent="0.25">
      <c r="A511">
        <v>510</v>
      </c>
      <c r="B511">
        <f>DallasSim!I511</f>
        <v>49.806489479909018</v>
      </c>
      <c r="C511">
        <f>BostonSim!I511</f>
        <v>25.585383036982023</v>
      </c>
      <c r="D511" t="str">
        <f t="shared" si="7"/>
        <v>W</v>
      </c>
    </row>
    <row r="512" spans="1:4" x14ac:dyDescent="0.25">
      <c r="A512">
        <v>511</v>
      </c>
      <c r="B512">
        <f>DallasSim!I512</f>
        <v>42.417517864671588</v>
      </c>
      <c r="C512">
        <f>BostonSim!I512</f>
        <v>30.337735789980563</v>
      </c>
      <c r="D512" t="str">
        <f t="shared" si="7"/>
        <v>W</v>
      </c>
    </row>
    <row r="513" spans="1:4" x14ac:dyDescent="0.25">
      <c r="A513">
        <v>512</v>
      </c>
      <c r="B513">
        <f>DallasSim!I513</f>
        <v>40.234493062059784</v>
      </c>
      <c r="C513">
        <f>BostonSim!I513</f>
        <v>25.546463464994869</v>
      </c>
      <c r="D513" t="str">
        <f t="shared" si="7"/>
        <v>W</v>
      </c>
    </row>
    <row r="514" spans="1:4" x14ac:dyDescent="0.25">
      <c r="A514">
        <v>513</v>
      </c>
      <c r="B514">
        <f>DallasSim!I514</f>
        <v>28.894760282667228</v>
      </c>
      <c r="C514">
        <f>BostonSim!I514</f>
        <v>29.960952440950507</v>
      </c>
      <c r="D514" t="str">
        <f t="shared" si="7"/>
        <v>L</v>
      </c>
    </row>
    <row r="515" spans="1:4" x14ac:dyDescent="0.25">
      <c r="A515">
        <v>514</v>
      </c>
      <c r="B515">
        <f>DallasSim!I515</f>
        <v>50.277876655830859</v>
      </c>
      <c r="C515">
        <f>BostonSim!I515</f>
        <v>31.402081568968988</v>
      </c>
      <c r="D515" t="str">
        <f t="shared" ref="D515:D578" si="8">IF(B515&gt;C515,"W",IF(B515&lt;C515,"L","T"))</f>
        <v>W</v>
      </c>
    </row>
    <row r="516" spans="1:4" x14ac:dyDescent="0.25">
      <c r="A516">
        <v>515</v>
      </c>
      <c r="B516">
        <f>DallasSim!I516</f>
        <v>39.607345621818908</v>
      </c>
      <c r="C516">
        <f>BostonSim!I516</f>
        <v>30.002671374904949</v>
      </c>
      <c r="D516" t="str">
        <f t="shared" si="8"/>
        <v>W</v>
      </c>
    </row>
    <row r="517" spans="1:4" x14ac:dyDescent="0.25">
      <c r="A517">
        <v>516</v>
      </c>
      <c r="B517">
        <f>DallasSim!I517</f>
        <v>34.568115165114335</v>
      </c>
      <c r="C517">
        <f>BostonSim!I517</f>
        <v>22.038362823874117</v>
      </c>
      <c r="D517" t="str">
        <f t="shared" si="8"/>
        <v>W</v>
      </c>
    </row>
    <row r="518" spans="1:4" x14ac:dyDescent="0.25">
      <c r="A518">
        <v>517</v>
      </c>
      <c r="B518">
        <f>DallasSim!I518</f>
        <v>42.914047784007209</v>
      </c>
      <c r="C518">
        <f>BostonSim!I518</f>
        <v>30.941361567815694</v>
      </c>
      <c r="D518" t="str">
        <f t="shared" si="8"/>
        <v>W</v>
      </c>
    </row>
    <row r="519" spans="1:4" x14ac:dyDescent="0.25">
      <c r="A519">
        <v>518</v>
      </c>
      <c r="B519">
        <f>DallasSim!I519</f>
        <v>48.180192592072743</v>
      </c>
      <c r="C519">
        <f>BostonSim!I519</f>
        <v>29.239532838401225</v>
      </c>
      <c r="D519" t="str">
        <f t="shared" si="8"/>
        <v>W</v>
      </c>
    </row>
    <row r="520" spans="1:4" x14ac:dyDescent="0.25">
      <c r="A520">
        <v>519</v>
      </c>
      <c r="B520">
        <f>DallasSim!I520</f>
        <v>47.218050632092435</v>
      </c>
      <c r="C520">
        <f>BostonSim!I520</f>
        <v>30.062836350593951</v>
      </c>
      <c r="D520" t="str">
        <f t="shared" si="8"/>
        <v>W</v>
      </c>
    </row>
    <row r="521" spans="1:4" x14ac:dyDescent="0.25">
      <c r="A521">
        <v>520</v>
      </c>
      <c r="B521">
        <f>DallasSim!I521</f>
        <v>44.027178617731643</v>
      </c>
      <c r="C521">
        <f>BostonSim!I521</f>
        <v>30.063521684457474</v>
      </c>
      <c r="D521" t="str">
        <f t="shared" si="8"/>
        <v>W</v>
      </c>
    </row>
    <row r="522" spans="1:4" x14ac:dyDescent="0.25">
      <c r="A522">
        <v>521</v>
      </c>
      <c r="B522">
        <f>DallasSim!I522</f>
        <v>44.421618667757855</v>
      </c>
      <c r="C522">
        <f>BostonSim!I522</f>
        <v>26.218217165278812</v>
      </c>
      <c r="D522" t="str">
        <f t="shared" si="8"/>
        <v>W</v>
      </c>
    </row>
    <row r="523" spans="1:4" x14ac:dyDescent="0.25">
      <c r="A523">
        <v>522</v>
      </c>
      <c r="B523">
        <f>DallasSim!I523</f>
        <v>44.53240808738849</v>
      </c>
      <c r="C523">
        <f>BostonSim!I523</f>
        <v>26.229846672551229</v>
      </c>
      <c r="D523" t="str">
        <f t="shared" si="8"/>
        <v>W</v>
      </c>
    </row>
    <row r="524" spans="1:4" x14ac:dyDescent="0.25">
      <c r="A524">
        <v>523</v>
      </c>
      <c r="B524">
        <f>DallasSim!I524</f>
        <v>38.833325556883956</v>
      </c>
      <c r="C524">
        <f>BostonSim!I524</f>
        <v>25.985584808827561</v>
      </c>
      <c r="D524" t="str">
        <f t="shared" si="8"/>
        <v>W</v>
      </c>
    </row>
    <row r="525" spans="1:4" x14ac:dyDescent="0.25">
      <c r="A525">
        <v>524</v>
      </c>
      <c r="B525">
        <f>DallasSim!I525</f>
        <v>49.131860831224031</v>
      </c>
      <c r="C525">
        <f>BostonSim!I525</f>
        <v>30.715510622203961</v>
      </c>
      <c r="D525" t="str">
        <f t="shared" si="8"/>
        <v>W</v>
      </c>
    </row>
    <row r="526" spans="1:4" x14ac:dyDescent="0.25">
      <c r="A526">
        <v>525</v>
      </c>
      <c r="B526">
        <f>DallasSim!I526</f>
        <v>41.530575032656877</v>
      </c>
      <c r="C526">
        <f>BostonSim!I526</f>
        <v>29.729256592793284</v>
      </c>
      <c r="D526" t="str">
        <f t="shared" si="8"/>
        <v>W</v>
      </c>
    </row>
    <row r="527" spans="1:4" x14ac:dyDescent="0.25">
      <c r="A527">
        <v>526</v>
      </c>
      <c r="B527">
        <f>DallasSim!I527</f>
        <v>49.500601280834921</v>
      </c>
      <c r="C527">
        <f>BostonSim!I527</f>
        <v>29.927895576384291</v>
      </c>
      <c r="D527" t="str">
        <f t="shared" si="8"/>
        <v>W</v>
      </c>
    </row>
    <row r="528" spans="1:4" x14ac:dyDescent="0.25">
      <c r="A528">
        <v>527</v>
      </c>
      <c r="B528">
        <f>DallasSim!I528</f>
        <v>48.793022966454529</v>
      </c>
      <c r="C528">
        <f>BostonSim!I528</f>
        <v>31.148165499115926</v>
      </c>
      <c r="D528" t="str">
        <f t="shared" si="8"/>
        <v>W</v>
      </c>
    </row>
    <row r="529" spans="1:4" x14ac:dyDescent="0.25">
      <c r="A529">
        <v>528</v>
      </c>
      <c r="B529">
        <f>DallasSim!I529</f>
        <v>48.001407474749321</v>
      </c>
      <c r="C529">
        <f>BostonSim!I529</f>
        <v>20.040377768867508</v>
      </c>
      <c r="D529" t="str">
        <f t="shared" si="8"/>
        <v>W</v>
      </c>
    </row>
    <row r="530" spans="1:4" x14ac:dyDescent="0.25">
      <c r="A530">
        <v>529</v>
      </c>
      <c r="B530">
        <f>DallasSim!I530</f>
        <v>42.370152854873268</v>
      </c>
      <c r="C530">
        <f>BostonSim!I530</f>
        <v>30.162916170805037</v>
      </c>
      <c r="D530" t="str">
        <f t="shared" si="8"/>
        <v>W</v>
      </c>
    </row>
    <row r="531" spans="1:4" x14ac:dyDescent="0.25">
      <c r="A531">
        <v>530</v>
      </c>
      <c r="B531">
        <f>DallasSim!I531</f>
        <v>45.156522549499023</v>
      </c>
      <c r="C531">
        <f>BostonSim!I531</f>
        <v>19.250443776766275</v>
      </c>
      <c r="D531" t="str">
        <f t="shared" si="8"/>
        <v>W</v>
      </c>
    </row>
    <row r="532" spans="1:4" x14ac:dyDescent="0.25">
      <c r="A532">
        <v>531</v>
      </c>
      <c r="B532">
        <f>DallasSim!I532</f>
        <v>48.159389154986179</v>
      </c>
      <c r="C532">
        <f>BostonSim!I532</f>
        <v>22.066183813001835</v>
      </c>
      <c r="D532" t="str">
        <f t="shared" si="8"/>
        <v>W</v>
      </c>
    </row>
    <row r="533" spans="1:4" x14ac:dyDescent="0.25">
      <c r="A533">
        <v>532</v>
      </c>
      <c r="B533">
        <f>DallasSim!I533</f>
        <v>50.349279763247218</v>
      </c>
      <c r="C533">
        <f>BostonSim!I533</f>
        <v>26.948934541649194</v>
      </c>
      <c r="D533" t="str">
        <f t="shared" si="8"/>
        <v>W</v>
      </c>
    </row>
    <row r="534" spans="1:4" x14ac:dyDescent="0.25">
      <c r="A534">
        <v>533</v>
      </c>
      <c r="B534">
        <f>DallasSim!I534</f>
        <v>36.36944727785113</v>
      </c>
      <c r="C534">
        <f>BostonSim!I534</f>
        <v>30.806311621435238</v>
      </c>
      <c r="D534" t="str">
        <f t="shared" si="8"/>
        <v>W</v>
      </c>
    </row>
    <row r="535" spans="1:4" x14ac:dyDescent="0.25">
      <c r="A535">
        <v>534</v>
      </c>
      <c r="B535">
        <f>DallasSim!I535</f>
        <v>45.790130080518928</v>
      </c>
      <c r="C535">
        <f>BostonSim!I535</f>
        <v>29.848215846223656</v>
      </c>
      <c r="D535" t="str">
        <f t="shared" si="8"/>
        <v>W</v>
      </c>
    </row>
    <row r="536" spans="1:4" x14ac:dyDescent="0.25">
      <c r="A536">
        <v>535</v>
      </c>
      <c r="B536">
        <f>DallasSim!I536</f>
        <v>42.852043364589811</v>
      </c>
      <c r="C536">
        <f>BostonSim!I536</f>
        <v>28.798672009782543</v>
      </c>
      <c r="D536" t="str">
        <f t="shared" si="8"/>
        <v>W</v>
      </c>
    </row>
    <row r="537" spans="1:4" x14ac:dyDescent="0.25">
      <c r="A537">
        <v>536</v>
      </c>
      <c r="B537">
        <f>DallasSim!I537</f>
        <v>42.356370292054521</v>
      </c>
      <c r="C537">
        <f>BostonSim!I537</f>
        <v>30.186387679468936</v>
      </c>
      <c r="D537" t="str">
        <f t="shared" si="8"/>
        <v>W</v>
      </c>
    </row>
    <row r="538" spans="1:4" x14ac:dyDescent="0.25">
      <c r="A538">
        <v>537</v>
      </c>
      <c r="B538">
        <f>DallasSim!I538</f>
        <v>38.729118916204548</v>
      </c>
      <c r="C538">
        <f>BostonSim!I538</f>
        <v>28.632466584132409</v>
      </c>
      <c r="D538" t="str">
        <f t="shared" si="8"/>
        <v>W</v>
      </c>
    </row>
    <row r="539" spans="1:4" x14ac:dyDescent="0.25">
      <c r="A539">
        <v>538</v>
      </c>
      <c r="B539">
        <f>DallasSim!I539</f>
        <v>43.867210234462554</v>
      </c>
      <c r="C539">
        <f>BostonSim!I539</f>
        <v>27.445716040680995</v>
      </c>
      <c r="D539" t="str">
        <f t="shared" si="8"/>
        <v>W</v>
      </c>
    </row>
    <row r="540" spans="1:4" x14ac:dyDescent="0.25">
      <c r="A540">
        <v>539</v>
      </c>
      <c r="B540">
        <f>DallasSim!I540</f>
        <v>50.060676157582016</v>
      </c>
      <c r="C540">
        <f>BostonSim!I540</f>
        <v>26.166833413635839</v>
      </c>
      <c r="D540" t="str">
        <f t="shared" si="8"/>
        <v>W</v>
      </c>
    </row>
    <row r="541" spans="1:4" x14ac:dyDescent="0.25">
      <c r="A541">
        <v>540</v>
      </c>
      <c r="B541">
        <f>DallasSim!I541</f>
        <v>49.995731933670037</v>
      </c>
      <c r="C541">
        <f>BostonSim!I541</f>
        <v>28.530648842281934</v>
      </c>
      <c r="D541" t="str">
        <f t="shared" si="8"/>
        <v>W</v>
      </c>
    </row>
    <row r="542" spans="1:4" x14ac:dyDescent="0.25">
      <c r="A542">
        <v>541</v>
      </c>
      <c r="B542">
        <f>DallasSim!I542</f>
        <v>39.606913853585723</v>
      </c>
      <c r="C542">
        <f>BostonSim!I542</f>
        <v>19.100950477056955</v>
      </c>
      <c r="D542" t="str">
        <f t="shared" si="8"/>
        <v>W</v>
      </c>
    </row>
    <row r="543" spans="1:4" x14ac:dyDescent="0.25">
      <c r="A543">
        <v>542</v>
      </c>
      <c r="B543">
        <f>DallasSim!I543</f>
        <v>44.643004107140179</v>
      </c>
      <c r="C543">
        <f>BostonSim!I543</f>
        <v>29.526092154426092</v>
      </c>
      <c r="D543" t="str">
        <f t="shared" si="8"/>
        <v>W</v>
      </c>
    </row>
    <row r="544" spans="1:4" x14ac:dyDescent="0.25">
      <c r="A544">
        <v>543</v>
      </c>
      <c r="B544">
        <f>DallasSim!I544</f>
        <v>49.278153463096345</v>
      </c>
      <c r="C544">
        <f>BostonSim!I544</f>
        <v>21.66215238285055</v>
      </c>
      <c r="D544" t="str">
        <f t="shared" si="8"/>
        <v>W</v>
      </c>
    </row>
    <row r="545" spans="1:4" x14ac:dyDescent="0.25">
      <c r="A545">
        <v>544</v>
      </c>
      <c r="B545">
        <f>DallasSim!I545</f>
        <v>47.841086463348383</v>
      </c>
      <c r="C545">
        <f>BostonSim!I545</f>
        <v>28.981715137496394</v>
      </c>
      <c r="D545" t="str">
        <f t="shared" si="8"/>
        <v>W</v>
      </c>
    </row>
    <row r="546" spans="1:4" x14ac:dyDescent="0.25">
      <c r="A546">
        <v>545</v>
      </c>
      <c r="B546">
        <f>DallasSim!I546</f>
        <v>43.862767011256672</v>
      </c>
      <c r="C546">
        <f>BostonSim!I546</f>
        <v>26.082736881465294</v>
      </c>
      <c r="D546" t="str">
        <f t="shared" si="8"/>
        <v>W</v>
      </c>
    </row>
    <row r="547" spans="1:4" x14ac:dyDescent="0.25">
      <c r="A547">
        <v>546</v>
      </c>
      <c r="B547">
        <f>DallasSim!I547</f>
        <v>40.456971248351337</v>
      </c>
      <c r="C547">
        <f>BostonSim!I547</f>
        <v>30.896063505810677</v>
      </c>
      <c r="D547" t="str">
        <f t="shared" si="8"/>
        <v>W</v>
      </c>
    </row>
    <row r="548" spans="1:4" x14ac:dyDescent="0.25">
      <c r="A548">
        <v>547</v>
      </c>
      <c r="B548">
        <f>DallasSim!I548</f>
        <v>39.149278277105608</v>
      </c>
      <c r="C548">
        <f>BostonSim!I548</f>
        <v>30.45736996711879</v>
      </c>
      <c r="D548" t="str">
        <f t="shared" si="8"/>
        <v>W</v>
      </c>
    </row>
    <row r="549" spans="1:4" x14ac:dyDescent="0.25">
      <c r="A549">
        <v>548</v>
      </c>
      <c r="B549">
        <f>DallasSim!I549</f>
        <v>48.981293104304449</v>
      </c>
      <c r="C549">
        <f>BostonSim!I549</f>
        <v>26.119273916668515</v>
      </c>
      <c r="D549" t="str">
        <f t="shared" si="8"/>
        <v>W</v>
      </c>
    </row>
    <row r="550" spans="1:4" x14ac:dyDescent="0.25">
      <c r="A550">
        <v>549</v>
      </c>
      <c r="B550">
        <f>DallasSim!I550</f>
        <v>40.546919093130029</v>
      </c>
      <c r="C550">
        <f>BostonSim!I550</f>
        <v>29.518655757145517</v>
      </c>
      <c r="D550" t="str">
        <f t="shared" si="8"/>
        <v>W</v>
      </c>
    </row>
    <row r="551" spans="1:4" x14ac:dyDescent="0.25">
      <c r="A551">
        <v>550</v>
      </c>
      <c r="B551">
        <f>DallasSim!I551</f>
        <v>43.031227071147306</v>
      </c>
      <c r="C551">
        <f>BostonSim!I551</f>
        <v>28.401875029372352</v>
      </c>
      <c r="D551" t="str">
        <f t="shared" si="8"/>
        <v>W</v>
      </c>
    </row>
    <row r="552" spans="1:4" x14ac:dyDescent="0.25">
      <c r="A552">
        <v>551</v>
      </c>
      <c r="B552">
        <f>DallasSim!I552</f>
        <v>39.10207924831149</v>
      </c>
      <c r="C552">
        <f>BostonSim!I552</f>
        <v>25.51249182419437</v>
      </c>
      <c r="D552" t="str">
        <f t="shared" si="8"/>
        <v>W</v>
      </c>
    </row>
    <row r="553" spans="1:4" x14ac:dyDescent="0.25">
      <c r="A553">
        <v>552</v>
      </c>
      <c r="B553">
        <f>DallasSim!I553</f>
        <v>50.606107358787384</v>
      </c>
      <c r="C553">
        <f>BostonSim!I553</f>
        <v>27.880975863205535</v>
      </c>
      <c r="D553" t="str">
        <f t="shared" si="8"/>
        <v>W</v>
      </c>
    </row>
    <row r="554" spans="1:4" x14ac:dyDescent="0.25">
      <c r="A554">
        <v>553</v>
      </c>
      <c r="B554">
        <f>DallasSim!I554</f>
        <v>50.569722829749146</v>
      </c>
      <c r="C554">
        <f>BostonSim!I554</f>
        <v>25.515266236484035</v>
      </c>
      <c r="D554" t="str">
        <f t="shared" si="8"/>
        <v>W</v>
      </c>
    </row>
    <row r="555" spans="1:4" x14ac:dyDescent="0.25">
      <c r="A555">
        <v>554</v>
      </c>
      <c r="B555">
        <f>DallasSim!I555</f>
        <v>48.815712165082104</v>
      </c>
      <c r="C555">
        <f>BostonSim!I555</f>
        <v>25.491938420653138</v>
      </c>
      <c r="D555" t="str">
        <f t="shared" si="8"/>
        <v>W</v>
      </c>
    </row>
    <row r="556" spans="1:4" x14ac:dyDescent="0.25">
      <c r="A556">
        <v>555</v>
      </c>
      <c r="B556">
        <f>DallasSim!I556</f>
        <v>49.502814476241753</v>
      </c>
      <c r="C556">
        <f>BostonSim!I556</f>
        <v>29.50886334026654</v>
      </c>
      <c r="D556" t="str">
        <f t="shared" si="8"/>
        <v>W</v>
      </c>
    </row>
    <row r="557" spans="1:4" x14ac:dyDescent="0.25">
      <c r="A557">
        <v>556</v>
      </c>
      <c r="B557">
        <f>DallasSim!I557</f>
        <v>44.174940577050343</v>
      </c>
      <c r="C557">
        <f>BostonSim!I557</f>
        <v>30.451157460295196</v>
      </c>
      <c r="D557" t="str">
        <f t="shared" si="8"/>
        <v>W</v>
      </c>
    </row>
    <row r="558" spans="1:4" x14ac:dyDescent="0.25">
      <c r="A558">
        <v>557</v>
      </c>
      <c r="B558">
        <f>DallasSim!I558</f>
        <v>37.275756152152496</v>
      </c>
      <c r="C558">
        <f>BostonSim!I558</f>
        <v>25.073662894427407</v>
      </c>
      <c r="D558" t="str">
        <f t="shared" si="8"/>
        <v>W</v>
      </c>
    </row>
    <row r="559" spans="1:4" x14ac:dyDescent="0.25">
      <c r="A559">
        <v>558</v>
      </c>
      <c r="B559">
        <f>DallasSim!I559</f>
        <v>43.909417831587575</v>
      </c>
      <c r="C559">
        <f>BostonSim!I559</f>
        <v>25.267115725023576</v>
      </c>
      <c r="D559" t="str">
        <f t="shared" si="8"/>
        <v>W</v>
      </c>
    </row>
    <row r="560" spans="1:4" x14ac:dyDescent="0.25">
      <c r="A560">
        <v>559</v>
      </c>
      <c r="B560">
        <f>DallasSim!I560</f>
        <v>39.559295841113965</v>
      </c>
      <c r="C560">
        <f>BostonSim!I560</f>
        <v>30.783823059729812</v>
      </c>
      <c r="D560" t="str">
        <f t="shared" si="8"/>
        <v>W</v>
      </c>
    </row>
    <row r="561" spans="1:4" x14ac:dyDescent="0.25">
      <c r="A561">
        <v>560</v>
      </c>
      <c r="B561">
        <f>DallasSim!I561</f>
        <v>49.940704620516243</v>
      </c>
      <c r="C561">
        <f>BostonSim!I561</f>
        <v>26.64032828700617</v>
      </c>
      <c r="D561" t="str">
        <f t="shared" si="8"/>
        <v>W</v>
      </c>
    </row>
    <row r="562" spans="1:4" x14ac:dyDescent="0.25">
      <c r="A562">
        <v>561</v>
      </c>
      <c r="B562">
        <f>DallasSim!I562</f>
        <v>47.842560553853865</v>
      </c>
      <c r="C562">
        <f>BostonSim!I562</f>
        <v>29.642696605081028</v>
      </c>
      <c r="D562" t="str">
        <f t="shared" si="8"/>
        <v>W</v>
      </c>
    </row>
    <row r="563" spans="1:4" x14ac:dyDescent="0.25">
      <c r="A563">
        <v>562</v>
      </c>
      <c r="B563">
        <f>DallasSim!I563</f>
        <v>43.403491131705586</v>
      </c>
      <c r="C563">
        <f>BostonSim!I563</f>
        <v>29.773568219422696</v>
      </c>
      <c r="D563" t="str">
        <f t="shared" si="8"/>
        <v>W</v>
      </c>
    </row>
    <row r="564" spans="1:4" x14ac:dyDescent="0.25">
      <c r="A564">
        <v>563</v>
      </c>
      <c r="B564">
        <f>DallasSim!I564</f>
        <v>42.999988492208573</v>
      </c>
      <c r="C564">
        <f>BostonSim!I564</f>
        <v>29.419660400630185</v>
      </c>
      <c r="D564" t="str">
        <f t="shared" si="8"/>
        <v>W</v>
      </c>
    </row>
    <row r="565" spans="1:4" x14ac:dyDescent="0.25">
      <c r="A565">
        <v>564</v>
      </c>
      <c r="B565">
        <f>DallasSim!I565</f>
        <v>48.731099939856627</v>
      </c>
      <c r="C565">
        <f>BostonSim!I565</f>
        <v>28.55207364413782</v>
      </c>
      <c r="D565" t="str">
        <f t="shared" si="8"/>
        <v>W</v>
      </c>
    </row>
    <row r="566" spans="1:4" x14ac:dyDescent="0.25">
      <c r="A566">
        <v>565</v>
      </c>
      <c r="B566">
        <f>DallasSim!I566</f>
        <v>43.106339962318962</v>
      </c>
      <c r="C566">
        <f>BostonSim!I566</f>
        <v>21.202520384126473</v>
      </c>
      <c r="D566" t="str">
        <f t="shared" si="8"/>
        <v>W</v>
      </c>
    </row>
    <row r="567" spans="1:4" x14ac:dyDescent="0.25">
      <c r="A567">
        <v>566</v>
      </c>
      <c r="B567">
        <f>DallasSim!I567</f>
        <v>39.09420623215167</v>
      </c>
      <c r="C567">
        <f>BostonSim!I567</f>
        <v>23.371594201452528</v>
      </c>
      <c r="D567" t="str">
        <f t="shared" si="8"/>
        <v>W</v>
      </c>
    </row>
    <row r="568" spans="1:4" x14ac:dyDescent="0.25">
      <c r="A568">
        <v>567</v>
      </c>
      <c r="B568">
        <f>DallasSim!I568</f>
        <v>48.760015197320456</v>
      </c>
      <c r="C568">
        <f>BostonSim!I568</f>
        <v>30.217038553698753</v>
      </c>
      <c r="D568" t="str">
        <f t="shared" si="8"/>
        <v>W</v>
      </c>
    </row>
    <row r="569" spans="1:4" x14ac:dyDescent="0.25">
      <c r="A569">
        <v>568</v>
      </c>
      <c r="B569">
        <f>DallasSim!I569</f>
        <v>41.415025050970584</v>
      </c>
      <c r="C569">
        <f>BostonSim!I569</f>
        <v>20.34176808195695</v>
      </c>
      <c r="D569" t="str">
        <f t="shared" si="8"/>
        <v>W</v>
      </c>
    </row>
    <row r="570" spans="1:4" x14ac:dyDescent="0.25">
      <c r="A570">
        <v>569</v>
      </c>
      <c r="B570">
        <f>DallasSim!I570</f>
        <v>43.427872907837099</v>
      </c>
      <c r="C570">
        <f>BostonSim!I570</f>
        <v>28.513841350740844</v>
      </c>
      <c r="D570" t="str">
        <f t="shared" si="8"/>
        <v>W</v>
      </c>
    </row>
    <row r="571" spans="1:4" x14ac:dyDescent="0.25">
      <c r="A571">
        <v>570</v>
      </c>
      <c r="B571">
        <f>DallasSim!I571</f>
        <v>39.667829972157222</v>
      </c>
      <c r="C571">
        <f>BostonSim!I571</f>
        <v>23.274655743826962</v>
      </c>
      <c r="D571" t="str">
        <f t="shared" si="8"/>
        <v>W</v>
      </c>
    </row>
    <row r="572" spans="1:4" x14ac:dyDescent="0.25">
      <c r="A572">
        <v>571</v>
      </c>
      <c r="B572">
        <f>DallasSim!I572</f>
        <v>43.428799803932712</v>
      </c>
      <c r="C572">
        <f>BostonSim!I572</f>
        <v>19.866975923284834</v>
      </c>
      <c r="D572" t="str">
        <f t="shared" si="8"/>
        <v>W</v>
      </c>
    </row>
    <row r="573" spans="1:4" x14ac:dyDescent="0.25">
      <c r="A573">
        <v>572</v>
      </c>
      <c r="B573">
        <f>DallasSim!I573</f>
        <v>37.306567797745068</v>
      </c>
      <c r="C573">
        <f>BostonSim!I573</f>
        <v>26.05343877512275</v>
      </c>
      <c r="D573" t="str">
        <f t="shared" si="8"/>
        <v>W</v>
      </c>
    </row>
    <row r="574" spans="1:4" x14ac:dyDescent="0.25">
      <c r="A574">
        <v>573</v>
      </c>
      <c r="B574">
        <f>DallasSim!I574</f>
        <v>50.519298241633869</v>
      </c>
      <c r="C574">
        <f>BostonSim!I574</f>
        <v>29.731595878497075</v>
      </c>
      <c r="D574" t="str">
        <f t="shared" si="8"/>
        <v>W</v>
      </c>
    </row>
    <row r="575" spans="1:4" x14ac:dyDescent="0.25">
      <c r="A575">
        <v>574</v>
      </c>
      <c r="B575">
        <f>DallasSim!I575</f>
        <v>33.186762551058806</v>
      </c>
      <c r="C575">
        <f>BostonSim!I575</f>
        <v>27.564962269483992</v>
      </c>
      <c r="D575" t="str">
        <f t="shared" si="8"/>
        <v>W</v>
      </c>
    </row>
    <row r="576" spans="1:4" x14ac:dyDescent="0.25">
      <c r="A576">
        <v>575</v>
      </c>
      <c r="B576">
        <f>DallasSim!I576</f>
        <v>35.302520235500957</v>
      </c>
      <c r="C576">
        <f>BostonSim!I576</f>
        <v>22.70816885189959</v>
      </c>
      <c r="D576" t="str">
        <f t="shared" si="8"/>
        <v>W</v>
      </c>
    </row>
    <row r="577" spans="1:4" x14ac:dyDescent="0.25">
      <c r="A577">
        <v>576</v>
      </c>
      <c r="B577">
        <f>DallasSim!I577</f>
        <v>50.845614457626027</v>
      </c>
      <c r="C577">
        <f>BostonSim!I577</f>
        <v>16.5329395517956</v>
      </c>
      <c r="D577" t="str">
        <f t="shared" si="8"/>
        <v>W</v>
      </c>
    </row>
    <row r="578" spans="1:4" x14ac:dyDescent="0.25">
      <c r="A578">
        <v>577</v>
      </c>
      <c r="B578">
        <f>DallasSim!I578</f>
        <v>49.28604696607686</v>
      </c>
      <c r="C578">
        <f>BostonSim!I578</f>
        <v>28.501696462874484</v>
      </c>
      <c r="D578" t="str">
        <f t="shared" si="8"/>
        <v>W</v>
      </c>
    </row>
    <row r="579" spans="1:4" x14ac:dyDescent="0.25">
      <c r="A579">
        <v>578</v>
      </c>
      <c r="B579">
        <f>DallasSim!I579</f>
        <v>39.94228884072615</v>
      </c>
      <c r="C579">
        <f>BostonSim!I579</f>
        <v>30.28937488080981</v>
      </c>
      <c r="D579" t="str">
        <f t="shared" ref="D579:D642" si="9">IF(B579&gt;C579,"W",IF(B579&lt;C579,"L","T"))</f>
        <v>W</v>
      </c>
    </row>
    <row r="580" spans="1:4" x14ac:dyDescent="0.25">
      <c r="A580">
        <v>579</v>
      </c>
      <c r="B580">
        <f>DallasSim!I580</f>
        <v>50.909925363703131</v>
      </c>
      <c r="C580">
        <f>BostonSim!I580</f>
        <v>30.031189578998344</v>
      </c>
      <c r="D580" t="str">
        <f t="shared" si="9"/>
        <v>W</v>
      </c>
    </row>
    <row r="581" spans="1:4" x14ac:dyDescent="0.25">
      <c r="A581">
        <v>580</v>
      </c>
      <c r="B581">
        <f>DallasSim!I581</f>
        <v>49.337952124873709</v>
      </c>
      <c r="C581">
        <f>BostonSim!I581</f>
        <v>29.322373541310519</v>
      </c>
      <c r="D581" t="str">
        <f t="shared" si="9"/>
        <v>W</v>
      </c>
    </row>
    <row r="582" spans="1:4" x14ac:dyDescent="0.25">
      <c r="A582">
        <v>581</v>
      </c>
      <c r="B582">
        <f>DallasSim!I582</f>
        <v>43.471203255153547</v>
      </c>
      <c r="C582">
        <f>BostonSim!I582</f>
        <v>30.231681986165409</v>
      </c>
      <c r="D582" t="str">
        <f t="shared" si="9"/>
        <v>W</v>
      </c>
    </row>
    <row r="583" spans="1:4" x14ac:dyDescent="0.25">
      <c r="A583">
        <v>582</v>
      </c>
      <c r="B583">
        <f>DallasSim!I583</f>
        <v>50.763977310245025</v>
      </c>
      <c r="C583">
        <f>BostonSim!I583</f>
        <v>30.627293755125983</v>
      </c>
      <c r="D583" t="str">
        <f t="shared" si="9"/>
        <v>W</v>
      </c>
    </row>
    <row r="584" spans="1:4" x14ac:dyDescent="0.25">
      <c r="A584">
        <v>583</v>
      </c>
      <c r="B584">
        <f>DallasSim!I584</f>
        <v>47.613853127582914</v>
      </c>
      <c r="C584">
        <f>BostonSim!I584</f>
        <v>25.648350667451371</v>
      </c>
      <c r="D584" t="str">
        <f t="shared" si="9"/>
        <v>W</v>
      </c>
    </row>
    <row r="585" spans="1:4" x14ac:dyDescent="0.25">
      <c r="A585">
        <v>584</v>
      </c>
      <c r="B585">
        <f>DallasSim!I585</f>
        <v>50.339778048299124</v>
      </c>
      <c r="C585">
        <f>BostonSim!I585</f>
        <v>30.522558626756631</v>
      </c>
      <c r="D585" t="str">
        <f t="shared" si="9"/>
        <v>W</v>
      </c>
    </row>
    <row r="586" spans="1:4" x14ac:dyDescent="0.25">
      <c r="A586">
        <v>585</v>
      </c>
      <c r="B586">
        <f>DallasSim!I586</f>
        <v>40.151444682186195</v>
      </c>
      <c r="C586">
        <f>BostonSim!I586</f>
        <v>31.468185694779269</v>
      </c>
      <c r="D586" t="str">
        <f t="shared" si="9"/>
        <v>W</v>
      </c>
    </row>
    <row r="587" spans="1:4" x14ac:dyDescent="0.25">
      <c r="A587">
        <v>586</v>
      </c>
      <c r="B587">
        <f>DallasSim!I587</f>
        <v>51.285399089802318</v>
      </c>
      <c r="C587">
        <f>BostonSim!I587</f>
        <v>25.741036866833483</v>
      </c>
      <c r="D587" t="str">
        <f t="shared" si="9"/>
        <v>W</v>
      </c>
    </row>
    <row r="588" spans="1:4" x14ac:dyDescent="0.25">
      <c r="A588">
        <v>587</v>
      </c>
      <c r="B588">
        <f>DallasSim!I588</f>
        <v>50.544120127070975</v>
      </c>
      <c r="C588">
        <f>BostonSim!I588</f>
        <v>26.273303562978143</v>
      </c>
      <c r="D588" t="str">
        <f t="shared" si="9"/>
        <v>W</v>
      </c>
    </row>
    <row r="589" spans="1:4" x14ac:dyDescent="0.25">
      <c r="A589">
        <v>588</v>
      </c>
      <c r="B589">
        <f>DallasSim!I589</f>
        <v>39.630074036578321</v>
      </c>
      <c r="C589">
        <f>BostonSim!I589</f>
        <v>28.822275001723934</v>
      </c>
      <c r="D589" t="str">
        <f t="shared" si="9"/>
        <v>W</v>
      </c>
    </row>
    <row r="590" spans="1:4" x14ac:dyDescent="0.25">
      <c r="A590">
        <v>589</v>
      </c>
      <c r="B590">
        <f>DallasSim!I590</f>
        <v>46.545520342812729</v>
      </c>
      <c r="C590">
        <f>BostonSim!I590</f>
        <v>28.546302540736185</v>
      </c>
      <c r="D590" t="str">
        <f t="shared" si="9"/>
        <v>W</v>
      </c>
    </row>
    <row r="591" spans="1:4" x14ac:dyDescent="0.25">
      <c r="A591">
        <v>590</v>
      </c>
      <c r="B591">
        <f>DallasSim!I591</f>
        <v>48.823913913341201</v>
      </c>
      <c r="C591">
        <f>BostonSim!I591</f>
        <v>28.47421732849363</v>
      </c>
      <c r="D591" t="str">
        <f t="shared" si="9"/>
        <v>W</v>
      </c>
    </row>
    <row r="592" spans="1:4" x14ac:dyDescent="0.25">
      <c r="A592">
        <v>591</v>
      </c>
      <c r="B592">
        <f>DallasSim!I592</f>
        <v>51.103390279533613</v>
      </c>
      <c r="C592">
        <f>BostonSim!I592</f>
        <v>29.596275477414927</v>
      </c>
      <c r="D592" t="str">
        <f t="shared" si="9"/>
        <v>W</v>
      </c>
    </row>
    <row r="593" spans="1:4" x14ac:dyDescent="0.25">
      <c r="A593">
        <v>592</v>
      </c>
      <c r="B593">
        <f>DallasSim!I593</f>
        <v>39.217359248228789</v>
      </c>
      <c r="C593">
        <f>BostonSim!I593</f>
        <v>27.865517881752215</v>
      </c>
      <c r="D593" t="str">
        <f t="shared" si="9"/>
        <v>W</v>
      </c>
    </row>
    <row r="594" spans="1:4" x14ac:dyDescent="0.25">
      <c r="A594">
        <v>593</v>
      </c>
      <c r="B594">
        <f>DallasSim!I594</f>
        <v>38.703425702404871</v>
      </c>
      <c r="C594">
        <f>BostonSim!I594</f>
        <v>25.205862765949075</v>
      </c>
      <c r="D594" t="str">
        <f t="shared" si="9"/>
        <v>W</v>
      </c>
    </row>
    <row r="595" spans="1:4" x14ac:dyDescent="0.25">
      <c r="A595">
        <v>594</v>
      </c>
      <c r="B595">
        <f>DallasSim!I595</f>
        <v>48.59722524065122</v>
      </c>
      <c r="C595">
        <f>BostonSim!I595</f>
        <v>29.733279700460024</v>
      </c>
      <c r="D595" t="str">
        <f t="shared" si="9"/>
        <v>W</v>
      </c>
    </row>
    <row r="596" spans="1:4" x14ac:dyDescent="0.25">
      <c r="A596">
        <v>595</v>
      </c>
      <c r="B596">
        <f>DallasSim!I596</f>
        <v>49.176476378626099</v>
      </c>
      <c r="C596">
        <f>BostonSim!I596</f>
        <v>30.538624229207919</v>
      </c>
      <c r="D596" t="str">
        <f t="shared" si="9"/>
        <v>W</v>
      </c>
    </row>
    <row r="597" spans="1:4" x14ac:dyDescent="0.25">
      <c r="A597">
        <v>596</v>
      </c>
      <c r="B597">
        <f>DallasSim!I597</f>
        <v>47.190561359708532</v>
      </c>
      <c r="C597">
        <f>BostonSim!I597</f>
        <v>20.20218366304336</v>
      </c>
      <c r="D597" t="str">
        <f t="shared" si="9"/>
        <v>W</v>
      </c>
    </row>
    <row r="598" spans="1:4" x14ac:dyDescent="0.25">
      <c r="A598">
        <v>597</v>
      </c>
      <c r="B598">
        <f>DallasSim!I598</f>
        <v>35.232987161184084</v>
      </c>
      <c r="C598">
        <f>BostonSim!I598</f>
        <v>21.118094243266711</v>
      </c>
      <c r="D598" t="str">
        <f t="shared" si="9"/>
        <v>W</v>
      </c>
    </row>
    <row r="599" spans="1:4" x14ac:dyDescent="0.25">
      <c r="A599">
        <v>598</v>
      </c>
      <c r="B599">
        <f>DallasSim!I599</f>
        <v>45.376949404616681</v>
      </c>
      <c r="C599">
        <f>BostonSim!I599</f>
        <v>24.732944383833889</v>
      </c>
      <c r="D599" t="str">
        <f t="shared" si="9"/>
        <v>W</v>
      </c>
    </row>
    <row r="600" spans="1:4" x14ac:dyDescent="0.25">
      <c r="A600">
        <v>599</v>
      </c>
      <c r="B600">
        <f>DallasSim!I600</f>
        <v>45.329894900698463</v>
      </c>
      <c r="C600">
        <f>BostonSim!I600</f>
        <v>30.978797539042144</v>
      </c>
      <c r="D600" t="str">
        <f t="shared" si="9"/>
        <v>W</v>
      </c>
    </row>
    <row r="601" spans="1:4" x14ac:dyDescent="0.25">
      <c r="A601">
        <v>600</v>
      </c>
      <c r="B601">
        <f>DallasSim!I601</f>
        <v>48.538469231321571</v>
      </c>
      <c r="C601">
        <f>BostonSim!I601</f>
        <v>24.743478486588337</v>
      </c>
      <c r="D601" t="str">
        <f t="shared" si="9"/>
        <v>W</v>
      </c>
    </row>
    <row r="602" spans="1:4" x14ac:dyDescent="0.25">
      <c r="A602">
        <v>601</v>
      </c>
      <c r="B602">
        <f>DallasSim!I602</f>
        <v>43.575873729113887</v>
      </c>
      <c r="C602">
        <f>BostonSim!I602</f>
        <v>25.711887164969422</v>
      </c>
      <c r="D602" t="str">
        <f t="shared" si="9"/>
        <v>W</v>
      </c>
    </row>
    <row r="603" spans="1:4" x14ac:dyDescent="0.25">
      <c r="A603">
        <v>602</v>
      </c>
      <c r="B603">
        <f>DallasSim!I603</f>
        <v>49.579517523021622</v>
      </c>
      <c r="C603">
        <f>BostonSim!I603</f>
        <v>29.920756207518437</v>
      </c>
      <c r="D603" t="str">
        <f t="shared" si="9"/>
        <v>W</v>
      </c>
    </row>
    <row r="604" spans="1:4" x14ac:dyDescent="0.25">
      <c r="A604">
        <v>603</v>
      </c>
      <c r="B604">
        <f>DallasSim!I604</f>
        <v>50.026361096509802</v>
      </c>
      <c r="C604">
        <f>BostonSim!I604</f>
        <v>28.031257246716407</v>
      </c>
      <c r="D604" t="str">
        <f t="shared" si="9"/>
        <v>W</v>
      </c>
    </row>
    <row r="605" spans="1:4" x14ac:dyDescent="0.25">
      <c r="A605">
        <v>604</v>
      </c>
      <c r="B605">
        <f>DallasSim!I605</f>
        <v>48.864829230709539</v>
      </c>
      <c r="C605">
        <f>BostonSim!I605</f>
        <v>29.332892760579416</v>
      </c>
      <c r="D605" t="str">
        <f t="shared" si="9"/>
        <v>W</v>
      </c>
    </row>
    <row r="606" spans="1:4" x14ac:dyDescent="0.25">
      <c r="A606">
        <v>605</v>
      </c>
      <c r="B606">
        <f>DallasSim!I606</f>
        <v>30.420008790414943</v>
      </c>
      <c r="C606">
        <f>BostonSim!I606</f>
        <v>30.544329345901957</v>
      </c>
      <c r="D606" t="str">
        <f t="shared" si="9"/>
        <v>L</v>
      </c>
    </row>
    <row r="607" spans="1:4" x14ac:dyDescent="0.25">
      <c r="A607">
        <v>606</v>
      </c>
      <c r="B607">
        <f>DallasSim!I607</f>
        <v>49.545913371915447</v>
      </c>
      <c r="C607">
        <f>BostonSim!I607</f>
        <v>29.774410544285793</v>
      </c>
      <c r="D607" t="str">
        <f t="shared" si="9"/>
        <v>W</v>
      </c>
    </row>
    <row r="608" spans="1:4" x14ac:dyDescent="0.25">
      <c r="A608">
        <v>607</v>
      </c>
      <c r="B608">
        <f>DallasSim!I608</f>
        <v>44.417618872506665</v>
      </c>
      <c r="C608">
        <f>BostonSim!I608</f>
        <v>22.520298226048649</v>
      </c>
      <c r="D608" t="str">
        <f t="shared" si="9"/>
        <v>W</v>
      </c>
    </row>
    <row r="609" spans="1:4" x14ac:dyDescent="0.25">
      <c r="A609">
        <v>608</v>
      </c>
      <c r="B609">
        <f>DallasSim!I609</f>
        <v>43.702157552670755</v>
      </c>
      <c r="C609">
        <f>BostonSim!I609</f>
        <v>26.562928380103003</v>
      </c>
      <c r="D609" t="str">
        <f t="shared" si="9"/>
        <v>W</v>
      </c>
    </row>
    <row r="610" spans="1:4" x14ac:dyDescent="0.25">
      <c r="A610">
        <v>609</v>
      </c>
      <c r="B610">
        <f>DallasSim!I610</f>
        <v>44.399313498547365</v>
      </c>
      <c r="C610">
        <f>BostonSim!I610</f>
        <v>22.237734453785993</v>
      </c>
      <c r="D610" t="str">
        <f t="shared" si="9"/>
        <v>W</v>
      </c>
    </row>
    <row r="611" spans="1:4" x14ac:dyDescent="0.25">
      <c r="A611">
        <v>610</v>
      </c>
      <c r="B611">
        <f>DallasSim!I611</f>
        <v>39.724262189886588</v>
      </c>
      <c r="C611">
        <f>BostonSim!I611</f>
        <v>21.054562216047263</v>
      </c>
      <c r="D611" t="str">
        <f t="shared" si="9"/>
        <v>W</v>
      </c>
    </row>
    <row r="612" spans="1:4" x14ac:dyDescent="0.25">
      <c r="A612">
        <v>611</v>
      </c>
      <c r="B612">
        <f>DallasSim!I612</f>
        <v>50.441054455090992</v>
      </c>
      <c r="C612">
        <f>BostonSim!I612</f>
        <v>26.333352072012314</v>
      </c>
      <c r="D612" t="str">
        <f t="shared" si="9"/>
        <v>W</v>
      </c>
    </row>
    <row r="613" spans="1:4" x14ac:dyDescent="0.25">
      <c r="A613">
        <v>612</v>
      </c>
      <c r="B613">
        <f>DallasSim!I613</f>
        <v>39.565002998911325</v>
      </c>
      <c r="C613">
        <f>BostonSim!I613</f>
        <v>22.447169868163954</v>
      </c>
      <c r="D613" t="str">
        <f t="shared" si="9"/>
        <v>W</v>
      </c>
    </row>
    <row r="614" spans="1:4" x14ac:dyDescent="0.25">
      <c r="A614">
        <v>613</v>
      </c>
      <c r="B614">
        <f>DallasSim!I614</f>
        <v>44.349086677064747</v>
      </c>
      <c r="C614">
        <f>BostonSim!I614</f>
        <v>25.172593973320829</v>
      </c>
      <c r="D614" t="str">
        <f t="shared" si="9"/>
        <v>W</v>
      </c>
    </row>
    <row r="615" spans="1:4" x14ac:dyDescent="0.25">
      <c r="A615">
        <v>614</v>
      </c>
      <c r="B615">
        <f>DallasSim!I615</f>
        <v>39.192793331446971</v>
      </c>
      <c r="C615">
        <f>BostonSim!I615</f>
        <v>26.996676990963451</v>
      </c>
      <c r="D615" t="str">
        <f t="shared" si="9"/>
        <v>W</v>
      </c>
    </row>
    <row r="616" spans="1:4" x14ac:dyDescent="0.25">
      <c r="A616">
        <v>615</v>
      </c>
      <c r="B616">
        <f>DallasSim!I616</f>
        <v>44.908342697171562</v>
      </c>
      <c r="C616">
        <f>BostonSim!I616</f>
        <v>28.388471719249758</v>
      </c>
      <c r="D616" t="str">
        <f t="shared" si="9"/>
        <v>W</v>
      </c>
    </row>
    <row r="617" spans="1:4" x14ac:dyDescent="0.25">
      <c r="A617">
        <v>616</v>
      </c>
      <c r="B617">
        <f>DallasSim!I617</f>
        <v>43.988634847481066</v>
      </c>
      <c r="C617">
        <f>BostonSim!I617</f>
        <v>25.690224034915307</v>
      </c>
      <c r="D617" t="str">
        <f t="shared" si="9"/>
        <v>W</v>
      </c>
    </row>
    <row r="618" spans="1:4" x14ac:dyDescent="0.25">
      <c r="A618">
        <v>617</v>
      </c>
      <c r="B618">
        <f>DallasSim!I618</f>
        <v>38.641756233505639</v>
      </c>
      <c r="C618">
        <f>BostonSim!I618</f>
        <v>30.785699163018613</v>
      </c>
      <c r="D618" t="str">
        <f t="shared" si="9"/>
        <v>W</v>
      </c>
    </row>
    <row r="619" spans="1:4" x14ac:dyDescent="0.25">
      <c r="A619">
        <v>618</v>
      </c>
      <c r="B619">
        <f>DallasSim!I619</f>
        <v>43.642980065363112</v>
      </c>
      <c r="C619">
        <f>BostonSim!I619</f>
        <v>30.526012306704164</v>
      </c>
      <c r="D619" t="str">
        <f t="shared" si="9"/>
        <v>W</v>
      </c>
    </row>
    <row r="620" spans="1:4" x14ac:dyDescent="0.25">
      <c r="A620">
        <v>619</v>
      </c>
      <c r="B620">
        <f>DallasSim!I620</f>
        <v>49.57844148687785</v>
      </c>
      <c r="C620">
        <f>BostonSim!I620</f>
        <v>30.761433885027941</v>
      </c>
      <c r="D620" t="str">
        <f t="shared" si="9"/>
        <v>W</v>
      </c>
    </row>
    <row r="621" spans="1:4" x14ac:dyDescent="0.25">
      <c r="A621">
        <v>620</v>
      </c>
      <c r="B621">
        <f>DallasSim!I621</f>
        <v>49.917728630297212</v>
      </c>
      <c r="C621">
        <f>BostonSim!I621</f>
        <v>26.678581245537742</v>
      </c>
      <c r="D621" t="str">
        <f t="shared" si="9"/>
        <v>W</v>
      </c>
    </row>
    <row r="622" spans="1:4" x14ac:dyDescent="0.25">
      <c r="A622">
        <v>621</v>
      </c>
      <c r="B622">
        <f>DallasSim!I622</f>
        <v>49.189550615986612</v>
      </c>
      <c r="C622">
        <f>BostonSim!I622</f>
        <v>29.350879717670235</v>
      </c>
      <c r="D622" t="str">
        <f t="shared" si="9"/>
        <v>W</v>
      </c>
    </row>
    <row r="623" spans="1:4" x14ac:dyDescent="0.25">
      <c r="A623">
        <v>622</v>
      </c>
      <c r="B623">
        <f>DallasSim!I623</f>
        <v>42.995824155613306</v>
      </c>
      <c r="C623">
        <f>BostonSim!I623</f>
        <v>29.915877508009032</v>
      </c>
      <c r="D623" t="str">
        <f t="shared" si="9"/>
        <v>W</v>
      </c>
    </row>
    <row r="624" spans="1:4" x14ac:dyDescent="0.25">
      <c r="A624">
        <v>623</v>
      </c>
      <c r="B624">
        <f>DallasSim!I624</f>
        <v>51.284844143509439</v>
      </c>
      <c r="C624">
        <f>BostonSim!I624</f>
        <v>30.129971414949758</v>
      </c>
      <c r="D624" t="str">
        <f t="shared" si="9"/>
        <v>W</v>
      </c>
    </row>
    <row r="625" spans="1:4" x14ac:dyDescent="0.25">
      <c r="A625">
        <v>624</v>
      </c>
      <c r="B625">
        <f>DallasSim!I625</f>
        <v>47.531062919716611</v>
      </c>
      <c r="C625">
        <f>BostonSim!I625</f>
        <v>22.49345928031612</v>
      </c>
      <c r="D625" t="str">
        <f t="shared" si="9"/>
        <v>W</v>
      </c>
    </row>
    <row r="626" spans="1:4" x14ac:dyDescent="0.25">
      <c r="A626">
        <v>625</v>
      </c>
      <c r="B626">
        <f>DallasSim!I626</f>
        <v>50.402249802837872</v>
      </c>
      <c r="C626">
        <f>BostonSim!I626</f>
        <v>29.122104828769011</v>
      </c>
      <c r="D626" t="str">
        <f t="shared" si="9"/>
        <v>W</v>
      </c>
    </row>
    <row r="627" spans="1:4" x14ac:dyDescent="0.25">
      <c r="A627">
        <v>626</v>
      </c>
      <c r="B627">
        <f>DallasSim!I627</f>
        <v>41.914880938584943</v>
      </c>
      <c r="C627">
        <f>BostonSim!I627</f>
        <v>23.324933286110344</v>
      </c>
      <c r="D627" t="str">
        <f t="shared" si="9"/>
        <v>W</v>
      </c>
    </row>
    <row r="628" spans="1:4" x14ac:dyDescent="0.25">
      <c r="A628">
        <v>627</v>
      </c>
      <c r="B628">
        <f>DallasSim!I628</f>
        <v>47.84314544365143</v>
      </c>
      <c r="C628">
        <f>BostonSim!I628</f>
        <v>24.983893150078778</v>
      </c>
      <c r="D628" t="str">
        <f t="shared" si="9"/>
        <v>W</v>
      </c>
    </row>
    <row r="629" spans="1:4" x14ac:dyDescent="0.25">
      <c r="A629">
        <v>628</v>
      </c>
      <c r="B629">
        <f>DallasSim!I629</f>
        <v>44.186338528909317</v>
      </c>
      <c r="C629">
        <f>BostonSim!I629</f>
        <v>30.438070557351917</v>
      </c>
      <c r="D629" t="str">
        <f t="shared" si="9"/>
        <v>W</v>
      </c>
    </row>
    <row r="630" spans="1:4" x14ac:dyDescent="0.25">
      <c r="A630">
        <v>629</v>
      </c>
      <c r="B630">
        <f>DallasSim!I630</f>
        <v>38.123171647715552</v>
      </c>
      <c r="C630">
        <f>BostonSim!I630</f>
        <v>29.478835311903939</v>
      </c>
      <c r="D630" t="str">
        <f t="shared" si="9"/>
        <v>W</v>
      </c>
    </row>
    <row r="631" spans="1:4" x14ac:dyDescent="0.25">
      <c r="A631">
        <v>630</v>
      </c>
      <c r="B631">
        <f>DallasSim!I631</f>
        <v>40.015351858913668</v>
      </c>
      <c r="C631">
        <f>BostonSim!I631</f>
        <v>29.511501686960568</v>
      </c>
      <c r="D631" t="str">
        <f t="shared" si="9"/>
        <v>W</v>
      </c>
    </row>
    <row r="632" spans="1:4" x14ac:dyDescent="0.25">
      <c r="A632">
        <v>631</v>
      </c>
      <c r="B632">
        <f>DallasSim!I632</f>
        <v>40.897517007738344</v>
      </c>
      <c r="C632">
        <f>BostonSim!I632</f>
        <v>29.649211597288215</v>
      </c>
      <c r="D632" t="str">
        <f t="shared" si="9"/>
        <v>W</v>
      </c>
    </row>
    <row r="633" spans="1:4" x14ac:dyDescent="0.25">
      <c r="A633">
        <v>632</v>
      </c>
      <c r="B633">
        <f>DallasSim!I633</f>
        <v>50.797553443638705</v>
      </c>
      <c r="C633">
        <f>BostonSim!I633</f>
        <v>26.169892400264732</v>
      </c>
      <c r="D633" t="str">
        <f t="shared" si="9"/>
        <v>W</v>
      </c>
    </row>
    <row r="634" spans="1:4" x14ac:dyDescent="0.25">
      <c r="A634">
        <v>633</v>
      </c>
      <c r="B634">
        <f>DallasSim!I634</f>
        <v>43.838995779490823</v>
      </c>
      <c r="C634">
        <f>BostonSim!I634</f>
        <v>30.899682431926035</v>
      </c>
      <c r="D634" t="str">
        <f t="shared" si="9"/>
        <v>W</v>
      </c>
    </row>
    <row r="635" spans="1:4" x14ac:dyDescent="0.25">
      <c r="A635">
        <v>634</v>
      </c>
      <c r="B635">
        <f>DallasSim!I635</f>
        <v>50.703642071182209</v>
      </c>
      <c r="C635">
        <f>BostonSim!I635</f>
        <v>25.69779641519462</v>
      </c>
      <c r="D635" t="str">
        <f t="shared" si="9"/>
        <v>W</v>
      </c>
    </row>
    <row r="636" spans="1:4" x14ac:dyDescent="0.25">
      <c r="A636">
        <v>635</v>
      </c>
      <c r="B636">
        <f>DallasSim!I636</f>
        <v>49.307925981666344</v>
      </c>
      <c r="C636">
        <f>BostonSim!I636</f>
        <v>30.553027729515378</v>
      </c>
      <c r="D636" t="str">
        <f t="shared" si="9"/>
        <v>W</v>
      </c>
    </row>
    <row r="637" spans="1:4" x14ac:dyDescent="0.25">
      <c r="A637">
        <v>636</v>
      </c>
      <c r="B637">
        <f>DallasSim!I637</f>
        <v>44.98597467819684</v>
      </c>
      <c r="C637">
        <f>BostonSim!I637</f>
        <v>30.318861599462384</v>
      </c>
      <c r="D637" t="str">
        <f t="shared" si="9"/>
        <v>W</v>
      </c>
    </row>
    <row r="638" spans="1:4" x14ac:dyDescent="0.25">
      <c r="A638">
        <v>637</v>
      </c>
      <c r="B638">
        <f>DallasSim!I638</f>
        <v>43.829690093688477</v>
      </c>
      <c r="C638">
        <f>BostonSim!I638</f>
        <v>30.936238533072082</v>
      </c>
      <c r="D638" t="str">
        <f t="shared" si="9"/>
        <v>W</v>
      </c>
    </row>
    <row r="639" spans="1:4" x14ac:dyDescent="0.25">
      <c r="A639">
        <v>638</v>
      </c>
      <c r="B639">
        <f>DallasSim!I639</f>
        <v>42.370386882444819</v>
      </c>
      <c r="C639">
        <f>BostonSim!I639</f>
        <v>24.943885986009636</v>
      </c>
      <c r="D639" t="str">
        <f t="shared" si="9"/>
        <v>W</v>
      </c>
    </row>
    <row r="640" spans="1:4" x14ac:dyDescent="0.25">
      <c r="A640">
        <v>639</v>
      </c>
      <c r="B640">
        <f>DallasSim!I640</f>
        <v>38.985605931419499</v>
      </c>
      <c r="C640">
        <f>BostonSim!I640</f>
        <v>30.272846470931352</v>
      </c>
      <c r="D640" t="str">
        <f t="shared" si="9"/>
        <v>W</v>
      </c>
    </row>
    <row r="641" spans="1:4" x14ac:dyDescent="0.25">
      <c r="A641">
        <v>640</v>
      </c>
      <c r="B641">
        <f>DallasSim!I641</f>
        <v>49.552587023406488</v>
      </c>
      <c r="C641">
        <f>BostonSim!I641</f>
        <v>31.851157416711892</v>
      </c>
      <c r="D641" t="str">
        <f t="shared" si="9"/>
        <v>W</v>
      </c>
    </row>
    <row r="642" spans="1:4" x14ac:dyDescent="0.25">
      <c r="A642">
        <v>641</v>
      </c>
      <c r="B642">
        <f>DallasSim!I642</f>
        <v>50.245260287574148</v>
      </c>
      <c r="C642">
        <f>BostonSim!I642</f>
        <v>29.858185560832123</v>
      </c>
      <c r="D642" t="str">
        <f t="shared" si="9"/>
        <v>W</v>
      </c>
    </row>
    <row r="643" spans="1:4" x14ac:dyDescent="0.25">
      <c r="A643">
        <v>642</v>
      </c>
      <c r="B643">
        <f>DallasSim!I643</f>
        <v>38.484069388983855</v>
      </c>
      <c r="C643">
        <f>BostonSim!I643</f>
        <v>30.179819774586505</v>
      </c>
      <c r="D643" t="str">
        <f t="shared" ref="D643:D706" si="10">IF(B643&gt;C643,"W",IF(B643&lt;C643,"L","T"))</f>
        <v>W</v>
      </c>
    </row>
    <row r="644" spans="1:4" x14ac:dyDescent="0.25">
      <c r="A644">
        <v>643</v>
      </c>
      <c r="B644">
        <f>DallasSim!I644</f>
        <v>43.26866715549474</v>
      </c>
      <c r="C644">
        <f>BostonSim!I644</f>
        <v>18.143625244834354</v>
      </c>
      <c r="D644" t="str">
        <f t="shared" si="10"/>
        <v>W</v>
      </c>
    </row>
    <row r="645" spans="1:4" x14ac:dyDescent="0.25">
      <c r="A645">
        <v>644</v>
      </c>
      <c r="B645">
        <f>DallasSim!I645</f>
        <v>47.897836474010354</v>
      </c>
      <c r="C645">
        <f>BostonSim!I645</f>
        <v>30.371701439159601</v>
      </c>
      <c r="D645" t="str">
        <f t="shared" si="10"/>
        <v>W</v>
      </c>
    </row>
    <row r="646" spans="1:4" x14ac:dyDescent="0.25">
      <c r="A646">
        <v>645</v>
      </c>
      <c r="B646">
        <f>DallasSim!I646</f>
        <v>42.435769507737923</v>
      </c>
      <c r="C646">
        <f>BostonSim!I646</f>
        <v>30.607625745897586</v>
      </c>
      <c r="D646" t="str">
        <f t="shared" si="10"/>
        <v>W</v>
      </c>
    </row>
    <row r="647" spans="1:4" x14ac:dyDescent="0.25">
      <c r="A647">
        <v>646</v>
      </c>
      <c r="B647">
        <f>DallasSim!I647</f>
        <v>48.208707350074356</v>
      </c>
      <c r="C647">
        <f>BostonSim!I647</f>
        <v>30.689978950870643</v>
      </c>
      <c r="D647" t="str">
        <f t="shared" si="10"/>
        <v>W</v>
      </c>
    </row>
    <row r="648" spans="1:4" x14ac:dyDescent="0.25">
      <c r="A648">
        <v>647</v>
      </c>
      <c r="B648">
        <f>DallasSim!I648</f>
        <v>44.390890989875935</v>
      </c>
      <c r="C648">
        <f>BostonSim!I648</f>
        <v>30.807530965757358</v>
      </c>
      <c r="D648" t="str">
        <f t="shared" si="10"/>
        <v>W</v>
      </c>
    </row>
    <row r="649" spans="1:4" x14ac:dyDescent="0.25">
      <c r="A649">
        <v>648</v>
      </c>
      <c r="B649">
        <f>DallasSim!I649</f>
        <v>41.662589162160351</v>
      </c>
      <c r="C649">
        <f>BostonSim!I649</f>
        <v>28.465401929514595</v>
      </c>
      <c r="D649" t="str">
        <f t="shared" si="10"/>
        <v>W</v>
      </c>
    </row>
    <row r="650" spans="1:4" x14ac:dyDescent="0.25">
      <c r="A650">
        <v>649</v>
      </c>
      <c r="B650">
        <f>DallasSim!I650</f>
        <v>41.779510730802265</v>
      </c>
      <c r="C650">
        <f>BostonSim!I650</f>
        <v>22.207958890288893</v>
      </c>
      <c r="D650" t="str">
        <f t="shared" si="10"/>
        <v>W</v>
      </c>
    </row>
    <row r="651" spans="1:4" x14ac:dyDescent="0.25">
      <c r="A651">
        <v>650</v>
      </c>
      <c r="B651">
        <f>DallasSim!I651</f>
        <v>48.879253139962444</v>
      </c>
      <c r="C651">
        <f>BostonSim!I651</f>
        <v>22.805692555256901</v>
      </c>
      <c r="D651" t="str">
        <f t="shared" si="10"/>
        <v>W</v>
      </c>
    </row>
    <row r="652" spans="1:4" x14ac:dyDescent="0.25">
      <c r="A652">
        <v>651</v>
      </c>
      <c r="B652">
        <f>DallasSim!I652</f>
        <v>47.309290622154492</v>
      </c>
      <c r="C652">
        <f>BostonSim!I652</f>
        <v>30.056895004770229</v>
      </c>
      <c r="D652" t="str">
        <f t="shared" si="10"/>
        <v>W</v>
      </c>
    </row>
    <row r="653" spans="1:4" x14ac:dyDescent="0.25">
      <c r="A653">
        <v>652</v>
      </c>
      <c r="B653">
        <f>DallasSim!I653</f>
        <v>47.447130838886196</v>
      </c>
      <c r="C653">
        <f>BostonSim!I653</f>
        <v>27.156992381695908</v>
      </c>
      <c r="D653" t="str">
        <f t="shared" si="10"/>
        <v>W</v>
      </c>
    </row>
    <row r="654" spans="1:4" x14ac:dyDescent="0.25">
      <c r="A654">
        <v>653</v>
      </c>
      <c r="B654">
        <f>DallasSim!I654</f>
        <v>41.806321384336627</v>
      </c>
      <c r="C654">
        <f>BostonSim!I654</f>
        <v>30.446896097970086</v>
      </c>
      <c r="D654" t="str">
        <f t="shared" si="10"/>
        <v>W</v>
      </c>
    </row>
    <row r="655" spans="1:4" x14ac:dyDescent="0.25">
      <c r="A655">
        <v>654</v>
      </c>
      <c r="B655">
        <f>DallasSim!I655</f>
        <v>50.204488570051815</v>
      </c>
      <c r="C655">
        <f>BostonSim!I655</f>
        <v>23.472633958982861</v>
      </c>
      <c r="D655" t="str">
        <f t="shared" si="10"/>
        <v>W</v>
      </c>
    </row>
    <row r="656" spans="1:4" x14ac:dyDescent="0.25">
      <c r="A656">
        <v>655</v>
      </c>
      <c r="B656">
        <f>DallasSim!I656</f>
        <v>42.331215784009437</v>
      </c>
      <c r="C656">
        <f>BostonSim!I656</f>
        <v>29.919658734041327</v>
      </c>
      <c r="D656" t="str">
        <f t="shared" si="10"/>
        <v>W</v>
      </c>
    </row>
    <row r="657" spans="1:4" x14ac:dyDescent="0.25">
      <c r="A657">
        <v>656</v>
      </c>
      <c r="B657">
        <f>DallasSim!I657</f>
        <v>43.979402740236338</v>
      </c>
      <c r="C657">
        <f>BostonSim!I657</f>
        <v>28.642321324147712</v>
      </c>
      <c r="D657" t="str">
        <f t="shared" si="10"/>
        <v>W</v>
      </c>
    </row>
    <row r="658" spans="1:4" x14ac:dyDescent="0.25">
      <c r="A658">
        <v>657</v>
      </c>
      <c r="B658">
        <f>DallasSim!I658</f>
        <v>51.311869933764626</v>
      </c>
      <c r="C658">
        <f>BostonSim!I658</f>
        <v>14.248597628107365</v>
      </c>
      <c r="D658" t="str">
        <f t="shared" si="10"/>
        <v>W</v>
      </c>
    </row>
    <row r="659" spans="1:4" x14ac:dyDescent="0.25">
      <c r="A659">
        <v>658</v>
      </c>
      <c r="B659">
        <f>DallasSim!I659</f>
        <v>43.463009644633424</v>
      </c>
      <c r="C659">
        <f>BostonSim!I659</f>
        <v>31.760067221153868</v>
      </c>
      <c r="D659" t="str">
        <f t="shared" si="10"/>
        <v>W</v>
      </c>
    </row>
    <row r="660" spans="1:4" x14ac:dyDescent="0.25">
      <c r="A660">
        <v>659</v>
      </c>
      <c r="B660">
        <f>DallasSim!I660</f>
        <v>38.117375204031191</v>
      </c>
      <c r="C660">
        <f>BostonSim!I660</f>
        <v>25.290408899726028</v>
      </c>
      <c r="D660" t="str">
        <f t="shared" si="10"/>
        <v>W</v>
      </c>
    </row>
    <row r="661" spans="1:4" x14ac:dyDescent="0.25">
      <c r="A661">
        <v>660</v>
      </c>
      <c r="B661">
        <f>DallasSim!I661</f>
        <v>49.087481221606886</v>
      </c>
      <c r="C661">
        <f>BostonSim!I661</f>
        <v>30.639534186487509</v>
      </c>
      <c r="D661" t="str">
        <f t="shared" si="10"/>
        <v>W</v>
      </c>
    </row>
    <row r="662" spans="1:4" x14ac:dyDescent="0.25">
      <c r="A662">
        <v>661</v>
      </c>
      <c r="B662">
        <f>DallasSim!I662</f>
        <v>41.994008267238698</v>
      </c>
      <c r="C662">
        <f>BostonSim!I662</f>
        <v>22.778316982458133</v>
      </c>
      <c r="D662" t="str">
        <f t="shared" si="10"/>
        <v>W</v>
      </c>
    </row>
    <row r="663" spans="1:4" x14ac:dyDescent="0.25">
      <c r="A663">
        <v>662</v>
      </c>
      <c r="B663">
        <f>DallasSim!I663</f>
        <v>39.857202230124166</v>
      </c>
      <c r="C663">
        <f>BostonSim!I663</f>
        <v>24.062206773485421</v>
      </c>
      <c r="D663" t="str">
        <f t="shared" si="10"/>
        <v>W</v>
      </c>
    </row>
    <row r="664" spans="1:4" x14ac:dyDescent="0.25">
      <c r="A664">
        <v>663</v>
      </c>
      <c r="B664">
        <f>DallasSim!I664</f>
        <v>41.99346922878005</v>
      </c>
      <c r="C664">
        <f>BostonSim!I664</f>
        <v>22.383722250525594</v>
      </c>
      <c r="D664" t="str">
        <f t="shared" si="10"/>
        <v>W</v>
      </c>
    </row>
    <row r="665" spans="1:4" x14ac:dyDescent="0.25">
      <c r="A665">
        <v>664</v>
      </c>
      <c r="B665">
        <f>DallasSim!I665</f>
        <v>50.252403895764544</v>
      </c>
      <c r="C665">
        <f>BostonSim!I665</f>
        <v>22.076141657278697</v>
      </c>
      <c r="D665" t="str">
        <f t="shared" si="10"/>
        <v>W</v>
      </c>
    </row>
    <row r="666" spans="1:4" x14ac:dyDescent="0.25">
      <c r="A666">
        <v>665</v>
      </c>
      <c r="B666">
        <f>DallasSim!I666</f>
        <v>43.713584069930484</v>
      </c>
      <c r="C666">
        <f>BostonSim!I666</f>
        <v>28.392049086467491</v>
      </c>
      <c r="D666" t="str">
        <f t="shared" si="10"/>
        <v>W</v>
      </c>
    </row>
    <row r="667" spans="1:4" x14ac:dyDescent="0.25">
      <c r="A667">
        <v>666</v>
      </c>
      <c r="B667">
        <f>DallasSim!I667</f>
        <v>43.983632052723536</v>
      </c>
      <c r="C667">
        <f>BostonSim!I667</f>
        <v>21.786493402305474</v>
      </c>
      <c r="D667" t="str">
        <f t="shared" si="10"/>
        <v>W</v>
      </c>
    </row>
    <row r="668" spans="1:4" x14ac:dyDescent="0.25">
      <c r="A668">
        <v>667</v>
      </c>
      <c r="B668">
        <f>DallasSim!I668</f>
        <v>33.31116181801648</v>
      </c>
      <c r="C668">
        <f>BostonSim!I668</f>
        <v>23.776221321351219</v>
      </c>
      <c r="D668" t="str">
        <f t="shared" si="10"/>
        <v>W</v>
      </c>
    </row>
    <row r="669" spans="1:4" x14ac:dyDescent="0.25">
      <c r="A669">
        <v>668</v>
      </c>
      <c r="B669">
        <f>DallasSim!I669</f>
        <v>48.564441529633186</v>
      </c>
      <c r="C669">
        <f>BostonSim!I669</f>
        <v>29.613019739425788</v>
      </c>
      <c r="D669" t="str">
        <f t="shared" si="10"/>
        <v>W</v>
      </c>
    </row>
    <row r="670" spans="1:4" x14ac:dyDescent="0.25">
      <c r="A670">
        <v>669</v>
      </c>
      <c r="B670">
        <f>DallasSim!I670</f>
        <v>50.759248486165134</v>
      </c>
      <c r="C670">
        <f>BostonSim!I670</f>
        <v>29.226481541003995</v>
      </c>
      <c r="D670" t="str">
        <f t="shared" si="10"/>
        <v>W</v>
      </c>
    </row>
    <row r="671" spans="1:4" x14ac:dyDescent="0.25">
      <c r="A671">
        <v>670</v>
      </c>
      <c r="B671">
        <f>DallasSim!I671</f>
        <v>43.190438889237676</v>
      </c>
      <c r="C671">
        <f>BostonSim!I671</f>
        <v>27.5313622094287</v>
      </c>
      <c r="D671" t="str">
        <f t="shared" si="10"/>
        <v>W</v>
      </c>
    </row>
    <row r="672" spans="1:4" x14ac:dyDescent="0.25">
      <c r="A672">
        <v>671</v>
      </c>
      <c r="B672">
        <f>DallasSim!I672</f>
        <v>39.699548148495431</v>
      </c>
      <c r="C672">
        <f>BostonSim!I672</f>
        <v>30.10992651456052</v>
      </c>
      <c r="D672" t="str">
        <f t="shared" si="10"/>
        <v>W</v>
      </c>
    </row>
    <row r="673" spans="1:4" x14ac:dyDescent="0.25">
      <c r="A673">
        <v>672</v>
      </c>
      <c r="B673">
        <f>DallasSim!I673</f>
        <v>47.250460102571608</v>
      </c>
      <c r="C673">
        <f>BostonSim!I673</f>
        <v>24.024360556423542</v>
      </c>
      <c r="D673" t="str">
        <f t="shared" si="10"/>
        <v>W</v>
      </c>
    </row>
    <row r="674" spans="1:4" x14ac:dyDescent="0.25">
      <c r="A674">
        <v>673</v>
      </c>
      <c r="B674">
        <f>DallasSim!I674</f>
        <v>45.011789687196824</v>
      </c>
      <c r="C674">
        <f>BostonSim!I674</f>
        <v>25.711855158438087</v>
      </c>
      <c r="D674" t="str">
        <f t="shared" si="10"/>
        <v>W</v>
      </c>
    </row>
    <row r="675" spans="1:4" x14ac:dyDescent="0.25">
      <c r="A675">
        <v>674</v>
      </c>
      <c r="B675">
        <f>DallasSim!I675</f>
        <v>40.012539548516429</v>
      </c>
      <c r="C675">
        <f>BostonSim!I675</f>
        <v>23.434578335440367</v>
      </c>
      <c r="D675" t="str">
        <f t="shared" si="10"/>
        <v>W</v>
      </c>
    </row>
    <row r="676" spans="1:4" x14ac:dyDescent="0.25">
      <c r="A676">
        <v>675</v>
      </c>
      <c r="B676">
        <f>DallasSim!I676</f>
        <v>48.425637367746546</v>
      </c>
      <c r="C676">
        <f>BostonSim!I676</f>
        <v>31.154736899518888</v>
      </c>
      <c r="D676" t="str">
        <f t="shared" si="10"/>
        <v>W</v>
      </c>
    </row>
    <row r="677" spans="1:4" x14ac:dyDescent="0.25">
      <c r="A677">
        <v>676</v>
      </c>
      <c r="B677">
        <f>DallasSim!I677</f>
        <v>48.094981542208977</v>
      </c>
      <c r="C677">
        <f>BostonSim!I677</f>
        <v>30.475381350221934</v>
      </c>
      <c r="D677" t="str">
        <f t="shared" si="10"/>
        <v>W</v>
      </c>
    </row>
    <row r="678" spans="1:4" x14ac:dyDescent="0.25">
      <c r="A678">
        <v>677</v>
      </c>
      <c r="B678">
        <f>DallasSim!I678</f>
        <v>48.428414692104127</v>
      </c>
      <c r="C678">
        <f>BostonSim!I678</f>
        <v>22.936945022278785</v>
      </c>
      <c r="D678" t="str">
        <f t="shared" si="10"/>
        <v>W</v>
      </c>
    </row>
    <row r="679" spans="1:4" x14ac:dyDescent="0.25">
      <c r="A679">
        <v>678</v>
      </c>
      <c r="B679">
        <f>DallasSim!I679</f>
        <v>49.321884512360619</v>
      </c>
      <c r="C679">
        <f>BostonSim!I679</f>
        <v>31.493009444059858</v>
      </c>
      <c r="D679" t="str">
        <f t="shared" si="10"/>
        <v>W</v>
      </c>
    </row>
    <row r="680" spans="1:4" x14ac:dyDescent="0.25">
      <c r="A680">
        <v>679</v>
      </c>
      <c r="B680">
        <f>DallasSim!I680</f>
        <v>45.071407957308871</v>
      </c>
      <c r="C680">
        <f>BostonSim!I680</f>
        <v>28.599062607327568</v>
      </c>
      <c r="D680" t="str">
        <f t="shared" si="10"/>
        <v>W</v>
      </c>
    </row>
    <row r="681" spans="1:4" x14ac:dyDescent="0.25">
      <c r="A681">
        <v>680</v>
      </c>
      <c r="B681">
        <f>DallasSim!I681</f>
        <v>49.686230719426781</v>
      </c>
      <c r="C681">
        <f>BostonSim!I681</f>
        <v>21.057796819301338</v>
      </c>
      <c r="D681" t="str">
        <f t="shared" si="10"/>
        <v>W</v>
      </c>
    </row>
    <row r="682" spans="1:4" x14ac:dyDescent="0.25">
      <c r="A682">
        <v>681</v>
      </c>
      <c r="B682">
        <f>DallasSim!I682</f>
        <v>49.878196945375244</v>
      </c>
      <c r="C682">
        <f>BostonSim!I682</f>
        <v>31.134163250701071</v>
      </c>
      <c r="D682" t="str">
        <f t="shared" si="10"/>
        <v>W</v>
      </c>
    </row>
    <row r="683" spans="1:4" x14ac:dyDescent="0.25">
      <c r="A683">
        <v>682</v>
      </c>
      <c r="B683">
        <f>DallasSim!I683</f>
        <v>38.535423498921581</v>
      </c>
      <c r="C683">
        <f>BostonSim!I683</f>
        <v>29.806806851937559</v>
      </c>
      <c r="D683" t="str">
        <f t="shared" si="10"/>
        <v>W</v>
      </c>
    </row>
    <row r="684" spans="1:4" x14ac:dyDescent="0.25">
      <c r="A684">
        <v>683</v>
      </c>
      <c r="B684">
        <f>DallasSim!I684</f>
        <v>48.455702745438543</v>
      </c>
      <c r="C684">
        <f>BostonSim!I684</f>
        <v>31.457813889737093</v>
      </c>
      <c r="D684" t="str">
        <f t="shared" si="10"/>
        <v>W</v>
      </c>
    </row>
    <row r="685" spans="1:4" x14ac:dyDescent="0.25">
      <c r="A685">
        <v>684</v>
      </c>
      <c r="B685">
        <f>DallasSim!I685</f>
        <v>39.674553071392943</v>
      </c>
      <c r="C685">
        <f>BostonSim!I685</f>
        <v>29.169575162418678</v>
      </c>
      <c r="D685" t="str">
        <f t="shared" si="10"/>
        <v>W</v>
      </c>
    </row>
    <row r="686" spans="1:4" x14ac:dyDescent="0.25">
      <c r="A686">
        <v>685</v>
      </c>
      <c r="B686">
        <f>DallasSim!I686</f>
        <v>32.791916342177927</v>
      </c>
      <c r="C686">
        <f>BostonSim!I686</f>
        <v>31.91666343192529</v>
      </c>
      <c r="D686" t="str">
        <f t="shared" si="10"/>
        <v>W</v>
      </c>
    </row>
    <row r="687" spans="1:4" x14ac:dyDescent="0.25">
      <c r="A687">
        <v>686</v>
      </c>
      <c r="B687">
        <f>DallasSim!I687</f>
        <v>42.750310762675042</v>
      </c>
      <c r="C687">
        <f>BostonSim!I687</f>
        <v>28.118797967743756</v>
      </c>
      <c r="D687" t="str">
        <f t="shared" si="10"/>
        <v>W</v>
      </c>
    </row>
    <row r="688" spans="1:4" x14ac:dyDescent="0.25">
      <c r="A688">
        <v>687</v>
      </c>
      <c r="B688">
        <f>DallasSim!I688</f>
        <v>49.689593749975089</v>
      </c>
      <c r="C688">
        <f>BostonSim!I688</f>
        <v>30.77887174366769</v>
      </c>
      <c r="D688" t="str">
        <f t="shared" si="10"/>
        <v>W</v>
      </c>
    </row>
    <row r="689" spans="1:4" x14ac:dyDescent="0.25">
      <c r="A689">
        <v>688</v>
      </c>
      <c r="B689">
        <f>DallasSim!I689</f>
        <v>49.287581018800282</v>
      </c>
      <c r="C689">
        <f>BostonSim!I689</f>
        <v>30.004782337391084</v>
      </c>
      <c r="D689" t="str">
        <f t="shared" si="10"/>
        <v>W</v>
      </c>
    </row>
    <row r="690" spans="1:4" x14ac:dyDescent="0.25">
      <c r="A690">
        <v>689</v>
      </c>
      <c r="B690">
        <f>DallasSim!I690</f>
        <v>40.325695219599815</v>
      </c>
      <c r="C690">
        <f>BostonSim!I690</f>
        <v>25.784890809158469</v>
      </c>
      <c r="D690" t="str">
        <f t="shared" si="10"/>
        <v>W</v>
      </c>
    </row>
    <row r="691" spans="1:4" x14ac:dyDescent="0.25">
      <c r="A691">
        <v>690</v>
      </c>
      <c r="B691">
        <f>DallasSim!I691</f>
        <v>48.875297351297661</v>
      </c>
      <c r="C691">
        <f>BostonSim!I691</f>
        <v>24.538733584928675</v>
      </c>
      <c r="D691" t="str">
        <f t="shared" si="10"/>
        <v>W</v>
      </c>
    </row>
    <row r="692" spans="1:4" x14ac:dyDescent="0.25">
      <c r="A692">
        <v>691</v>
      </c>
      <c r="B692">
        <f>DallasSim!I692</f>
        <v>37.328465664007382</v>
      </c>
      <c r="C692">
        <f>BostonSim!I692</f>
        <v>29.173819207165781</v>
      </c>
      <c r="D692" t="str">
        <f t="shared" si="10"/>
        <v>W</v>
      </c>
    </row>
    <row r="693" spans="1:4" x14ac:dyDescent="0.25">
      <c r="A693">
        <v>692</v>
      </c>
      <c r="B693">
        <f>DallasSim!I693</f>
        <v>50.556740525737368</v>
      </c>
      <c r="C693">
        <f>BostonSim!I693</f>
        <v>28.975749614348921</v>
      </c>
      <c r="D693" t="str">
        <f t="shared" si="10"/>
        <v>W</v>
      </c>
    </row>
    <row r="694" spans="1:4" x14ac:dyDescent="0.25">
      <c r="A694">
        <v>693</v>
      </c>
      <c r="B694">
        <f>DallasSim!I694</f>
        <v>44.423105956166886</v>
      </c>
      <c r="C694">
        <f>BostonSim!I694</f>
        <v>29.402368838775956</v>
      </c>
      <c r="D694" t="str">
        <f t="shared" si="10"/>
        <v>W</v>
      </c>
    </row>
    <row r="695" spans="1:4" x14ac:dyDescent="0.25">
      <c r="A695">
        <v>694</v>
      </c>
      <c r="B695">
        <f>DallasSim!I695</f>
        <v>40.045652119144897</v>
      </c>
      <c r="C695">
        <f>BostonSim!I695</f>
        <v>30.054470736279413</v>
      </c>
      <c r="D695" t="str">
        <f t="shared" si="10"/>
        <v>W</v>
      </c>
    </row>
    <row r="696" spans="1:4" x14ac:dyDescent="0.25">
      <c r="A696">
        <v>695</v>
      </c>
      <c r="B696">
        <f>DallasSim!I696</f>
        <v>50.890920604489935</v>
      </c>
      <c r="C696">
        <f>BostonSim!I696</f>
        <v>30.660960812660576</v>
      </c>
      <c r="D696" t="str">
        <f t="shared" si="10"/>
        <v>W</v>
      </c>
    </row>
    <row r="697" spans="1:4" x14ac:dyDescent="0.25">
      <c r="A697">
        <v>696</v>
      </c>
      <c r="B697">
        <f>DallasSim!I697</f>
        <v>43.8037147061318</v>
      </c>
      <c r="C697">
        <f>BostonSim!I697</f>
        <v>30.078557021344551</v>
      </c>
      <c r="D697" t="str">
        <f t="shared" si="10"/>
        <v>W</v>
      </c>
    </row>
    <row r="698" spans="1:4" x14ac:dyDescent="0.25">
      <c r="A698">
        <v>697</v>
      </c>
      <c r="B698">
        <f>DallasSim!I698</f>
        <v>43.011184458698338</v>
      </c>
      <c r="C698">
        <f>BostonSim!I698</f>
        <v>30.583819741645545</v>
      </c>
      <c r="D698" t="str">
        <f t="shared" si="10"/>
        <v>W</v>
      </c>
    </row>
    <row r="699" spans="1:4" x14ac:dyDescent="0.25">
      <c r="A699">
        <v>698</v>
      </c>
      <c r="B699">
        <f>DallasSim!I699</f>
        <v>47.557898405121023</v>
      </c>
      <c r="C699">
        <f>BostonSim!I699</f>
        <v>29.508506644155524</v>
      </c>
      <c r="D699" t="str">
        <f t="shared" si="10"/>
        <v>W</v>
      </c>
    </row>
    <row r="700" spans="1:4" x14ac:dyDescent="0.25">
      <c r="A700">
        <v>699</v>
      </c>
      <c r="B700">
        <f>DallasSim!I700</f>
        <v>47.748046323976375</v>
      </c>
      <c r="C700">
        <f>BostonSim!I700</f>
        <v>30.848871319584152</v>
      </c>
      <c r="D700" t="str">
        <f t="shared" si="10"/>
        <v>W</v>
      </c>
    </row>
    <row r="701" spans="1:4" x14ac:dyDescent="0.25">
      <c r="A701">
        <v>700</v>
      </c>
      <c r="B701">
        <f>DallasSim!I701</f>
        <v>42.367431028900221</v>
      </c>
      <c r="C701">
        <f>BostonSim!I701</f>
        <v>23.6490735775219</v>
      </c>
      <c r="D701" t="str">
        <f t="shared" si="10"/>
        <v>W</v>
      </c>
    </row>
    <row r="702" spans="1:4" x14ac:dyDescent="0.25">
      <c r="A702">
        <v>701</v>
      </c>
      <c r="B702">
        <f>DallasSim!I702</f>
        <v>50.509965696632463</v>
      </c>
      <c r="C702">
        <f>BostonSim!I702</f>
        <v>29.752793502890658</v>
      </c>
      <c r="D702" t="str">
        <f t="shared" si="10"/>
        <v>W</v>
      </c>
    </row>
    <row r="703" spans="1:4" x14ac:dyDescent="0.25">
      <c r="A703">
        <v>702</v>
      </c>
      <c r="B703">
        <f>DallasSim!I703</f>
        <v>50.00109355551627</v>
      </c>
      <c r="C703">
        <f>BostonSim!I703</f>
        <v>30.175479571123766</v>
      </c>
      <c r="D703" t="str">
        <f t="shared" si="10"/>
        <v>W</v>
      </c>
    </row>
    <row r="704" spans="1:4" x14ac:dyDescent="0.25">
      <c r="A704">
        <v>703</v>
      </c>
      <c r="B704">
        <f>DallasSim!I704</f>
        <v>32.611215573871029</v>
      </c>
      <c r="C704">
        <f>BostonSim!I704</f>
        <v>18.413154595798229</v>
      </c>
      <c r="D704" t="str">
        <f t="shared" si="10"/>
        <v>W</v>
      </c>
    </row>
    <row r="705" spans="1:4" x14ac:dyDescent="0.25">
      <c r="A705">
        <v>704</v>
      </c>
      <c r="B705">
        <f>DallasSim!I705</f>
        <v>50.296304260341813</v>
      </c>
      <c r="C705">
        <f>BostonSim!I705</f>
        <v>30.134799335672579</v>
      </c>
      <c r="D705" t="str">
        <f t="shared" si="10"/>
        <v>W</v>
      </c>
    </row>
    <row r="706" spans="1:4" x14ac:dyDescent="0.25">
      <c r="A706">
        <v>705</v>
      </c>
      <c r="B706">
        <f>DallasSim!I706</f>
        <v>48.096141299287574</v>
      </c>
      <c r="C706">
        <f>BostonSim!I706</f>
        <v>22.805858188943748</v>
      </c>
      <c r="D706" t="str">
        <f t="shared" si="10"/>
        <v>W</v>
      </c>
    </row>
    <row r="707" spans="1:4" x14ac:dyDescent="0.25">
      <c r="A707">
        <v>706</v>
      </c>
      <c r="B707">
        <f>DallasSim!I707</f>
        <v>50.680175253586071</v>
      </c>
      <c r="C707">
        <f>BostonSim!I707</f>
        <v>28.977139631512411</v>
      </c>
      <c r="D707" t="str">
        <f t="shared" ref="D707:D770" si="11">IF(B707&gt;C707,"W",IF(B707&lt;C707,"L","T"))</f>
        <v>W</v>
      </c>
    </row>
    <row r="708" spans="1:4" x14ac:dyDescent="0.25">
      <c r="A708">
        <v>707</v>
      </c>
      <c r="B708">
        <f>DallasSim!I708</f>
        <v>40.418217456829737</v>
      </c>
      <c r="C708">
        <f>BostonSim!I708</f>
        <v>31.073979174337648</v>
      </c>
      <c r="D708" t="str">
        <f t="shared" si="11"/>
        <v>W</v>
      </c>
    </row>
    <row r="709" spans="1:4" x14ac:dyDescent="0.25">
      <c r="A709">
        <v>708</v>
      </c>
      <c r="B709">
        <f>DallasSim!I709</f>
        <v>51.523552964986756</v>
      </c>
      <c r="C709">
        <f>BostonSim!I709</f>
        <v>27.970448806742514</v>
      </c>
      <c r="D709" t="str">
        <f t="shared" si="11"/>
        <v>W</v>
      </c>
    </row>
    <row r="710" spans="1:4" x14ac:dyDescent="0.25">
      <c r="A710">
        <v>709</v>
      </c>
      <c r="B710">
        <f>DallasSim!I710</f>
        <v>43.432260719235209</v>
      </c>
      <c r="C710">
        <f>BostonSim!I710</f>
        <v>22.556952609958284</v>
      </c>
      <c r="D710" t="str">
        <f t="shared" si="11"/>
        <v>W</v>
      </c>
    </row>
    <row r="711" spans="1:4" x14ac:dyDescent="0.25">
      <c r="A711">
        <v>710</v>
      </c>
      <c r="B711">
        <f>DallasSim!I711</f>
        <v>42.19827474188638</v>
      </c>
      <c r="C711">
        <f>BostonSim!I711</f>
        <v>30.271754801649895</v>
      </c>
      <c r="D711" t="str">
        <f t="shared" si="11"/>
        <v>W</v>
      </c>
    </row>
    <row r="712" spans="1:4" x14ac:dyDescent="0.25">
      <c r="A712">
        <v>711</v>
      </c>
      <c r="B712">
        <f>DallasSim!I712</f>
        <v>43.189014703433074</v>
      </c>
      <c r="C712">
        <f>BostonSim!I712</f>
        <v>30.766168939167546</v>
      </c>
      <c r="D712" t="str">
        <f t="shared" si="11"/>
        <v>W</v>
      </c>
    </row>
    <row r="713" spans="1:4" x14ac:dyDescent="0.25">
      <c r="A713">
        <v>712</v>
      </c>
      <c r="B713">
        <f>DallasSim!I713</f>
        <v>40.383263555797953</v>
      </c>
      <c r="C713">
        <f>BostonSim!I713</f>
        <v>19.006388348168841</v>
      </c>
      <c r="D713" t="str">
        <f t="shared" si="11"/>
        <v>W</v>
      </c>
    </row>
    <row r="714" spans="1:4" x14ac:dyDescent="0.25">
      <c r="A714">
        <v>713</v>
      </c>
      <c r="B714">
        <f>DallasSim!I714</f>
        <v>34.189463674526827</v>
      </c>
      <c r="C714">
        <f>BostonSim!I714</f>
        <v>26.457366138697221</v>
      </c>
      <c r="D714" t="str">
        <f t="shared" si="11"/>
        <v>W</v>
      </c>
    </row>
    <row r="715" spans="1:4" x14ac:dyDescent="0.25">
      <c r="A715">
        <v>714</v>
      </c>
      <c r="B715">
        <f>DallasSim!I715</f>
        <v>35.192032289754572</v>
      </c>
      <c r="C715">
        <f>BostonSim!I715</f>
        <v>30.217054088277592</v>
      </c>
      <c r="D715" t="str">
        <f t="shared" si="11"/>
        <v>W</v>
      </c>
    </row>
    <row r="716" spans="1:4" x14ac:dyDescent="0.25">
      <c r="A716">
        <v>715</v>
      </c>
      <c r="B716">
        <f>DallasSim!I716</f>
        <v>44.297320751423193</v>
      </c>
      <c r="C716">
        <f>BostonSim!I716</f>
        <v>24.873119049766938</v>
      </c>
      <c r="D716" t="str">
        <f t="shared" si="11"/>
        <v>W</v>
      </c>
    </row>
    <row r="717" spans="1:4" x14ac:dyDescent="0.25">
      <c r="A717">
        <v>716</v>
      </c>
      <c r="B717">
        <f>DallasSim!I717</f>
        <v>50.479875414855634</v>
      </c>
      <c r="C717">
        <f>BostonSim!I717</f>
        <v>25.120009420143987</v>
      </c>
      <c r="D717" t="str">
        <f t="shared" si="11"/>
        <v>W</v>
      </c>
    </row>
    <row r="718" spans="1:4" x14ac:dyDescent="0.25">
      <c r="A718">
        <v>717</v>
      </c>
      <c r="B718">
        <f>DallasSim!I718</f>
        <v>39.793448451743643</v>
      </c>
      <c r="C718">
        <f>BostonSim!I718</f>
        <v>25.899646916555479</v>
      </c>
      <c r="D718" t="str">
        <f t="shared" si="11"/>
        <v>W</v>
      </c>
    </row>
    <row r="719" spans="1:4" x14ac:dyDescent="0.25">
      <c r="A719">
        <v>718</v>
      </c>
      <c r="B719">
        <f>DallasSim!I719</f>
        <v>45.479899250851197</v>
      </c>
      <c r="C719">
        <f>BostonSim!I719</f>
        <v>21.858948427346682</v>
      </c>
      <c r="D719" t="str">
        <f t="shared" si="11"/>
        <v>W</v>
      </c>
    </row>
    <row r="720" spans="1:4" x14ac:dyDescent="0.25">
      <c r="A720">
        <v>719</v>
      </c>
      <c r="B720">
        <f>DallasSim!I720</f>
        <v>35.26258332371841</v>
      </c>
      <c r="C720">
        <f>BostonSim!I720</f>
        <v>31.479738180459815</v>
      </c>
      <c r="D720" t="str">
        <f t="shared" si="11"/>
        <v>W</v>
      </c>
    </row>
    <row r="721" spans="1:4" x14ac:dyDescent="0.25">
      <c r="A721">
        <v>720</v>
      </c>
      <c r="B721">
        <f>DallasSim!I721</f>
        <v>50.348941528288563</v>
      </c>
      <c r="C721">
        <f>BostonSim!I721</f>
        <v>24.619184024460317</v>
      </c>
      <c r="D721" t="str">
        <f t="shared" si="11"/>
        <v>W</v>
      </c>
    </row>
    <row r="722" spans="1:4" x14ac:dyDescent="0.25">
      <c r="A722">
        <v>721</v>
      </c>
      <c r="B722">
        <f>DallasSim!I722</f>
        <v>43.13102711317881</v>
      </c>
      <c r="C722">
        <f>BostonSim!I722</f>
        <v>25.317407506129001</v>
      </c>
      <c r="D722" t="str">
        <f t="shared" si="11"/>
        <v>W</v>
      </c>
    </row>
    <row r="723" spans="1:4" x14ac:dyDescent="0.25">
      <c r="A723">
        <v>722</v>
      </c>
      <c r="B723">
        <f>DallasSim!I723</f>
        <v>48.960813132754438</v>
      </c>
      <c r="C723">
        <f>BostonSim!I723</f>
        <v>30.835547974778269</v>
      </c>
      <c r="D723" t="str">
        <f t="shared" si="11"/>
        <v>W</v>
      </c>
    </row>
    <row r="724" spans="1:4" x14ac:dyDescent="0.25">
      <c r="A724">
        <v>723</v>
      </c>
      <c r="B724">
        <f>DallasSim!I724</f>
        <v>43.241660474424854</v>
      </c>
      <c r="C724">
        <f>BostonSim!I724</f>
        <v>22.786433245868125</v>
      </c>
      <c r="D724" t="str">
        <f t="shared" si="11"/>
        <v>W</v>
      </c>
    </row>
    <row r="725" spans="1:4" x14ac:dyDescent="0.25">
      <c r="A725">
        <v>724</v>
      </c>
      <c r="B725">
        <f>DallasSim!I725</f>
        <v>50.195930444822736</v>
      </c>
      <c r="C725">
        <f>BostonSim!I725</f>
        <v>26.03165911194872</v>
      </c>
      <c r="D725" t="str">
        <f t="shared" si="11"/>
        <v>W</v>
      </c>
    </row>
    <row r="726" spans="1:4" x14ac:dyDescent="0.25">
      <c r="A726">
        <v>725</v>
      </c>
      <c r="B726">
        <f>DallasSim!I726</f>
        <v>40.829853854695735</v>
      </c>
      <c r="C726">
        <f>BostonSim!I726</f>
        <v>29.752490789574523</v>
      </c>
      <c r="D726" t="str">
        <f t="shared" si="11"/>
        <v>W</v>
      </c>
    </row>
    <row r="727" spans="1:4" x14ac:dyDescent="0.25">
      <c r="A727">
        <v>726</v>
      </c>
      <c r="B727">
        <f>DallasSim!I727</f>
        <v>49.468643150014969</v>
      </c>
      <c r="C727">
        <f>BostonSim!I727</f>
        <v>30.054478316590867</v>
      </c>
      <c r="D727" t="str">
        <f t="shared" si="11"/>
        <v>W</v>
      </c>
    </row>
    <row r="728" spans="1:4" x14ac:dyDescent="0.25">
      <c r="A728">
        <v>727</v>
      </c>
      <c r="B728">
        <f>DallasSim!I728</f>
        <v>45.272590136095474</v>
      </c>
      <c r="C728">
        <f>BostonSim!I728</f>
        <v>29.652983679849825</v>
      </c>
      <c r="D728" t="str">
        <f t="shared" si="11"/>
        <v>W</v>
      </c>
    </row>
    <row r="729" spans="1:4" x14ac:dyDescent="0.25">
      <c r="A729">
        <v>728</v>
      </c>
      <c r="B729">
        <f>DallasSim!I729</f>
        <v>33.350479947329163</v>
      </c>
      <c r="C729">
        <f>BostonSim!I729</f>
        <v>30.676703127266205</v>
      </c>
      <c r="D729" t="str">
        <f t="shared" si="11"/>
        <v>W</v>
      </c>
    </row>
    <row r="730" spans="1:4" x14ac:dyDescent="0.25">
      <c r="A730">
        <v>729</v>
      </c>
      <c r="B730">
        <f>DallasSim!I730</f>
        <v>50.456587011447517</v>
      </c>
      <c r="C730">
        <f>BostonSim!I730</f>
        <v>26.618712946091691</v>
      </c>
      <c r="D730" t="str">
        <f t="shared" si="11"/>
        <v>W</v>
      </c>
    </row>
    <row r="731" spans="1:4" x14ac:dyDescent="0.25">
      <c r="A731">
        <v>730</v>
      </c>
      <c r="B731">
        <f>DallasSim!I731</f>
        <v>48.271631546194762</v>
      </c>
      <c r="C731">
        <f>BostonSim!I731</f>
        <v>28.166038897982268</v>
      </c>
      <c r="D731" t="str">
        <f t="shared" si="11"/>
        <v>W</v>
      </c>
    </row>
    <row r="732" spans="1:4" x14ac:dyDescent="0.25">
      <c r="A732">
        <v>731</v>
      </c>
      <c r="B732">
        <f>DallasSim!I732</f>
        <v>47.826547878525723</v>
      </c>
      <c r="C732">
        <f>BostonSim!I732</f>
        <v>18.198897980116122</v>
      </c>
      <c r="D732" t="str">
        <f t="shared" si="11"/>
        <v>W</v>
      </c>
    </row>
    <row r="733" spans="1:4" x14ac:dyDescent="0.25">
      <c r="A733">
        <v>732</v>
      </c>
      <c r="B733">
        <f>DallasSim!I733</f>
        <v>42.415288683831022</v>
      </c>
      <c r="C733">
        <f>BostonSim!I733</f>
        <v>22.369741549880729</v>
      </c>
      <c r="D733" t="str">
        <f t="shared" si="11"/>
        <v>W</v>
      </c>
    </row>
    <row r="734" spans="1:4" x14ac:dyDescent="0.25">
      <c r="A734">
        <v>733</v>
      </c>
      <c r="B734">
        <f>DallasSim!I734</f>
        <v>42.746850783340726</v>
      </c>
      <c r="C734">
        <f>BostonSim!I734</f>
        <v>25.316997149293272</v>
      </c>
      <c r="D734" t="str">
        <f t="shared" si="11"/>
        <v>W</v>
      </c>
    </row>
    <row r="735" spans="1:4" x14ac:dyDescent="0.25">
      <c r="A735">
        <v>734</v>
      </c>
      <c r="B735">
        <f>DallasSim!I735</f>
        <v>48.466288716388028</v>
      </c>
      <c r="C735">
        <f>BostonSim!I735</f>
        <v>28.361887229752746</v>
      </c>
      <c r="D735" t="str">
        <f t="shared" si="11"/>
        <v>W</v>
      </c>
    </row>
    <row r="736" spans="1:4" x14ac:dyDescent="0.25">
      <c r="A736">
        <v>735</v>
      </c>
      <c r="B736">
        <f>DallasSim!I736</f>
        <v>48.68561238988768</v>
      </c>
      <c r="C736">
        <f>BostonSim!I736</f>
        <v>29.317039749006824</v>
      </c>
      <c r="D736" t="str">
        <f t="shared" si="11"/>
        <v>W</v>
      </c>
    </row>
    <row r="737" spans="1:4" x14ac:dyDescent="0.25">
      <c r="A737">
        <v>736</v>
      </c>
      <c r="B737">
        <f>DallasSim!I737</f>
        <v>47.776765484116012</v>
      </c>
      <c r="C737">
        <f>BostonSim!I737</f>
        <v>27.605924695379532</v>
      </c>
      <c r="D737" t="str">
        <f t="shared" si="11"/>
        <v>W</v>
      </c>
    </row>
    <row r="738" spans="1:4" x14ac:dyDescent="0.25">
      <c r="A738">
        <v>737</v>
      </c>
      <c r="B738">
        <f>DallasSim!I738</f>
        <v>49.135447042162312</v>
      </c>
      <c r="C738">
        <f>BostonSim!I738</f>
        <v>24.893206179089201</v>
      </c>
      <c r="D738" t="str">
        <f t="shared" si="11"/>
        <v>W</v>
      </c>
    </row>
    <row r="739" spans="1:4" x14ac:dyDescent="0.25">
      <c r="A739">
        <v>738</v>
      </c>
      <c r="B739">
        <f>DallasSim!I739</f>
        <v>48.611824980055303</v>
      </c>
      <c r="C739">
        <f>BostonSim!I739</f>
        <v>28.990610487456369</v>
      </c>
      <c r="D739" t="str">
        <f t="shared" si="11"/>
        <v>W</v>
      </c>
    </row>
    <row r="740" spans="1:4" x14ac:dyDescent="0.25">
      <c r="A740">
        <v>739</v>
      </c>
      <c r="B740">
        <f>DallasSim!I740</f>
        <v>39.178003230357163</v>
      </c>
      <c r="C740">
        <f>BostonSim!I740</f>
        <v>24.875910938175114</v>
      </c>
      <c r="D740" t="str">
        <f t="shared" si="11"/>
        <v>W</v>
      </c>
    </row>
    <row r="741" spans="1:4" x14ac:dyDescent="0.25">
      <c r="A741">
        <v>740</v>
      </c>
      <c r="B741">
        <f>DallasSim!I741</f>
        <v>40.538391126215807</v>
      </c>
      <c r="C741">
        <f>BostonSim!I741</f>
        <v>29.643291957143379</v>
      </c>
      <c r="D741" t="str">
        <f t="shared" si="11"/>
        <v>W</v>
      </c>
    </row>
    <row r="742" spans="1:4" x14ac:dyDescent="0.25">
      <c r="A742">
        <v>741</v>
      </c>
      <c r="B742">
        <f>DallasSim!I742</f>
        <v>48.066398745351194</v>
      </c>
      <c r="C742">
        <f>BostonSim!I742</f>
        <v>30.30763876914374</v>
      </c>
      <c r="D742" t="str">
        <f t="shared" si="11"/>
        <v>W</v>
      </c>
    </row>
    <row r="743" spans="1:4" x14ac:dyDescent="0.25">
      <c r="A743">
        <v>742</v>
      </c>
      <c r="B743">
        <f>DallasSim!I743</f>
        <v>43.913094653207658</v>
      </c>
      <c r="C743">
        <f>BostonSim!I743</f>
        <v>30.20514808694994</v>
      </c>
      <c r="D743" t="str">
        <f t="shared" si="11"/>
        <v>W</v>
      </c>
    </row>
    <row r="744" spans="1:4" x14ac:dyDescent="0.25">
      <c r="A744">
        <v>743</v>
      </c>
      <c r="B744">
        <f>DallasSim!I744</f>
        <v>50.440010483797629</v>
      </c>
      <c r="C744">
        <f>BostonSim!I744</f>
        <v>22.654287323770816</v>
      </c>
      <c r="D744" t="str">
        <f t="shared" si="11"/>
        <v>W</v>
      </c>
    </row>
    <row r="745" spans="1:4" x14ac:dyDescent="0.25">
      <c r="A745">
        <v>744</v>
      </c>
      <c r="B745">
        <f>DallasSim!I745</f>
        <v>47.015980721407672</v>
      </c>
      <c r="C745">
        <f>BostonSim!I745</f>
        <v>29.915270338506691</v>
      </c>
      <c r="D745" t="str">
        <f t="shared" si="11"/>
        <v>W</v>
      </c>
    </row>
    <row r="746" spans="1:4" x14ac:dyDescent="0.25">
      <c r="A746">
        <v>745</v>
      </c>
      <c r="B746">
        <f>DallasSim!I746</f>
        <v>50.225205801015775</v>
      </c>
      <c r="C746">
        <f>BostonSim!I746</f>
        <v>13.631241796825108</v>
      </c>
      <c r="D746" t="str">
        <f t="shared" si="11"/>
        <v>W</v>
      </c>
    </row>
    <row r="747" spans="1:4" x14ac:dyDescent="0.25">
      <c r="A747">
        <v>746</v>
      </c>
      <c r="B747">
        <f>DallasSim!I747</f>
        <v>49.037011145535153</v>
      </c>
      <c r="C747">
        <f>BostonSim!I747</f>
        <v>28.855378153328097</v>
      </c>
      <c r="D747" t="str">
        <f t="shared" si="11"/>
        <v>W</v>
      </c>
    </row>
    <row r="748" spans="1:4" x14ac:dyDescent="0.25">
      <c r="A748">
        <v>747</v>
      </c>
      <c r="B748">
        <f>DallasSim!I748</f>
        <v>51.340834236709284</v>
      </c>
      <c r="C748">
        <f>BostonSim!I748</f>
        <v>26.010473752077115</v>
      </c>
      <c r="D748" t="str">
        <f t="shared" si="11"/>
        <v>W</v>
      </c>
    </row>
    <row r="749" spans="1:4" x14ac:dyDescent="0.25">
      <c r="A749">
        <v>748</v>
      </c>
      <c r="B749">
        <f>DallasSim!I749</f>
        <v>46.725015506750836</v>
      </c>
      <c r="C749">
        <f>BostonSim!I749</f>
        <v>27.383949016634755</v>
      </c>
      <c r="D749" t="str">
        <f t="shared" si="11"/>
        <v>W</v>
      </c>
    </row>
    <row r="750" spans="1:4" x14ac:dyDescent="0.25">
      <c r="A750">
        <v>749</v>
      </c>
      <c r="B750">
        <f>DallasSim!I750</f>
        <v>49.4233309244023</v>
      </c>
      <c r="C750">
        <f>BostonSim!I750</f>
        <v>30.040997380266525</v>
      </c>
      <c r="D750" t="str">
        <f t="shared" si="11"/>
        <v>W</v>
      </c>
    </row>
    <row r="751" spans="1:4" x14ac:dyDescent="0.25">
      <c r="A751">
        <v>750</v>
      </c>
      <c r="B751">
        <f>DallasSim!I751</f>
        <v>43.925164559105241</v>
      </c>
      <c r="C751">
        <f>BostonSim!I751</f>
        <v>23.720007242238431</v>
      </c>
      <c r="D751" t="str">
        <f t="shared" si="11"/>
        <v>W</v>
      </c>
    </row>
    <row r="752" spans="1:4" x14ac:dyDescent="0.25">
      <c r="A752">
        <v>751</v>
      </c>
      <c r="B752">
        <f>DallasSim!I752</f>
        <v>48.316638419438291</v>
      </c>
      <c r="C752">
        <f>BostonSim!I752</f>
        <v>28.591477243766882</v>
      </c>
      <c r="D752" t="str">
        <f t="shared" si="11"/>
        <v>W</v>
      </c>
    </row>
    <row r="753" spans="1:4" x14ac:dyDescent="0.25">
      <c r="A753">
        <v>752</v>
      </c>
      <c r="B753">
        <f>DallasSim!I753</f>
        <v>44.811510931263925</v>
      </c>
      <c r="C753">
        <f>BostonSim!I753</f>
        <v>29.445191592319176</v>
      </c>
      <c r="D753" t="str">
        <f t="shared" si="11"/>
        <v>W</v>
      </c>
    </row>
    <row r="754" spans="1:4" x14ac:dyDescent="0.25">
      <c r="A754">
        <v>753</v>
      </c>
      <c r="B754">
        <f>DallasSim!I754</f>
        <v>30.26101612599809</v>
      </c>
      <c r="C754">
        <f>BostonSim!I754</f>
        <v>30.067346427169817</v>
      </c>
      <c r="D754" t="str">
        <f t="shared" si="11"/>
        <v>W</v>
      </c>
    </row>
    <row r="755" spans="1:4" x14ac:dyDescent="0.25">
      <c r="A755">
        <v>754</v>
      </c>
      <c r="B755">
        <f>DallasSim!I755</f>
        <v>43.245062324408103</v>
      </c>
      <c r="C755">
        <f>BostonSim!I755</f>
        <v>30.024296910580119</v>
      </c>
      <c r="D755" t="str">
        <f t="shared" si="11"/>
        <v>W</v>
      </c>
    </row>
    <row r="756" spans="1:4" x14ac:dyDescent="0.25">
      <c r="A756">
        <v>755</v>
      </c>
      <c r="B756">
        <f>DallasSim!I756</f>
        <v>34.123842709973538</v>
      </c>
      <c r="C756">
        <f>BostonSim!I756</f>
        <v>31.019753944112399</v>
      </c>
      <c r="D756" t="str">
        <f t="shared" si="11"/>
        <v>W</v>
      </c>
    </row>
    <row r="757" spans="1:4" x14ac:dyDescent="0.25">
      <c r="A757">
        <v>756</v>
      </c>
      <c r="B757">
        <f>DallasSim!I757</f>
        <v>48.449316087657202</v>
      </c>
      <c r="C757">
        <f>BostonSim!I757</f>
        <v>24.482277415029408</v>
      </c>
      <c r="D757" t="str">
        <f t="shared" si="11"/>
        <v>W</v>
      </c>
    </row>
    <row r="758" spans="1:4" x14ac:dyDescent="0.25">
      <c r="A758">
        <v>757</v>
      </c>
      <c r="B758">
        <f>DallasSim!I758</f>
        <v>40.059669893029849</v>
      </c>
      <c r="C758">
        <f>BostonSim!I758</f>
        <v>28.393645692691639</v>
      </c>
      <c r="D758" t="str">
        <f t="shared" si="11"/>
        <v>W</v>
      </c>
    </row>
    <row r="759" spans="1:4" x14ac:dyDescent="0.25">
      <c r="A759">
        <v>758</v>
      </c>
      <c r="B759">
        <f>DallasSim!I759</f>
        <v>33.860212134320477</v>
      </c>
      <c r="C759">
        <f>BostonSim!I759</f>
        <v>29.732670829995111</v>
      </c>
      <c r="D759" t="str">
        <f t="shared" si="11"/>
        <v>W</v>
      </c>
    </row>
    <row r="760" spans="1:4" x14ac:dyDescent="0.25">
      <c r="A760">
        <v>759</v>
      </c>
      <c r="B760">
        <f>DallasSim!I760</f>
        <v>42.751022158970578</v>
      </c>
      <c r="C760">
        <f>BostonSim!I760</f>
        <v>30.029277460427338</v>
      </c>
      <c r="D760" t="str">
        <f t="shared" si="11"/>
        <v>W</v>
      </c>
    </row>
    <row r="761" spans="1:4" x14ac:dyDescent="0.25">
      <c r="A761">
        <v>760</v>
      </c>
      <c r="B761">
        <f>DallasSim!I761</f>
        <v>45.097534890060182</v>
      </c>
      <c r="C761">
        <f>BostonSim!I761</f>
        <v>26.012653247584794</v>
      </c>
      <c r="D761" t="str">
        <f t="shared" si="11"/>
        <v>W</v>
      </c>
    </row>
    <row r="762" spans="1:4" x14ac:dyDescent="0.25">
      <c r="A762">
        <v>761</v>
      </c>
      <c r="B762">
        <f>DallasSim!I762</f>
        <v>51.353470537877747</v>
      </c>
      <c r="C762">
        <f>BostonSim!I762</f>
        <v>31.34033466070311</v>
      </c>
      <c r="D762" t="str">
        <f t="shared" si="11"/>
        <v>W</v>
      </c>
    </row>
    <row r="763" spans="1:4" x14ac:dyDescent="0.25">
      <c r="A763">
        <v>762</v>
      </c>
      <c r="B763">
        <f>DallasSim!I763</f>
        <v>42.016670598159543</v>
      </c>
      <c r="C763">
        <f>BostonSim!I763</f>
        <v>29.940218175930674</v>
      </c>
      <c r="D763" t="str">
        <f t="shared" si="11"/>
        <v>W</v>
      </c>
    </row>
    <row r="764" spans="1:4" x14ac:dyDescent="0.25">
      <c r="A764">
        <v>763</v>
      </c>
      <c r="B764">
        <f>DallasSim!I764</f>
        <v>39.695659260145696</v>
      </c>
      <c r="C764">
        <f>BostonSim!I764</f>
        <v>25.095497685924663</v>
      </c>
      <c r="D764" t="str">
        <f t="shared" si="11"/>
        <v>W</v>
      </c>
    </row>
    <row r="765" spans="1:4" x14ac:dyDescent="0.25">
      <c r="A765">
        <v>764</v>
      </c>
      <c r="B765">
        <f>DallasSim!I765</f>
        <v>50.263474656639126</v>
      </c>
      <c r="C765">
        <f>BostonSim!I765</f>
        <v>24.453231214958404</v>
      </c>
      <c r="D765" t="str">
        <f t="shared" si="11"/>
        <v>W</v>
      </c>
    </row>
    <row r="766" spans="1:4" x14ac:dyDescent="0.25">
      <c r="A766">
        <v>765</v>
      </c>
      <c r="B766">
        <f>DallasSim!I766</f>
        <v>48.313446977720453</v>
      </c>
      <c r="C766">
        <f>BostonSim!I766</f>
        <v>25.182216996557976</v>
      </c>
      <c r="D766" t="str">
        <f t="shared" si="11"/>
        <v>W</v>
      </c>
    </row>
    <row r="767" spans="1:4" x14ac:dyDescent="0.25">
      <c r="A767">
        <v>766</v>
      </c>
      <c r="B767">
        <f>DallasSim!I767</f>
        <v>43.318735340371603</v>
      </c>
      <c r="C767">
        <f>BostonSim!I767</f>
        <v>29.740966187779197</v>
      </c>
      <c r="D767" t="str">
        <f t="shared" si="11"/>
        <v>W</v>
      </c>
    </row>
    <row r="768" spans="1:4" x14ac:dyDescent="0.25">
      <c r="A768">
        <v>767</v>
      </c>
      <c r="B768">
        <f>DallasSim!I768</f>
        <v>43.968326126161273</v>
      </c>
      <c r="C768">
        <f>BostonSim!I768</f>
        <v>30.631639929000972</v>
      </c>
      <c r="D768" t="str">
        <f t="shared" si="11"/>
        <v>W</v>
      </c>
    </row>
    <row r="769" spans="1:4" x14ac:dyDescent="0.25">
      <c r="A769">
        <v>768</v>
      </c>
      <c r="B769">
        <f>DallasSim!I769</f>
        <v>37.640984350701167</v>
      </c>
      <c r="C769">
        <f>BostonSim!I769</f>
        <v>20.321035908040688</v>
      </c>
      <c r="D769" t="str">
        <f t="shared" si="11"/>
        <v>W</v>
      </c>
    </row>
    <row r="770" spans="1:4" x14ac:dyDescent="0.25">
      <c r="A770">
        <v>769</v>
      </c>
      <c r="B770">
        <f>DallasSim!I770</f>
        <v>44.721150755790532</v>
      </c>
      <c r="C770">
        <f>BostonSim!I770</f>
        <v>29.051986763842052</v>
      </c>
      <c r="D770" t="str">
        <f t="shared" si="11"/>
        <v>W</v>
      </c>
    </row>
    <row r="771" spans="1:4" x14ac:dyDescent="0.25">
      <c r="A771">
        <v>770</v>
      </c>
      <c r="B771">
        <f>DallasSim!I771</f>
        <v>42.410175613665039</v>
      </c>
      <c r="C771">
        <f>BostonSim!I771</f>
        <v>22.953089508527828</v>
      </c>
      <c r="D771" t="str">
        <f t="shared" ref="D771:D834" si="12">IF(B771&gt;C771,"W",IF(B771&lt;C771,"L","T"))</f>
        <v>W</v>
      </c>
    </row>
    <row r="772" spans="1:4" x14ac:dyDescent="0.25">
      <c r="A772">
        <v>771</v>
      </c>
      <c r="B772">
        <f>DallasSim!I772</f>
        <v>29.549529979514158</v>
      </c>
      <c r="C772">
        <f>BostonSim!I772</f>
        <v>21.472590168265953</v>
      </c>
      <c r="D772" t="str">
        <f t="shared" si="12"/>
        <v>W</v>
      </c>
    </row>
    <row r="773" spans="1:4" x14ac:dyDescent="0.25">
      <c r="A773">
        <v>772</v>
      </c>
      <c r="B773">
        <f>DallasSim!I773</f>
        <v>28.878266345111712</v>
      </c>
      <c r="C773">
        <f>BostonSim!I773</f>
        <v>28.948776472115284</v>
      </c>
      <c r="D773" t="str">
        <f t="shared" si="12"/>
        <v>L</v>
      </c>
    </row>
    <row r="774" spans="1:4" x14ac:dyDescent="0.25">
      <c r="A774">
        <v>773</v>
      </c>
      <c r="B774">
        <f>DallasSim!I774</f>
        <v>48.863077496224385</v>
      </c>
      <c r="C774">
        <f>BostonSim!I774</f>
        <v>25.955073636201046</v>
      </c>
      <c r="D774" t="str">
        <f t="shared" si="12"/>
        <v>W</v>
      </c>
    </row>
    <row r="775" spans="1:4" x14ac:dyDescent="0.25">
      <c r="A775">
        <v>774</v>
      </c>
      <c r="B775">
        <f>DallasSim!I775</f>
        <v>49.689424176686899</v>
      </c>
      <c r="C775">
        <f>BostonSim!I775</f>
        <v>30.187050350921851</v>
      </c>
      <c r="D775" t="str">
        <f t="shared" si="12"/>
        <v>W</v>
      </c>
    </row>
    <row r="776" spans="1:4" x14ac:dyDescent="0.25">
      <c r="A776">
        <v>775</v>
      </c>
      <c r="B776">
        <f>DallasSim!I776</f>
        <v>44.746346876982528</v>
      </c>
      <c r="C776">
        <f>BostonSim!I776</f>
        <v>30.359977284467234</v>
      </c>
      <c r="D776" t="str">
        <f t="shared" si="12"/>
        <v>W</v>
      </c>
    </row>
    <row r="777" spans="1:4" x14ac:dyDescent="0.25">
      <c r="A777">
        <v>776</v>
      </c>
      <c r="B777">
        <f>DallasSim!I777</f>
        <v>48.263811813210204</v>
      </c>
      <c r="C777">
        <f>BostonSim!I777</f>
        <v>30.576030130603002</v>
      </c>
      <c r="D777" t="str">
        <f t="shared" si="12"/>
        <v>W</v>
      </c>
    </row>
    <row r="778" spans="1:4" x14ac:dyDescent="0.25">
      <c r="A778">
        <v>777</v>
      </c>
      <c r="B778">
        <f>DallasSim!I778</f>
        <v>48.651974589378703</v>
      </c>
      <c r="C778">
        <f>BostonSim!I778</f>
        <v>20.710018164164602</v>
      </c>
      <c r="D778" t="str">
        <f t="shared" si="12"/>
        <v>W</v>
      </c>
    </row>
    <row r="779" spans="1:4" x14ac:dyDescent="0.25">
      <c r="A779">
        <v>778</v>
      </c>
      <c r="B779">
        <f>DallasSim!I779</f>
        <v>49.167662864416229</v>
      </c>
      <c r="C779">
        <f>BostonSim!I779</f>
        <v>29.367997901309437</v>
      </c>
      <c r="D779" t="str">
        <f t="shared" si="12"/>
        <v>W</v>
      </c>
    </row>
    <row r="780" spans="1:4" x14ac:dyDescent="0.25">
      <c r="A780">
        <v>779</v>
      </c>
      <c r="B780">
        <f>DallasSim!I780</f>
        <v>43.641956524579122</v>
      </c>
      <c r="C780">
        <f>BostonSim!I780</f>
        <v>31.067992016021936</v>
      </c>
      <c r="D780" t="str">
        <f t="shared" si="12"/>
        <v>W</v>
      </c>
    </row>
    <row r="781" spans="1:4" x14ac:dyDescent="0.25">
      <c r="A781">
        <v>780</v>
      </c>
      <c r="B781">
        <f>DallasSim!I781</f>
        <v>46.011097365355752</v>
      </c>
      <c r="C781">
        <f>BostonSim!I781</f>
        <v>24.729700816038296</v>
      </c>
      <c r="D781" t="str">
        <f t="shared" si="12"/>
        <v>W</v>
      </c>
    </row>
    <row r="782" spans="1:4" x14ac:dyDescent="0.25">
      <c r="A782">
        <v>781</v>
      </c>
      <c r="B782">
        <f>DallasSim!I782</f>
        <v>38.59307711601393</v>
      </c>
      <c r="C782">
        <f>BostonSim!I782</f>
        <v>29.82560831129263</v>
      </c>
      <c r="D782" t="str">
        <f t="shared" si="12"/>
        <v>W</v>
      </c>
    </row>
    <row r="783" spans="1:4" x14ac:dyDescent="0.25">
      <c r="A783">
        <v>782</v>
      </c>
      <c r="B783">
        <f>DallasSim!I783</f>
        <v>42.278796604394145</v>
      </c>
      <c r="C783">
        <f>BostonSim!I783</f>
        <v>28.738858643246939</v>
      </c>
      <c r="D783" t="str">
        <f t="shared" si="12"/>
        <v>W</v>
      </c>
    </row>
    <row r="784" spans="1:4" x14ac:dyDescent="0.25">
      <c r="A784">
        <v>783</v>
      </c>
      <c r="B784">
        <f>DallasSim!I784</f>
        <v>49.95027808067389</v>
      </c>
      <c r="C784">
        <f>BostonSim!I784</f>
        <v>25.215678256730808</v>
      </c>
      <c r="D784" t="str">
        <f t="shared" si="12"/>
        <v>W</v>
      </c>
    </row>
    <row r="785" spans="1:4" x14ac:dyDescent="0.25">
      <c r="A785">
        <v>784</v>
      </c>
      <c r="B785">
        <f>DallasSim!I785</f>
        <v>39.658444990617021</v>
      </c>
      <c r="C785">
        <f>BostonSim!I785</f>
        <v>29.854573373806936</v>
      </c>
      <c r="D785" t="str">
        <f t="shared" si="12"/>
        <v>W</v>
      </c>
    </row>
    <row r="786" spans="1:4" x14ac:dyDescent="0.25">
      <c r="A786">
        <v>785</v>
      </c>
      <c r="B786">
        <f>DallasSim!I786</f>
        <v>50.841555084386151</v>
      </c>
      <c r="C786">
        <f>BostonSim!I786</f>
        <v>27.835000156066194</v>
      </c>
      <c r="D786" t="str">
        <f t="shared" si="12"/>
        <v>W</v>
      </c>
    </row>
    <row r="787" spans="1:4" x14ac:dyDescent="0.25">
      <c r="A787">
        <v>786</v>
      </c>
      <c r="B787">
        <f>DallasSim!I787</f>
        <v>41.035570610804385</v>
      </c>
      <c r="C787">
        <f>BostonSim!I787</f>
        <v>25.300149409428446</v>
      </c>
      <c r="D787" t="str">
        <f t="shared" si="12"/>
        <v>W</v>
      </c>
    </row>
    <row r="788" spans="1:4" x14ac:dyDescent="0.25">
      <c r="A788">
        <v>787</v>
      </c>
      <c r="B788">
        <f>DallasSim!I788</f>
        <v>50.060544544486412</v>
      </c>
      <c r="C788">
        <f>BostonSim!I788</f>
        <v>30.798090605895876</v>
      </c>
      <c r="D788" t="str">
        <f t="shared" si="12"/>
        <v>W</v>
      </c>
    </row>
    <row r="789" spans="1:4" x14ac:dyDescent="0.25">
      <c r="A789">
        <v>788</v>
      </c>
      <c r="B789">
        <f>DallasSim!I789</f>
        <v>46.365928023481352</v>
      </c>
      <c r="C789">
        <f>BostonSim!I789</f>
        <v>24.193968640138351</v>
      </c>
      <c r="D789" t="str">
        <f t="shared" si="12"/>
        <v>W</v>
      </c>
    </row>
    <row r="790" spans="1:4" x14ac:dyDescent="0.25">
      <c r="A790">
        <v>789</v>
      </c>
      <c r="B790">
        <f>DallasSim!I790</f>
        <v>50.05573860611392</v>
      </c>
      <c r="C790">
        <f>BostonSim!I790</f>
        <v>28.275672084212708</v>
      </c>
      <c r="D790" t="str">
        <f t="shared" si="12"/>
        <v>W</v>
      </c>
    </row>
    <row r="791" spans="1:4" x14ac:dyDescent="0.25">
      <c r="A791">
        <v>790</v>
      </c>
      <c r="B791">
        <f>DallasSim!I791</f>
        <v>31.870043354662545</v>
      </c>
      <c r="C791">
        <f>BostonSim!I791</f>
        <v>30.626995799478287</v>
      </c>
      <c r="D791" t="str">
        <f t="shared" si="12"/>
        <v>W</v>
      </c>
    </row>
    <row r="792" spans="1:4" x14ac:dyDescent="0.25">
      <c r="A792">
        <v>791</v>
      </c>
      <c r="B792">
        <f>DallasSim!I792</f>
        <v>49.141702923132996</v>
      </c>
      <c r="C792">
        <f>BostonSim!I792</f>
        <v>25.254887520454815</v>
      </c>
      <c r="D792" t="str">
        <f t="shared" si="12"/>
        <v>W</v>
      </c>
    </row>
    <row r="793" spans="1:4" x14ac:dyDescent="0.25">
      <c r="A793">
        <v>792</v>
      </c>
      <c r="B793">
        <f>DallasSim!I793</f>
        <v>50.246393348455918</v>
      </c>
      <c r="C793">
        <f>BostonSim!I793</f>
        <v>20.771156524612763</v>
      </c>
      <c r="D793" t="str">
        <f t="shared" si="12"/>
        <v>W</v>
      </c>
    </row>
    <row r="794" spans="1:4" x14ac:dyDescent="0.25">
      <c r="A794">
        <v>793</v>
      </c>
      <c r="B794">
        <f>DallasSim!I794</f>
        <v>43.415296212650695</v>
      </c>
      <c r="C794">
        <f>BostonSim!I794</f>
        <v>19.749293032723344</v>
      </c>
      <c r="D794" t="str">
        <f t="shared" si="12"/>
        <v>W</v>
      </c>
    </row>
    <row r="795" spans="1:4" x14ac:dyDescent="0.25">
      <c r="A795">
        <v>794</v>
      </c>
      <c r="B795">
        <f>DallasSim!I795</f>
        <v>47.478435913781162</v>
      </c>
      <c r="C795">
        <f>BostonSim!I795</f>
        <v>19.314851616223827</v>
      </c>
      <c r="D795" t="str">
        <f t="shared" si="12"/>
        <v>W</v>
      </c>
    </row>
    <row r="796" spans="1:4" x14ac:dyDescent="0.25">
      <c r="A796">
        <v>795</v>
      </c>
      <c r="B796">
        <f>DallasSim!I796</f>
        <v>45.276418605402576</v>
      </c>
      <c r="C796">
        <f>BostonSim!I796</f>
        <v>29.47229708259049</v>
      </c>
      <c r="D796" t="str">
        <f t="shared" si="12"/>
        <v>W</v>
      </c>
    </row>
    <row r="797" spans="1:4" x14ac:dyDescent="0.25">
      <c r="A797">
        <v>796</v>
      </c>
      <c r="B797">
        <f>DallasSim!I797</f>
        <v>49.297698490110406</v>
      </c>
      <c r="C797">
        <f>BostonSim!I797</f>
        <v>29.503737707296274</v>
      </c>
      <c r="D797" t="str">
        <f t="shared" si="12"/>
        <v>W</v>
      </c>
    </row>
    <row r="798" spans="1:4" x14ac:dyDescent="0.25">
      <c r="A798">
        <v>797</v>
      </c>
      <c r="B798">
        <f>DallasSim!I798</f>
        <v>51.42483565017001</v>
      </c>
      <c r="C798">
        <f>BostonSim!I798</f>
        <v>29.393659865098773</v>
      </c>
      <c r="D798" t="str">
        <f t="shared" si="12"/>
        <v>W</v>
      </c>
    </row>
    <row r="799" spans="1:4" x14ac:dyDescent="0.25">
      <c r="A799">
        <v>798</v>
      </c>
      <c r="B799">
        <f>DallasSim!I799</f>
        <v>47.729406085643873</v>
      </c>
      <c r="C799">
        <f>BostonSim!I799</f>
        <v>23.738037446865363</v>
      </c>
      <c r="D799" t="str">
        <f t="shared" si="12"/>
        <v>W</v>
      </c>
    </row>
    <row r="800" spans="1:4" x14ac:dyDescent="0.25">
      <c r="A800">
        <v>799</v>
      </c>
      <c r="B800">
        <f>DallasSim!I800</f>
        <v>49.243633619705463</v>
      </c>
      <c r="C800">
        <f>BostonSim!I800</f>
        <v>29.232021428034315</v>
      </c>
      <c r="D800" t="str">
        <f t="shared" si="12"/>
        <v>W</v>
      </c>
    </row>
    <row r="801" spans="1:4" x14ac:dyDescent="0.25">
      <c r="A801">
        <v>800</v>
      </c>
      <c r="B801">
        <f>DallasSim!I801</f>
        <v>48.969967559307889</v>
      </c>
      <c r="C801">
        <f>BostonSim!I801</f>
        <v>31.008329700900216</v>
      </c>
      <c r="D801" t="str">
        <f t="shared" si="12"/>
        <v>W</v>
      </c>
    </row>
    <row r="802" spans="1:4" x14ac:dyDescent="0.25">
      <c r="A802">
        <v>801</v>
      </c>
      <c r="B802">
        <f>DallasSim!I802</f>
        <v>48.890523838904237</v>
      </c>
      <c r="C802">
        <f>BostonSim!I802</f>
        <v>26.579699182993888</v>
      </c>
      <c r="D802" t="str">
        <f t="shared" si="12"/>
        <v>W</v>
      </c>
    </row>
    <row r="803" spans="1:4" x14ac:dyDescent="0.25">
      <c r="A803">
        <v>802</v>
      </c>
      <c r="B803">
        <f>DallasSim!I803</f>
        <v>44.005145525450168</v>
      </c>
      <c r="C803">
        <f>BostonSim!I803</f>
        <v>27.494664528841771</v>
      </c>
      <c r="D803" t="str">
        <f t="shared" si="12"/>
        <v>W</v>
      </c>
    </row>
    <row r="804" spans="1:4" x14ac:dyDescent="0.25">
      <c r="A804">
        <v>803</v>
      </c>
      <c r="B804">
        <f>DallasSim!I804</f>
        <v>32.583135003963498</v>
      </c>
      <c r="C804">
        <f>BostonSim!I804</f>
        <v>29.856273013731272</v>
      </c>
      <c r="D804" t="str">
        <f t="shared" si="12"/>
        <v>W</v>
      </c>
    </row>
    <row r="805" spans="1:4" x14ac:dyDescent="0.25">
      <c r="A805">
        <v>804</v>
      </c>
      <c r="B805">
        <f>DallasSim!I805</f>
        <v>48.980923865955845</v>
      </c>
      <c r="C805">
        <f>BostonSim!I805</f>
        <v>24.710987397491579</v>
      </c>
      <c r="D805" t="str">
        <f t="shared" si="12"/>
        <v>W</v>
      </c>
    </row>
    <row r="806" spans="1:4" x14ac:dyDescent="0.25">
      <c r="A806">
        <v>805</v>
      </c>
      <c r="B806">
        <f>DallasSim!I806</f>
        <v>48.982105404635867</v>
      </c>
      <c r="C806">
        <f>BostonSim!I806</f>
        <v>30.363962375097717</v>
      </c>
      <c r="D806" t="str">
        <f t="shared" si="12"/>
        <v>W</v>
      </c>
    </row>
    <row r="807" spans="1:4" x14ac:dyDescent="0.25">
      <c r="A807">
        <v>806</v>
      </c>
      <c r="B807">
        <f>DallasSim!I807</f>
        <v>49.617384625188926</v>
      </c>
      <c r="C807">
        <f>BostonSim!I807</f>
        <v>21.694593461757943</v>
      </c>
      <c r="D807" t="str">
        <f t="shared" si="12"/>
        <v>W</v>
      </c>
    </row>
    <row r="808" spans="1:4" x14ac:dyDescent="0.25">
      <c r="A808">
        <v>807</v>
      </c>
      <c r="B808">
        <f>DallasSim!I808</f>
        <v>50.418832805397535</v>
      </c>
      <c r="C808">
        <f>BostonSim!I808</f>
        <v>30.468278051999697</v>
      </c>
      <c r="D808" t="str">
        <f t="shared" si="12"/>
        <v>W</v>
      </c>
    </row>
    <row r="809" spans="1:4" x14ac:dyDescent="0.25">
      <c r="A809">
        <v>808</v>
      </c>
      <c r="B809">
        <f>DallasSim!I809</f>
        <v>49.286880670443573</v>
      </c>
      <c r="C809">
        <f>BostonSim!I809</f>
        <v>25.9008939305068</v>
      </c>
      <c r="D809" t="str">
        <f t="shared" si="12"/>
        <v>W</v>
      </c>
    </row>
    <row r="810" spans="1:4" x14ac:dyDescent="0.25">
      <c r="A810">
        <v>809</v>
      </c>
      <c r="B810">
        <f>DallasSim!I810</f>
        <v>50.90049739871256</v>
      </c>
      <c r="C810">
        <f>BostonSim!I810</f>
        <v>24.770311057088502</v>
      </c>
      <c r="D810" t="str">
        <f t="shared" si="12"/>
        <v>W</v>
      </c>
    </row>
    <row r="811" spans="1:4" x14ac:dyDescent="0.25">
      <c r="A811">
        <v>810</v>
      </c>
      <c r="B811">
        <f>DallasSim!I811</f>
        <v>45.439260352143044</v>
      </c>
      <c r="C811">
        <f>BostonSim!I811</f>
        <v>25.335820746484835</v>
      </c>
      <c r="D811" t="str">
        <f t="shared" si="12"/>
        <v>W</v>
      </c>
    </row>
    <row r="812" spans="1:4" x14ac:dyDescent="0.25">
      <c r="A812">
        <v>811</v>
      </c>
      <c r="B812">
        <f>DallasSim!I812</f>
        <v>33.005317209874534</v>
      </c>
      <c r="C812">
        <f>BostonSim!I812</f>
        <v>28.995288375735555</v>
      </c>
      <c r="D812" t="str">
        <f t="shared" si="12"/>
        <v>W</v>
      </c>
    </row>
    <row r="813" spans="1:4" x14ac:dyDescent="0.25">
      <c r="A813">
        <v>812</v>
      </c>
      <c r="B813">
        <f>DallasSim!I813</f>
        <v>50.576766539623328</v>
      </c>
      <c r="C813">
        <f>BostonSim!I813</f>
        <v>23.827313943700911</v>
      </c>
      <c r="D813" t="str">
        <f t="shared" si="12"/>
        <v>W</v>
      </c>
    </row>
    <row r="814" spans="1:4" x14ac:dyDescent="0.25">
      <c r="A814">
        <v>813</v>
      </c>
      <c r="B814">
        <f>DallasSim!I814</f>
        <v>45.148921122039852</v>
      </c>
      <c r="C814">
        <f>BostonSim!I814</f>
        <v>25.259406695303493</v>
      </c>
      <c r="D814" t="str">
        <f t="shared" si="12"/>
        <v>W</v>
      </c>
    </row>
    <row r="815" spans="1:4" x14ac:dyDescent="0.25">
      <c r="A815">
        <v>814</v>
      </c>
      <c r="B815">
        <f>DallasSim!I815</f>
        <v>47.697031597822892</v>
      </c>
      <c r="C815">
        <f>BostonSim!I815</f>
        <v>30.175734243850432</v>
      </c>
      <c r="D815" t="str">
        <f t="shared" si="12"/>
        <v>W</v>
      </c>
    </row>
    <row r="816" spans="1:4" x14ac:dyDescent="0.25">
      <c r="A816">
        <v>815</v>
      </c>
      <c r="B816">
        <f>DallasSim!I816</f>
        <v>48.639079292947585</v>
      </c>
      <c r="C816">
        <f>BostonSim!I816</f>
        <v>27.860586564252223</v>
      </c>
      <c r="D816" t="str">
        <f t="shared" si="12"/>
        <v>W</v>
      </c>
    </row>
    <row r="817" spans="1:4" x14ac:dyDescent="0.25">
      <c r="A817">
        <v>816</v>
      </c>
      <c r="B817">
        <f>DallasSim!I817</f>
        <v>35.225190978341551</v>
      </c>
      <c r="C817">
        <f>BostonSim!I817</f>
        <v>21.710223158485093</v>
      </c>
      <c r="D817" t="str">
        <f t="shared" si="12"/>
        <v>W</v>
      </c>
    </row>
    <row r="818" spans="1:4" x14ac:dyDescent="0.25">
      <c r="A818">
        <v>817</v>
      </c>
      <c r="B818">
        <f>DallasSim!I818</f>
        <v>41.796569410579821</v>
      </c>
      <c r="C818">
        <f>BostonSim!I818</f>
        <v>26.258019213917144</v>
      </c>
      <c r="D818" t="str">
        <f t="shared" si="12"/>
        <v>W</v>
      </c>
    </row>
    <row r="819" spans="1:4" x14ac:dyDescent="0.25">
      <c r="A819">
        <v>818</v>
      </c>
      <c r="B819">
        <f>DallasSim!I819</f>
        <v>39.668209552679734</v>
      </c>
      <c r="C819">
        <f>BostonSim!I819</f>
        <v>24.951797976603977</v>
      </c>
      <c r="D819" t="str">
        <f t="shared" si="12"/>
        <v>W</v>
      </c>
    </row>
    <row r="820" spans="1:4" x14ac:dyDescent="0.25">
      <c r="A820">
        <v>819</v>
      </c>
      <c r="B820">
        <f>DallasSim!I820</f>
        <v>50.323420349850252</v>
      </c>
      <c r="C820">
        <f>BostonSim!I820</f>
        <v>30.702804144030321</v>
      </c>
      <c r="D820" t="str">
        <f t="shared" si="12"/>
        <v>W</v>
      </c>
    </row>
    <row r="821" spans="1:4" x14ac:dyDescent="0.25">
      <c r="A821">
        <v>820</v>
      </c>
      <c r="B821">
        <f>DallasSim!I821</f>
        <v>37.137068300830691</v>
      </c>
      <c r="C821">
        <f>BostonSim!I821</f>
        <v>27.915653450485078</v>
      </c>
      <c r="D821" t="str">
        <f t="shared" si="12"/>
        <v>W</v>
      </c>
    </row>
    <row r="822" spans="1:4" x14ac:dyDescent="0.25">
      <c r="A822">
        <v>821</v>
      </c>
      <c r="B822">
        <f>DallasSim!I822</f>
        <v>44.354014979625148</v>
      </c>
      <c r="C822">
        <f>BostonSim!I822</f>
        <v>23.558272466619247</v>
      </c>
      <c r="D822" t="str">
        <f t="shared" si="12"/>
        <v>W</v>
      </c>
    </row>
    <row r="823" spans="1:4" x14ac:dyDescent="0.25">
      <c r="A823">
        <v>822</v>
      </c>
      <c r="B823">
        <f>DallasSim!I823</f>
        <v>33.061024531878445</v>
      </c>
      <c r="C823">
        <f>BostonSim!I823</f>
        <v>21.921182032890734</v>
      </c>
      <c r="D823" t="str">
        <f t="shared" si="12"/>
        <v>W</v>
      </c>
    </row>
    <row r="824" spans="1:4" x14ac:dyDescent="0.25">
      <c r="A824">
        <v>823</v>
      </c>
      <c r="B824">
        <f>DallasSim!I824</f>
        <v>48.023627156930701</v>
      </c>
      <c r="C824">
        <f>BostonSim!I824</f>
        <v>30.560385806798291</v>
      </c>
      <c r="D824" t="str">
        <f t="shared" si="12"/>
        <v>W</v>
      </c>
    </row>
    <row r="825" spans="1:4" x14ac:dyDescent="0.25">
      <c r="A825">
        <v>824</v>
      </c>
      <c r="B825">
        <f>DallasSim!I825</f>
        <v>40.715261505259839</v>
      </c>
      <c r="C825">
        <f>BostonSim!I825</f>
        <v>28.528641072133233</v>
      </c>
      <c r="D825" t="str">
        <f t="shared" si="12"/>
        <v>W</v>
      </c>
    </row>
    <row r="826" spans="1:4" x14ac:dyDescent="0.25">
      <c r="A826">
        <v>825</v>
      </c>
      <c r="B826">
        <f>DallasSim!I826</f>
        <v>43.901677135311111</v>
      </c>
      <c r="C826">
        <f>BostonSim!I826</f>
        <v>25.863743476128281</v>
      </c>
      <c r="D826" t="str">
        <f t="shared" si="12"/>
        <v>W</v>
      </c>
    </row>
    <row r="827" spans="1:4" x14ac:dyDescent="0.25">
      <c r="A827">
        <v>826</v>
      </c>
      <c r="B827">
        <f>DallasSim!I827</f>
        <v>42.355144537695296</v>
      </c>
      <c r="C827">
        <f>BostonSim!I827</f>
        <v>31.616080137294759</v>
      </c>
      <c r="D827" t="str">
        <f t="shared" si="12"/>
        <v>W</v>
      </c>
    </row>
    <row r="828" spans="1:4" x14ac:dyDescent="0.25">
      <c r="A828">
        <v>827</v>
      </c>
      <c r="B828">
        <f>DallasSim!I828</f>
        <v>49.438612558917391</v>
      </c>
      <c r="C828">
        <f>BostonSim!I828</f>
        <v>30.318878514071077</v>
      </c>
      <c r="D828" t="str">
        <f t="shared" si="12"/>
        <v>W</v>
      </c>
    </row>
    <row r="829" spans="1:4" x14ac:dyDescent="0.25">
      <c r="A829">
        <v>828</v>
      </c>
      <c r="B829">
        <f>DallasSim!I829</f>
        <v>43.515719296343754</v>
      </c>
      <c r="C829">
        <f>BostonSim!I829</f>
        <v>23.582846057293391</v>
      </c>
      <c r="D829" t="str">
        <f t="shared" si="12"/>
        <v>W</v>
      </c>
    </row>
    <row r="830" spans="1:4" x14ac:dyDescent="0.25">
      <c r="A830">
        <v>829</v>
      </c>
      <c r="B830">
        <f>DallasSim!I830</f>
        <v>49.824755413867273</v>
      </c>
      <c r="C830">
        <f>BostonSim!I830</f>
        <v>29.193410927096636</v>
      </c>
      <c r="D830" t="str">
        <f t="shared" si="12"/>
        <v>W</v>
      </c>
    </row>
    <row r="831" spans="1:4" x14ac:dyDescent="0.25">
      <c r="A831">
        <v>830</v>
      </c>
      <c r="B831">
        <f>DallasSim!I831</f>
        <v>35.213105560205946</v>
      </c>
      <c r="C831">
        <f>BostonSim!I831</f>
        <v>30.647982373738763</v>
      </c>
      <c r="D831" t="str">
        <f t="shared" si="12"/>
        <v>W</v>
      </c>
    </row>
    <row r="832" spans="1:4" x14ac:dyDescent="0.25">
      <c r="A832">
        <v>831</v>
      </c>
      <c r="B832">
        <f>DallasSim!I832</f>
        <v>49.123726486153039</v>
      </c>
      <c r="C832">
        <f>BostonSim!I832</f>
        <v>25.513591402835569</v>
      </c>
      <c r="D832" t="str">
        <f t="shared" si="12"/>
        <v>W</v>
      </c>
    </row>
    <row r="833" spans="1:4" x14ac:dyDescent="0.25">
      <c r="A833">
        <v>832</v>
      </c>
      <c r="B833">
        <f>DallasSim!I833</f>
        <v>46.296346103375058</v>
      </c>
      <c r="C833">
        <f>BostonSim!I833</f>
        <v>25.373225847050232</v>
      </c>
      <c r="D833" t="str">
        <f t="shared" si="12"/>
        <v>W</v>
      </c>
    </row>
    <row r="834" spans="1:4" x14ac:dyDescent="0.25">
      <c r="A834">
        <v>833</v>
      </c>
      <c r="B834">
        <f>DallasSim!I834</f>
        <v>49.259854500663181</v>
      </c>
      <c r="C834">
        <f>BostonSim!I834</f>
        <v>19.710491069651777</v>
      </c>
      <c r="D834" t="str">
        <f t="shared" si="12"/>
        <v>W</v>
      </c>
    </row>
    <row r="835" spans="1:4" x14ac:dyDescent="0.25">
      <c r="A835">
        <v>834</v>
      </c>
      <c r="B835">
        <f>DallasSim!I835</f>
        <v>33.173171097622067</v>
      </c>
      <c r="C835">
        <f>BostonSim!I835</f>
        <v>29.605407441723791</v>
      </c>
      <c r="D835" t="str">
        <f t="shared" ref="D835:D898" si="13">IF(B835&gt;C835,"W",IF(B835&lt;C835,"L","T"))</f>
        <v>W</v>
      </c>
    </row>
    <row r="836" spans="1:4" x14ac:dyDescent="0.25">
      <c r="A836">
        <v>835</v>
      </c>
      <c r="B836">
        <f>DallasSim!I836</f>
        <v>40.985143491834627</v>
      </c>
      <c r="C836">
        <f>BostonSim!I836</f>
        <v>30.047124601754152</v>
      </c>
      <c r="D836" t="str">
        <f t="shared" si="13"/>
        <v>W</v>
      </c>
    </row>
    <row r="837" spans="1:4" x14ac:dyDescent="0.25">
      <c r="A837">
        <v>836</v>
      </c>
      <c r="B837">
        <f>DallasSim!I837</f>
        <v>34.242078641889393</v>
      </c>
      <c r="C837">
        <f>BostonSim!I837</f>
        <v>23.265938097786904</v>
      </c>
      <c r="D837" t="str">
        <f t="shared" si="13"/>
        <v>W</v>
      </c>
    </row>
    <row r="838" spans="1:4" x14ac:dyDescent="0.25">
      <c r="A838">
        <v>837</v>
      </c>
      <c r="B838">
        <f>DallasSim!I838</f>
        <v>50.853601372598618</v>
      </c>
      <c r="C838">
        <f>BostonSim!I838</f>
        <v>25.728247787540258</v>
      </c>
      <c r="D838" t="str">
        <f t="shared" si="13"/>
        <v>W</v>
      </c>
    </row>
    <row r="839" spans="1:4" x14ac:dyDescent="0.25">
      <c r="A839">
        <v>838</v>
      </c>
      <c r="B839">
        <f>DallasSim!I839</f>
        <v>47.621264357563774</v>
      </c>
      <c r="C839">
        <f>BostonSim!I839</f>
        <v>17.70552165838582</v>
      </c>
      <c r="D839" t="str">
        <f t="shared" si="13"/>
        <v>W</v>
      </c>
    </row>
    <row r="840" spans="1:4" x14ac:dyDescent="0.25">
      <c r="A840">
        <v>839</v>
      </c>
      <c r="B840">
        <f>DallasSim!I840</f>
        <v>51.801151681904969</v>
      </c>
      <c r="C840">
        <f>BostonSim!I840</f>
        <v>29.967629847837514</v>
      </c>
      <c r="D840" t="str">
        <f t="shared" si="13"/>
        <v>W</v>
      </c>
    </row>
    <row r="841" spans="1:4" x14ac:dyDescent="0.25">
      <c r="A841">
        <v>840</v>
      </c>
      <c r="B841">
        <f>DallasSim!I841</f>
        <v>49.318660733020309</v>
      </c>
      <c r="C841">
        <f>BostonSim!I841</f>
        <v>27.648206630232643</v>
      </c>
      <c r="D841" t="str">
        <f t="shared" si="13"/>
        <v>W</v>
      </c>
    </row>
    <row r="842" spans="1:4" x14ac:dyDescent="0.25">
      <c r="A842">
        <v>841</v>
      </c>
      <c r="B842">
        <f>DallasSim!I842</f>
        <v>39.887675944633223</v>
      </c>
      <c r="C842">
        <f>BostonSim!I842</f>
        <v>20.890734563088888</v>
      </c>
      <c r="D842" t="str">
        <f t="shared" si="13"/>
        <v>W</v>
      </c>
    </row>
    <row r="843" spans="1:4" x14ac:dyDescent="0.25">
      <c r="A843">
        <v>842</v>
      </c>
      <c r="B843">
        <f>DallasSim!I843</f>
        <v>40.661975345953451</v>
      </c>
      <c r="C843">
        <f>BostonSim!I843</f>
        <v>26.858264981258323</v>
      </c>
      <c r="D843" t="str">
        <f t="shared" si="13"/>
        <v>W</v>
      </c>
    </row>
    <row r="844" spans="1:4" x14ac:dyDescent="0.25">
      <c r="A844">
        <v>843</v>
      </c>
      <c r="B844">
        <f>DallasSim!I844</f>
        <v>35.75724810030259</v>
      </c>
      <c r="C844">
        <f>BostonSim!I844</f>
        <v>29.901919795706803</v>
      </c>
      <c r="D844" t="str">
        <f t="shared" si="13"/>
        <v>W</v>
      </c>
    </row>
    <row r="845" spans="1:4" x14ac:dyDescent="0.25">
      <c r="A845">
        <v>844</v>
      </c>
      <c r="B845">
        <f>DallasSim!I845</f>
        <v>47.807056602216875</v>
      </c>
      <c r="C845">
        <f>BostonSim!I845</f>
        <v>28.96918921844194</v>
      </c>
      <c r="D845" t="str">
        <f t="shared" si="13"/>
        <v>W</v>
      </c>
    </row>
    <row r="846" spans="1:4" x14ac:dyDescent="0.25">
      <c r="A846">
        <v>845</v>
      </c>
      <c r="B846">
        <f>DallasSim!I846</f>
        <v>46.212665767050112</v>
      </c>
      <c r="C846">
        <f>BostonSim!I846</f>
        <v>30.38545309391937</v>
      </c>
      <c r="D846" t="str">
        <f t="shared" si="13"/>
        <v>W</v>
      </c>
    </row>
    <row r="847" spans="1:4" x14ac:dyDescent="0.25">
      <c r="A847">
        <v>846</v>
      </c>
      <c r="B847">
        <f>DallasSim!I847</f>
        <v>50.699134813323994</v>
      </c>
      <c r="C847">
        <f>BostonSim!I847</f>
        <v>29.131285235053426</v>
      </c>
      <c r="D847" t="str">
        <f t="shared" si="13"/>
        <v>W</v>
      </c>
    </row>
    <row r="848" spans="1:4" x14ac:dyDescent="0.25">
      <c r="A848">
        <v>847</v>
      </c>
      <c r="B848">
        <f>DallasSim!I848</f>
        <v>47.640005170827592</v>
      </c>
      <c r="C848">
        <f>BostonSim!I848</f>
        <v>27.913854375530676</v>
      </c>
      <c r="D848" t="str">
        <f t="shared" si="13"/>
        <v>W</v>
      </c>
    </row>
    <row r="849" spans="1:4" x14ac:dyDescent="0.25">
      <c r="A849">
        <v>848</v>
      </c>
      <c r="B849">
        <f>DallasSim!I849</f>
        <v>44.298062558151372</v>
      </c>
      <c r="C849">
        <f>BostonSim!I849</f>
        <v>23.954224652941935</v>
      </c>
      <c r="D849" t="str">
        <f t="shared" si="13"/>
        <v>W</v>
      </c>
    </row>
    <row r="850" spans="1:4" x14ac:dyDescent="0.25">
      <c r="A850">
        <v>849</v>
      </c>
      <c r="B850">
        <f>DallasSim!I850</f>
        <v>39.483391620208181</v>
      </c>
      <c r="C850">
        <f>BostonSim!I850</f>
        <v>23.823698210191406</v>
      </c>
      <c r="D850" t="str">
        <f t="shared" si="13"/>
        <v>W</v>
      </c>
    </row>
    <row r="851" spans="1:4" x14ac:dyDescent="0.25">
      <c r="A851">
        <v>850</v>
      </c>
      <c r="B851">
        <f>DallasSim!I851</f>
        <v>34.645945667904108</v>
      </c>
      <c r="C851">
        <f>BostonSim!I851</f>
        <v>25.607870887627072</v>
      </c>
      <c r="D851" t="str">
        <f t="shared" si="13"/>
        <v>W</v>
      </c>
    </row>
    <row r="852" spans="1:4" x14ac:dyDescent="0.25">
      <c r="A852">
        <v>851</v>
      </c>
      <c r="B852">
        <f>DallasSim!I852</f>
        <v>48.33027829770041</v>
      </c>
      <c r="C852">
        <f>BostonSim!I852</f>
        <v>20.741430794847162</v>
      </c>
      <c r="D852" t="str">
        <f t="shared" si="13"/>
        <v>W</v>
      </c>
    </row>
    <row r="853" spans="1:4" x14ac:dyDescent="0.25">
      <c r="A853">
        <v>852</v>
      </c>
      <c r="B853">
        <f>DallasSim!I853</f>
        <v>46.034341583271754</v>
      </c>
      <c r="C853">
        <f>BostonSim!I853</f>
        <v>27.903134931676721</v>
      </c>
      <c r="D853" t="str">
        <f t="shared" si="13"/>
        <v>W</v>
      </c>
    </row>
    <row r="854" spans="1:4" x14ac:dyDescent="0.25">
      <c r="A854">
        <v>853</v>
      </c>
      <c r="B854">
        <f>DallasSim!I854</f>
        <v>42.686230054214832</v>
      </c>
      <c r="C854">
        <f>BostonSim!I854</f>
        <v>27.022931360034221</v>
      </c>
      <c r="D854" t="str">
        <f t="shared" si="13"/>
        <v>W</v>
      </c>
    </row>
    <row r="855" spans="1:4" x14ac:dyDescent="0.25">
      <c r="A855">
        <v>854</v>
      </c>
      <c r="B855">
        <f>DallasSim!I855</f>
        <v>29.268151568057981</v>
      </c>
      <c r="C855">
        <f>BostonSim!I855</f>
        <v>21.860970536291227</v>
      </c>
      <c r="D855" t="str">
        <f t="shared" si="13"/>
        <v>W</v>
      </c>
    </row>
    <row r="856" spans="1:4" x14ac:dyDescent="0.25">
      <c r="A856">
        <v>855</v>
      </c>
      <c r="B856">
        <f>DallasSim!I856</f>
        <v>44.16279540024064</v>
      </c>
      <c r="C856">
        <f>BostonSim!I856</f>
        <v>27.144260497658085</v>
      </c>
      <c r="D856" t="str">
        <f t="shared" si="13"/>
        <v>W</v>
      </c>
    </row>
    <row r="857" spans="1:4" x14ac:dyDescent="0.25">
      <c r="A857">
        <v>856</v>
      </c>
      <c r="B857">
        <f>DallasSim!I857</f>
        <v>37.896416864627511</v>
      </c>
      <c r="C857">
        <f>BostonSim!I857</f>
        <v>22.619201401216397</v>
      </c>
      <c r="D857" t="str">
        <f t="shared" si="13"/>
        <v>W</v>
      </c>
    </row>
    <row r="858" spans="1:4" x14ac:dyDescent="0.25">
      <c r="A858">
        <v>857</v>
      </c>
      <c r="B858">
        <f>DallasSim!I858</f>
        <v>46.378097017860817</v>
      </c>
      <c r="C858">
        <f>BostonSim!I858</f>
        <v>28.33112815886134</v>
      </c>
      <c r="D858" t="str">
        <f t="shared" si="13"/>
        <v>W</v>
      </c>
    </row>
    <row r="859" spans="1:4" x14ac:dyDescent="0.25">
      <c r="A859">
        <v>858</v>
      </c>
      <c r="B859">
        <f>DallasSim!I859</f>
        <v>50.576189318975651</v>
      </c>
      <c r="C859">
        <f>BostonSim!I859</f>
        <v>29.351986875961288</v>
      </c>
      <c r="D859" t="str">
        <f t="shared" si="13"/>
        <v>W</v>
      </c>
    </row>
    <row r="860" spans="1:4" x14ac:dyDescent="0.25">
      <c r="A860">
        <v>859</v>
      </c>
      <c r="B860">
        <f>DallasSim!I860</f>
        <v>33.61871921898161</v>
      </c>
      <c r="C860">
        <f>BostonSim!I860</f>
        <v>28.591687208629871</v>
      </c>
      <c r="D860" t="str">
        <f t="shared" si="13"/>
        <v>W</v>
      </c>
    </row>
    <row r="861" spans="1:4" x14ac:dyDescent="0.25">
      <c r="A861">
        <v>860</v>
      </c>
      <c r="B861">
        <f>DallasSim!I861</f>
        <v>49.742996098960248</v>
      </c>
      <c r="C861">
        <f>BostonSim!I861</f>
        <v>26.865960314360809</v>
      </c>
      <c r="D861" t="str">
        <f t="shared" si="13"/>
        <v>W</v>
      </c>
    </row>
    <row r="862" spans="1:4" x14ac:dyDescent="0.25">
      <c r="A862">
        <v>861</v>
      </c>
      <c r="B862">
        <f>DallasSim!I862</f>
        <v>37.492869074546448</v>
      </c>
      <c r="C862">
        <f>BostonSim!I862</f>
        <v>30.111582654028098</v>
      </c>
      <c r="D862" t="str">
        <f t="shared" si="13"/>
        <v>W</v>
      </c>
    </row>
    <row r="863" spans="1:4" x14ac:dyDescent="0.25">
      <c r="A863">
        <v>862</v>
      </c>
      <c r="B863">
        <f>DallasSim!I863</f>
        <v>49.564727873198343</v>
      </c>
      <c r="C863">
        <f>BostonSim!I863</f>
        <v>20.872325831577349</v>
      </c>
      <c r="D863" t="str">
        <f t="shared" si="13"/>
        <v>W</v>
      </c>
    </row>
    <row r="864" spans="1:4" x14ac:dyDescent="0.25">
      <c r="A864">
        <v>863</v>
      </c>
      <c r="B864">
        <f>DallasSim!I864</f>
        <v>45.571911256599918</v>
      </c>
      <c r="C864">
        <f>BostonSim!I864</f>
        <v>26.083008507791522</v>
      </c>
      <c r="D864" t="str">
        <f t="shared" si="13"/>
        <v>W</v>
      </c>
    </row>
    <row r="865" spans="1:4" x14ac:dyDescent="0.25">
      <c r="A865">
        <v>864</v>
      </c>
      <c r="B865">
        <f>DallasSim!I865</f>
        <v>42.575423032986279</v>
      </c>
      <c r="C865">
        <f>BostonSim!I865</f>
        <v>28.938760627795098</v>
      </c>
      <c r="D865" t="str">
        <f t="shared" si="13"/>
        <v>W</v>
      </c>
    </row>
    <row r="866" spans="1:4" x14ac:dyDescent="0.25">
      <c r="A866">
        <v>865</v>
      </c>
      <c r="B866">
        <f>DallasSim!I866</f>
        <v>49.294868549901508</v>
      </c>
      <c r="C866">
        <f>BostonSim!I866</f>
        <v>30.331005177423105</v>
      </c>
      <c r="D866" t="str">
        <f t="shared" si="13"/>
        <v>W</v>
      </c>
    </row>
    <row r="867" spans="1:4" x14ac:dyDescent="0.25">
      <c r="A867">
        <v>866</v>
      </c>
      <c r="B867">
        <f>DallasSim!I867</f>
        <v>43.774341196288603</v>
      </c>
      <c r="C867">
        <f>BostonSim!I867</f>
        <v>26.952994278190268</v>
      </c>
      <c r="D867" t="str">
        <f t="shared" si="13"/>
        <v>W</v>
      </c>
    </row>
    <row r="868" spans="1:4" x14ac:dyDescent="0.25">
      <c r="A868">
        <v>867</v>
      </c>
      <c r="B868">
        <f>DallasSim!I868</f>
        <v>48.400859442283426</v>
      </c>
      <c r="C868">
        <f>BostonSim!I868</f>
        <v>27.336717050477393</v>
      </c>
      <c r="D868" t="str">
        <f t="shared" si="13"/>
        <v>W</v>
      </c>
    </row>
    <row r="869" spans="1:4" x14ac:dyDescent="0.25">
      <c r="A869">
        <v>868</v>
      </c>
      <c r="B869">
        <f>DallasSim!I869</f>
        <v>51.406658398311322</v>
      </c>
      <c r="C869">
        <f>BostonSim!I869</f>
        <v>28.765191874836304</v>
      </c>
      <c r="D869" t="str">
        <f t="shared" si="13"/>
        <v>W</v>
      </c>
    </row>
    <row r="870" spans="1:4" x14ac:dyDescent="0.25">
      <c r="A870">
        <v>869</v>
      </c>
      <c r="B870">
        <f>DallasSim!I870</f>
        <v>42.342740727945539</v>
      </c>
      <c r="C870">
        <f>BostonSim!I870</f>
        <v>20.265835755797415</v>
      </c>
      <c r="D870" t="str">
        <f t="shared" si="13"/>
        <v>W</v>
      </c>
    </row>
    <row r="871" spans="1:4" x14ac:dyDescent="0.25">
      <c r="A871">
        <v>870</v>
      </c>
      <c r="B871">
        <f>DallasSim!I871</f>
        <v>43.460506422738469</v>
      </c>
      <c r="C871">
        <f>BostonSim!I871</f>
        <v>30.408130494224551</v>
      </c>
      <c r="D871" t="str">
        <f t="shared" si="13"/>
        <v>W</v>
      </c>
    </row>
    <row r="872" spans="1:4" x14ac:dyDescent="0.25">
      <c r="A872">
        <v>871</v>
      </c>
      <c r="B872">
        <f>DallasSim!I872</f>
        <v>44.131439740235045</v>
      </c>
      <c r="C872">
        <f>BostonSim!I872</f>
        <v>30.165426609422269</v>
      </c>
      <c r="D872" t="str">
        <f t="shared" si="13"/>
        <v>W</v>
      </c>
    </row>
    <row r="873" spans="1:4" x14ac:dyDescent="0.25">
      <c r="A873">
        <v>872</v>
      </c>
      <c r="B873">
        <f>DallasSim!I873</f>
        <v>46.214119852875086</v>
      </c>
      <c r="C873">
        <f>BostonSim!I873</f>
        <v>31.814969519024082</v>
      </c>
      <c r="D873" t="str">
        <f t="shared" si="13"/>
        <v>W</v>
      </c>
    </row>
    <row r="874" spans="1:4" x14ac:dyDescent="0.25">
      <c r="A874">
        <v>873</v>
      </c>
      <c r="B874">
        <f>DallasSim!I874</f>
        <v>37.444822227234866</v>
      </c>
      <c r="C874">
        <f>BostonSim!I874</f>
        <v>31.566306889928924</v>
      </c>
      <c r="D874" t="str">
        <f t="shared" si="13"/>
        <v>W</v>
      </c>
    </row>
    <row r="875" spans="1:4" x14ac:dyDescent="0.25">
      <c r="A875">
        <v>874</v>
      </c>
      <c r="B875">
        <f>DallasSim!I875</f>
        <v>40.599118814579676</v>
      </c>
      <c r="C875">
        <f>BostonSim!I875</f>
        <v>29.511983727703651</v>
      </c>
      <c r="D875" t="str">
        <f t="shared" si="13"/>
        <v>W</v>
      </c>
    </row>
    <row r="876" spans="1:4" x14ac:dyDescent="0.25">
      <c r="A876">
        <v>875</v>
      </c>
      <c r="B876">
        <f>DallasSim!I876</f>
        <v>42.251981094446144</v>
      </c>
      <c r="C876">
        <f>BostonSim!I876</f>
        <v>29.523670714627809</v>
      </c>
      <c r="D876" t="str">
        <f t="shared" si="13"/>
        <v>W</v>
      </c>
    </row>
    <row r="877" spans="1:4" x14ac:dyDescent="0.25">
      <c r="A877">
        <v>876</v>
      </c>
      <c r="B877">
        <f>DallasSim!I877</f>
        <v>44.288326121054993</v>
      </c>
      <c r="C877">
        <f>BostonSim!I877</f>
        <v>31.30838920774265</v>
      </c>
      <c r="D877" t="str">
        <f t="shared" si="13"/>
        <v>W</v>
      </c>
    </row>
    <row r="878" spans="1:4" x14ac:dyDescent="0.25">
      <c r="A878">
        <v>877</v>
      </c>
      <c r="B878">
        <f>DallasSim!I878</f>
        <v>49.012588712711974</v>
      </c>
      <c r="C878">
        <f>BostonSim!I878</f>
        <v>30.309171165642336</v>
      </c>
      <c r="D878" t="str">
        <f t="shared" si="13"/>
        <v>W</v>
      </c>
    </row>
    <row r="879" spans="1:4" x14ac:dyDescent="0.25">
      <c r="A879">
        <v>878</v>
      </c>
      <c r="B879">
        <f>DallasSim!I879</f>
        <v>34.018863121624001</v>
      </c>
      <c r="C879">
        <f>BostonSim!I879</f>
        <v>30.865959430511147</v>
      </c>
      <c r="D879" t="str">
        <f t="shared" si="13"/>
        <v>W</v>
      </c>
    </row>
    <row r="880" spans="1:4" x14ac:dyDescent="0.25">
      <c r="A880">
        <v>879</v>
      </c>
      <c r="B880">
        <f>DallasSim!I880</f>
        <v>48.28749630310768</v>
      </c>
      <c r="C880">
        <f>BostonSim!I880</f>
        <v>30.647151511473023</v>
      </c>
      <c r="D880" t="str">
        <f t="shared" si="13"/>
        <v>W</v>
      </c>
    </row>
    <row r="881" spans="1:4" x14ac:dyDescent="0.25">
      <c r="A881">
        <v>880</v>
      </c>
      <c r="B881">
        <f>DallasSim!I881</f>
        <v>45.521468709104489</v>
      </c>
      <c r="C881">
        <f>BostonSim!I881</f>
        <v>22.803797698411564</v>
      </c>
      <c r="D881" t="str">
        <f t="shared" si="13"/>
        <v>W</v>
      </c>
    </row>
    <row r="882" spans="1:4" x14ac:dyDescent="0.25">
      <c r="A882">
        <v>881</v>
      </c>
      <c r="B882">
        <f>DallasSim!I882</f>
        <v>47.319151537159243</v>
      </c>
      <c r="C882">
        <f>BostonSim!I882</f>
        <v>25.791901440885262</v>
      </c>
      <c r="D882" t="str">
        <f t="shared" si="13"/>
        <v>W</v>
      </c>
    </row>
    <row r="883" spans="1:4" x14ac:dyDescent="0.25">
      <c r="A883">
        <v>882</v>
      </c>
      <c r="B883">
        <f>DallasSim!I883</f>
        <v>39.936775467314384</v>
      </c>
      <c r="C883">
        <f>BostonSim!I883</f>
        <v>27.63267892536847</v>
      </c>
      <c r="D883" t="str">
        <f t="shared" si="13"/>
        <v>W</v>
      </c>
    </row>
    <row r="884" spans="1:4" x14ac:dyDescent="0.25">
      <c r="A884">
        <v>883</v>
      </c>
      <c r="B884">
        <f>DallasSim!I884</f>
        <v>47.355683144662081</v>
      </c>
      <c r="C884">
        <f>BostonSim!I884</f>
        <v>20.673860181586303</v>
      </c>
      <c r="D884" t="str">
        <f t="shared" si="13"/>
        <v>W</v>
      </c>
    </row>
    <row r="885" spans="1:4" x14ac:dyDescent="0.25">
      <c r="A885">
        <v>884</v>
      </c>
      <c r="B885">
        <f>DallasSim!I885</f>
        <v>36.445661982772762</v>
      </c>
      <c r="C885">
        <f>BostonSim!I885</f>
        <v>30.485805001716756</v>
      </c>
      <c r="D885" t="str">
        <f t="shared" si="13"/>
        <v>W</v>
      </c>
    </row>
    <row r="886" spans="1:4" x14ac:dyDescent="0.25">
      <c r="A886">
        <v>885</v>
      </c>
      <c r="B886">
        <f>DallasSim!I886</f>
        <v>39.143017524850059</v>
      </c>
      <c r="C886">
        <f>BostonSim!I886</f>
        <v>25.533601571755053</v>
      </c>
      <c r="D886" t="str">
        <f t="shared" si="13"/>
        <v>W</v>
      </c>
    </row>
    <row r="887" spans="1:4" x14ac:dyDescent="0.25">
      <c r="A887">
        <v>886</v>
      </c>
      <c r="B887">
        <f>DallasSim!I887</f>
        <v>50.34216814070416</v>
      </c>
      <c r="C887">
        <f>BostonSim!I887</f>
        <v>25.765181891653718</v>
      </c>
      <c r="D887" t="str">
        <f t="shared" si="13"/>
        <v>W</v>
      </c>
    </row>
    <row r="888" spans="1:4" x14ac:dyDescent="0.25">
      <c r="A888">
        <v>887</v>
      </c>
      <c r="B888">
        <f>DallasSim!I888</f>
        <v>45.767974325706071</v>
      </c>
      <c r="C888">
        <f>BostonSim!I888</f>
        <v>31.31143738578707</v>
      </c>
      <c r="D888" t="str">
        <f t="shared" si="13"/>
        <v>W</v>
      </c>
    </row>
    <row r="889" spans="1:4" x14ac:dyDescent="0.25">
      <c r="A889">
        <v>888</v>
      </c>
      <c r="B889">
        <f>DallasSim!I889</f>
        <v>49.465455605783433</v>
      </c>
      <c r="C889">
        <f>BostonSim!I889</f>
        <v>24.215515196555284</v>
      </c>
      <c r="D889" t="str">
        <f t="shared" si="13"/>
        <v>W</v>
      </c>
    </row>
    <row r="890" spans="1:4" x14ac:dyDescent="0.25">
      <c r="A890">
        <v>889</v>
      </c>
      <c r="B890">
        <f>DallasSim!I890</f>
        <v>49.309155916917298</v>
      </c>
      <c r="C890">
        <f>BostonSim!I890</f>
        <v>29.063661147102156</v>
      </c>
      <c r="D890" t="str">
        <f t="shared" si="13"/>
        <v>W</v>
      </c>
    </row>
    <row r="891" spans="1:4" x14ac:dyDescent="0.25">
      <c r="A891">
        <v>890</v>
      </c>
      <c r="B891">
        <f>DallasSim!I891</f>
        <v>44.166431238447842</v>
      </c>
      <c r="C891">
        <f>BostonSim!I891</f>
        <v>30.761916528667939</v>
      </c>
      <c r="D891" t="str">
        <f t="shared" si="13"/>
        <v>W</v>
      </c>
    </row>
    <row r="892" spans="1:4" x14ac:dyDescent="0.25">
      <c r="A892">
        <v>891</v>
      </c>
      <c r="B892">
        <f>DallasSim!I892</f>
        <v>49.295940506587407</v>
      </c>
      <c r="C892">
        <f>BostonSim!I892</f>
        <v>18.205300187022477</v>
      </c>
      <c r="D892" t="str">
        <f t="shared" si="13"/>
        <v>W</v>
      </c>
    </row>
    <row r="893" spans="1:4" x14ac:dyDescent="0.25">
      <c r="A893">
        <v>892</v>
      </c>
      <c r="B893">
        <f>DallasSim!I893</f>
        <v>44.365612150550845</v>
      </c>
      <c r="C893">
        <f>BostonSim!I893</f>
        <v>27.549595398080601</v>
      </c>
      <c r="D893" t="str">
        <f t="shared" si="13"/>
        <v>W</v>
      </c>
    </row>
    <row r="894" spans="1:4" x14ac:dyDescent="0.25">
      <c r="A894">
        <v>893</v>
      </c>
      <c r="B894">
        <f>DallasSim!I894</f>
        <v>48.253796656351561</v>
      </c>
      <c r="C894">
        <f>BostonSim!I894</f>
        <v>28.514003809741034</v>
      </c>
      <c r="D894" t="str">
        <f t="shared" si="13"/>
        <v>W</v>
      </c>
    </row>
    <row r="895" spans="1:4" x14ac:dyDescent="0.25">
      <c r="A895">
        <v>894</v>
      </c>
      <c r="B895">
        <f>DallasSim!I895</f>
        <v>48.369098182029283</v>
      </c>
      <c r="C895">
        <f>BostonSim!I895</f>
        <v>30.382358903919126</v>
      </c>
      <c r="D895" t="str">
        <f t="shared" si="13"/>
        <v>W</v>
      </c>
    </row>
    <row r="896" spans="1:4" x14ac:dyDescent="0.25">
      <c r="A896">
        <v>895</v>
      </c>
      <c r="B896">
        <f>DallasSim!I896</f>
        <v>43.157614390317626</v>
      </c>
      <c r="C896">
        <f>BostonSim!I896</f>
        <v>30.24838522288956</v>
      </c>
      <c r="D896" t="str">
        <f t="shared" si="13"/>
        <v>W</v>
      </c>
    </row>
    <row r="897" spans="1:4" x14ac:dyDescent="0.25">
      <c r="A897">
        <v>896</v>
      </c>
      <c r="B897">
        <f>DallasSim!I897</f>
        <v>43.852374504280824</v>
      </c>
      <c r="C897">
        <f>BostonSim!I897</f>
        <v>30.297417305591409</v>
      </c>
      <c r="D897" t="str">
        <f t="shared" si="13"/>
        <v>W</v>
      </c>
    </row>
    <row r="898" spans="1:4" x14ac:dyDescent="0.25">
      <c r="A898">
        <v>897</v>
      </c>
      <c r="B898">
        <f>DallasSim!I898</f>
        <v>48.48614701952399</v>
      </c>
      <c r="C898">
        <f>BostonSim!I898</f>
        <v>27.529214501892231</v>
      </c>
      <c r="D898" t="str">
        <f t="shared" si="13"/>
        <v>W</v>
      </c>
    </row>
    <row r="899" spans="1:4" x14ac:dyDescent="0.25">
      <c r="A899">
        <v>898</v>
      </c>
      <c r="B899">
        <f>DallasSim!I899</f>
        <v>49.377205755592499</v>
      </c>
      <c r="C899">
        <f>BostonSim!I899</f>
        <v>26.237499135022595</v>
      </c>
      <c r="D899" t="str">
        <f t="shared" ref="D899:D962" si="14">IF(B899&gt;C899,"W",IF(B899&lt;C899,"L","T"))</f>
        <v>W</v>
      </c>
    </row>
    <row r="900" spans="1:4" x14ac:dyDescent="0.25">
      <c r="A900">
        <v>899</v>
      </c>
      <c r="B900">
        <f>DallasSim!I900</f>
        <v>49.075189464779356</v>
      </c>
      <c r="C900">
        <f>BostonSim!I900</f>
        <v>29.742370411124117</v>
      </c>
      <c r="D900" t="str">
        <f t="shared" si="14"/>
        <v>W</v>
      </c>
    </row>
    <row r="901" spans="1:4" x14ac:dyDescent="0.25">
      <c r="A901">
        <v>900</v>
      </c>
      <c r="B901">
        <f>DallasSim!I901</f>
        <v>51.113838435874108</v>
      </c>
      <c r="C901">
        <f>BostonSim!I901</f>
        <v>25.551691166131963</v>
      </c>
      <c r="D901" t="str">
        <f t="shared" si="14"/>
        <v>W</v>
      </c>
    </row>
    <row r="902" spans="1:4" x14ac:dyDescent="0.25">
      <c r="A902">
        <v>901</v>
      </c>
      <c r="B902">
        <f>DallasSim!I902</f>
        <v>37.437583104968674</v>
      </c>
      <c r="C902">
        <f>BostonSim!I902</f>
        <v>30.974191281410906</v>
      </c>
      <c r="D902" t="str">
        <f t="shared" si="14"/>
        <v>W</v>
      </c>
    </row>
    <row r="903" spans="1:4" x14ac:dyDescent="0.25">
      <c r="A903">
        <v>902</v>
      </c>
      <c r="B903">
        <f>DallasSim!I903</f>
        <v>40.852126636903833</v>
      </c>
      <c r="C903">
        <f>BostonSim!I903</f>
        <v>26.223789381122693</v>
      </c>
      <c r="D903" t="str">
        <f t="shared" si="14"/>
        <v>W</v>
      </c>
    </row>
    <row r="904" spans="1:4" x14ac:dyDescent="0.25">
      <c r="A904">
        <v>903</v>
      </c>
      <c r="B904">
        <f>DallasSim!I904</f>
        <v>49.664969323164229</v>
      </c>
      <c r="C904">
        <f>BostonSim!I904</f>
        <v>29.754523773065156</v>
      </c>
      <c r="D904" t="str">
        <f t="shared" si="14"/>
        <v>W</v>
      </c>
    </row>
    <row r="905" spans="1:4" x14ac:dyDescent="0.25">
      <c r="A905">
        <v>904</v>
      </c>
      <c r="B905">
        <f>DallasSim!I905</f>
        <v>48.876356888629644</v>
      </c>
      <c r="C905">
        <f>BostonSim!I905</f>
        <v>30.924208782002882</v>
      </c>
      <c r="D905" t="str">
        <f t="shared" si="14"/>
        <v>W</v>
      </c>
    </row>
    <row r="906" spans="1:4" x14ac:dyDescent="0.25">
      <c r="A906">
        <v>905</v>
      </c>
      <c r="B906">
        <f>DallasSim!I906</f>
        <v>51.733202182530725</v>
      </c>
      <c r="C906">
        <f>BostonSim!I906</f>
        <v>22.601578069811104</v>
      </c>
      <c r="D906" t="str">
        <f t="shared" si="14"/>
        <v>W</v>
      </c>
    </row>
    <row r="907" spans="1:4" x14ac:dyDescent="0.25">
      <c r="A907">
        <v>906</v>
      </c>
      <c r="B907">
        <f>DallasSim!I907</f>
        <v>44.115522205797376</v>
      </c>
      <c r="C907">
        <f>BostonSim!I907</f>
        <v>25.923187187851646</v>
      </c>
      <c r="D907" t="str">
        <f t="shared" si="14"/>
        <v>W</v>
      </c>
    </row>
    <row r="908" spans="1:4" x14ac:dyDescent="0.25">
      <c r="A908">
        <v>907</v>
      </c>
      <c r="B908">
        <f>DallasSim!I908</f>
        <v>38.374439450089426</v>
      </c>
      <c r="C908">
        <f>BostonSim!I908</f>
        <v>20.683433160801791</v>
      </c>
      <c r="D908" t="str">
        <f t="shared" si="14"/>
        <v>W</v>
      </c>
    </row>
    <row r="909" spans="1:4" x14ac:dyDescent="0.25">
      <c r="A909">
        <v>908</v>
      </c>
      <c r="B909">
        <f>DallasSim!I909</f>
        <v>42.061657153177713</v>
      </c>
      <c r="C909">
        <f>BostonSim!I909</f>
        <v>27.784027761145889</v>
      </c>
      <c r="D909" t="str">
        <f t="shared" si="14"/>
        <v>W</v>
      </c>
    </row>
    <row r="910" spans="1:4" x14ac:dyDescent="0.25">
      <c r="A910">
        <v>909</v>
      </c>
      <c r="B910">
        <f>DallasSim!I910</f>
        <v>51.143886214888212</v>
      </c>
      <c r="C910">
        <f>BostonSim!I910</f>
        <v>26.757680359957458</v>
      </c>
      <c r="D910" t="str">
        <f t="shared" si="14"/>
        <v>W</v>
      </c>
    </row>
    <row r="911" spans="1:4" x14ac:dyDescent="0.25">
      <c r="A911">
        <v>910</v>
      </c>
      <c r="B911">
        <f>DallasSim!I911</f>
        <v>33.454248231259513</v>
      </c>
      <c r="C911">
        <f>BostonSim!I911</f>
        <v>27.371212769920827</v>
      </c>
      <c r="D911" t="str">
        <f t="shared" si="14"/>
        <v>W</v>
      </c>
    </row>
    <row r="912" spans="1:4" x14ac:dyDescent="0.25">
      <c r="A912">
        <v>911</v>
      </c>
      <c r="B912">
        <f>DallasSim!I912</f>
        <v>33.237505647331076</v>
      </c>
      <c r="C912">
        <f>BostonSim!I912</f>
        <v>25.845761392294172</v>
      </c>
      <c r="D912" t="str">
        <f t="shared" si="14"/>
        <v>W</v>
      </c>
    </row>
    <row r="913" spans="1:4" x14ac:dyDescent="0.25">
      <c r="A913">
        <v>912</v>
      </c>
      <c r="B913">
        <f>DallasSim!I913</f>
        <v>48.191581514218143</v>
      </c>
      <c r="C913">
        <f>BostonSim!I913</f>
        <v>24.587541057947956</v>
      </c>
      <c r="D913" t="str">
        <f t="shared" si="14"/>
        <v>W</v>
      </c>
    </row>
    <row r="914" spans="1:4" x14ac:dyDescent="0.25">
      <c r="A914">
        <v>913</v>
      </c>
      <c r="B914">
        <f>DallasSim!I914</f>
        <v>49.687004942064732</v>
      </c>
      <c r="C914">
        <f>BostonSim!I914</f>
        <v>25.075358204859597</v>
      </c>
      <c r="D914" t="str">
        <f t="shared" si="14"/>
        <v>W</v>
      </c>
    </row>
    <row r="915" spans="1:4" x14ac:dyDescent="0.25">
      <c r="A915">
        <v>914</v>
      </c>
      <c r="B915">
        <f>DallasSim!I915</f>
        <v>43.570615457181887</v>
      </c>
      <c r="C915">
        <f>BostonSim!I915</f>
        <v>30.446454984817713</v>
      </c>
      <c r="D915" t="str">
        <f t="shared" si="14"/>
        <v>W</v>
      </c>
    </row>
    <row r="916" spans="1:4" x14ac:dyDescent="0.25">
      <c r="A916">
        <v>915</v>
      </c>
      <c r="B916">
        <f>DallasSim!I916</f>
        <v>47.876055434135644</v>
      </c>
      <c r="C916">
        <f>BostonSim!I916</f>
        <v>28.965664809026848</v>
      </c>
      <c r="D916" t="str">
        <f t="shared" si="14"/>
        <v>W</v>
      </c>
    </row>
    <row r="917" spans="1:4" x14ac:dyDescent="0.25">
      <c r="A917">
        <v>916</v>
      </c>
      <c r="B917">
        <f>DallasSim!I917</f>
        <v>43.220526683420793</v>
      </c>
      <c r="C917">
        <f>BostonSim!I917</f>
        <v>21.076834315177404</v>
      </c>
      <c r="D917" t="str">
        <f t="shared" si="14"/>
        <v>W</v>
      </c>
    </row>
    <row r="918" spans="1:4" x14ac:dyDescent="0.25">
      <c r="A918">
        <v>917</v>
      </c>
      <c r="B918">
        <f>DallasSim!I918</f>
        <v>50.211060446055455</v>
      </c>
      <c r="C918">
        <f>BostonSim!I918</f>
        <v>28.266510214472014</v>
      </c>
      <c r="D918" t="str">
        <f t="shared" si="14"/>
        <v>W</v>
      </c>
    </row>
    <row r="919" spans="1:4" x14ac:dyDescent="0.25">
      <c r="A919">
        <v>918</v>
      </c>
      <c r="B919">
        <f>DallasSim!I919</f>
        <v>48.450605108318868</v>
      </c>
      <c r="C919">
        <f>BostonSim!I919</f>
        <v>23.572142944820673</v>
      </c>
      <c r="D919" t="str">
        <f t="shared" si="14"/>
        <v>W</v>
      </c>
    </row>
    <row r="920" spans="1:4" x14ac:dyDescent="0.25">
      <c r="A920">
        <v>919</v>
      </c>
      <c r="B920">
        <f>DallasSim!I920</f>
        <v>49.565555491683639</v>
      </c>
      <c r="C920">
        <f>BostonSim!I920</f>
        <v>30.793974812955881</v>
      </c>
      <c r="D920" t="str">
        <f t="shared" si="14"/>
        <v>W</v>
      </c>
    </row>
    <row r="921" spans="1:4" x14ac:dyDescent="0.25">
      <c r="A921">
        <v>920</v>
      </c>
      <c r="B921">
        <f>DallasSim!I921</f>
        <v>48.586807502334082</v>
      </c>
      <c r="C921">
        <f>BostonSim!I921</f>
        <v>28.087803850788056</v>
      </c>
      <c r="D921" t="str">
        <f t="shared" si="14"/>
        <v>W</v>
      </c>
    </row>
    <row r="922" spans="1:4" x14ac:dyDescent="0.25">
      <c r="A922">
        <v>921</v>
      </c>
      <c r="B922">
        <f>DallasSim!I922</f>
        <v>50.600394802446594</v>
      </c>
      <c r="C922">
        <f>BostonSim!I922</f>
        <v>27.780793656623693</v>
      </c>
      <c r="D922" t="str">
        <f t="shared" si="14"/>
        <v>W</v>
      </c>
    </row>
    <row r="923" spans="1:4" x14ac:dyDescent="0.25">
      <c r="A923">
        <v>922</v>
      </c>
      <c r="B923">
        <f>DallasSim!I923</f>
        <v>43.383553707861886</v>
      </c>
      <c r="C923">
        <f>BostonSim!I923</f>
        <v>30.197343865968463</v>
      </c>
      <c r="D923" t="str">
        <f t="shared" si="14"/>
        <v>W</v>
      </c>
    </row>
    <row r="924" spans="1:4" x14ac:dyDescent="0.25">
      <c r="A924">
        <v>923</v>
      </c>
      <c r="B924">
        <f>DallasSim!I924</f>
        <v>45.083066795720399</v>
      </c>
      <c r="C924">
        <f>BostonSim!I924</f>
        <v>31.273630549753904</v>
      </c>
      <c r="D924" t="str">
        <f t="shared" si="14"/>
        <v>W</v>
      </c>
    </row>
    <row r="925" spans="1:4" x14ac:dyDescent="0.25">
      <c r="A925">
        <v>924</v>
      </c>
      <c r="B925">
        <f>DallasSim!I925</f>
        <v>40.713189664819737</v>
      </c>
      <c r="C925">
        <f>BostonSim!I925</f>
        <v>30.590318160527215</v>
      </c>
      <c r="D925" t="str">
        <f t="shared" si="14"/>
        <v>W</v>
      </c>
    </row>
    <row r="926" spans="1:4" x14ac:dyDescent="0.25">
      <c r="A926">
        <v>925</v>
      </c>
      <c r="B926">
        <f>DallasSim!I926</f>
        <v>36.725279261778155</v>
      </c>
      <c r="C926">
        <f>BostonSim!I926</f>
        <v>17.094748286192633</v>
      </c>
      <c r="D926" t="str">
        <f t="shared" si="14"/>
        <v>W</v>
      </c>
    </row>
    <row r="927" spans="1:4" x14ac:dyDescent="0.25">
      <c r="A927">
        <v>926</v>
      </c>
      <c r="B927">
        <f>DallasSim!I927</f>
        <v>41.279899038640806</v>
      </c>
      <c r="C927">
        <f>BostonSim!I927</f>
        <v>30.46984047107852</v>
      </c>
      <c r="D927" t="str">
        <f t="shared" si="14"/>
        <v>W</v>
      </c>
    </row>
    <row r="928" spans="1:4" x14ac:dyDescent="0.25">
      <c r="A928">
        <v>927</v>
      </c>
      <c r="B928">
        <f>DallasSim!I928</f>
        <v>50.146851015127368</v>
      </c>
      <c r="C928">
        <f>BostonSim!I928</f>
        <v>27.384649435569806</v>
      </c>
      <c r="D928" t="str">
        <f t="shared" si="14"/>
        <v>W</v>
      </c>
    </row>
    <row r="929" spans="1:4" x14ac:dyDescent="0.25">
      <c r="A929">
        <v>928</v>
      </c>
      <c r="B929">
        <f>DallasSim!I929</f>
        <v>48.696465906811781</v>
      </c>
      <c r="C929">
        <f>BostonSim!I929</f>
        <v>27.957664977912582</v>
      </c>
      <c r="D929" t="str">
        <f t="shared" si="14"/>
        <v>W</v>
      </c>
    </row>
    <row r="930" spans="1:4" x14ac:dyDescent="0.25">
      <c r="A930">
        <v>929</v>
      </c>
      <c r="B930">
        <f>DallasSim!I930</f>
        <v>44.266199640852371</v>
      </c>
      <c r="C930">
        <f>BostonSim!I930</f>
        <v>29.917461518111963</v>
      </c>
      <c r="D930" t="str">
        <f t="shared" si="14"/>
        <v>W</v>
      </c>
    </row>
    <row r="931" spans="1:4" x14ac:dyDescent="0.25">
      <c r="A931">
        <v>930</v>
      </c>
      <c r="B931">
        <f>DallasSim!I931</f>
        <v>47.297483162784403</v>
      </c>
      <c r="C931">
        <f>BostonSim!I931</f>
        <v>31.63758597133247</v>
      </c>
      <c r="D931" t="str">
        <f t="shared" si="14"/>
        <v>W</v>
      </c>
    </row>
    <row r="932" spans="1:4" x14ac:dyDescent="0.25">
      <c r="A932">
        <v>931</v>
      </c>
      <c r="B932">
        <f>DallasSim!I932</f>
        <v>49.056129522697923</v>
      </c>
      <c r="C932">
        <f>BostonSim!I932</f>
        <v>30.092934987708187</v>
      </c>
      <c r="D932" t="str">
        <f t="shared" si="14"/>
        <v>W</v>
      </c>
    </row>
    <row r="933" spans="1:4" x14ac:dyDescent="0.25">
      <c r="A933">
        <v>932</v>
      </c>
      <c r="B933">
        <f>DallasSim!I933</f>
        <v>38.787436127898268</v>
      </c>
      <c r="C933">
        <f>BostonSim!I933</f>
        <v>25.841125152789928</v>
      </c>
      <c r="D933" t="str">
        <f t="shared" si="14"/>
        <v>W</v>
      </c>
    </row>
    <row r="934" spans="1:4" x14ac:dyDescent="0.25">
      <c r="A934">
        <v>933</v>
      </c>
      <c r="B934">
        <f>DallasSim!I934</f>
        <v>48.336432761773217</v>
      </c>
      <c r="C934">
        <f>BostonSim!I934</f>
        <v>29.541196968361085</v>
      </c>
      <c r="D934" t="str">
        <f t="shared" si="14"/>
        <v>W</v>
      </c>
    </row>
    <row r="935" spans="1:4" x14ac:dyDescent="0.25">
      <c r="A935">
        <v>934</v>
      </c>
      <c r="B935">
        <f>DallasSim!I935</f>
        <v>44.414786022830519</v>
      </c>
      <c r="C935">
        <f>BostonSim!I935</f>
        <v>31.278668706723018</v>
      </c>
      <c r="D935" t="str">
        <f t="shared" si="14"/>
        <v>W</v>
      </c>
    </row>
    <row r="936" spans="1:4" x14ac:dyDescent="0.25">
      <c r="A936">
        <v>935</v>
      </c>
      <c r="B936">
        <f>DallasSim!I936</f>
        <v>38.339991993727075</v>
      </c>
      <c r="C936">
        <f>BostonSim!I936</f>
        <v>21.412968315980248</v>
      </c>
      <c r="D936" t="str">
        <f t="shared" si="14"/>
        <v>W</v>
      </c>
    </row>
    <row r="937" spans="1:4" x14ac:dyDescent="0.25">
      <c r="A937">
        <v>936</v>
      </c>
      <c r="B937">
        <f>DallasSim!I937</f>
        <v>33.936040999864673</v>
      </c>
      <c r="C937">
        <f>BostonSim!I937</f>
        <v>31.533675395678674</v>
      </c>
      <c r="D937" t="str">
        <f t="shared" si="14"/>
        <v>W</v>
      </c>
    </row>
    <row r="938" spans="1:4" x14ac:dyDescent="0.25">
      <c r="A938">
        <v>937</v>
      </c>
      <c r="B938">
        <f>DallasSim!I938</f>
        <v>49.795721427480807</v>
      </c>
      <c r="C938">
        <f>BostonSim!I938</f>
        <v>24.8852799593611</v>
      </c>
      <c r="D938" t="str">
        <f t="shared" si="14"/>
        <v>W</v>
      </c>
    </row>
    <row r="939" spans="1:4" x14ac:dyDescent="0.25">
      <c r="A939">
        <v>938</v>
      </c>
      <c r="B939">
        <f>DallasSim!I939</f>
        <v>44.663113098877453</v>
      </c>
      <c r="C939">
        <f>BostonSim!I939</f>
        <v>31.575491095735547</v>
      </c>
      <c r="D939" t="str">
        <f t="shared" si="14"/>
        <v>W</v>
      </c>
    </row>
    <row r="940" spans="1:4" x14ac:dyDescent="0.25">
      <c r="A940">
        <v>939</v>
      </c>
      <c r="B940">
        <f>DallasSim!I940</f>
        <v>48.495912280139471</v>
      </c>
      <c r="C940">
        <f>BostonSim!I940</f>
        <v>29.877518722137605</v>
      </c>
      <c r="D940" t="str">
        <f t="shared" si="14"/>
        <v>W</v>
      </c>
    </row>
    <row r="941" spans="1:4" x14ac:dyDescent="0.25">
      <c r="A941">
        <v>940</v>
      </c>
      <c r="B941">
        <f>DallasSim!I941</f>
        <v>33.176667888391073</v>
      </c>
      <c r="C941">
        <f>BostonSim!I941</f>
        <v>24.95892845108872</v>
      </c>
      <c r="D941" t="str">
        <f t="shared" si="14"/>
        <v>W</v>
      </c>
    </row>
    <row r="942" spans="1:4" x14ac:dyDescent="0.25">
      <c r="A942">
        <v>941</v>
      </c>
      <c r="B942">
        <f>DallasSim!I942</f>
        <v>49.299758165956852</v>
      </c>
      <c r="C942">
        <f>BostonSim!I942</f>
        <v>26.248040319680634</v>
      </c>
      <c r="D942" t="str">
        <f t="shared" si="14"/>
        <v>W</v>
      </c>
    </row>
    <row r="943" spans="1:4" x14ac:dyDescent="0.25">
      <c r="A943">
        <v>942</v>
      </c>
      <c r="B943">
        <f>DallasSim!I943</f>
        <v>49.314689974834266</v>
      </c>
      <c r="C943">
        <f>BostonSim!I943</f>
        <v>30.391556420360569</v>
      </c>
      <c r="D943" t="str">
        <f t="shared" si="14"/>
        <v>W</v>
      </c>
    </row>
    <row r="944" spans="1:4" x14ac:dyDescent="0.25">
      <c r="A944">
        <v>943</v>
      </c>
      <c r="B944">
        <f>DallasSim!I944</f>
        <v>50.549125618239408</v>
      </c>
      <c r="C944">
        <f>BostonSim!I944</f>
        <v>21.969569700077034</v>
      </c>
      <c r="D944" t="str">
        <f t="shared" si="14"/>
        <v>W</v>
      </c>
    </row>
    <row r="945" spans="1:4" x14ac:dyDescent="0.25">
      <c r="A945">
        <v>944</v>
      </c>
      <c r="B945">
        <f>DallasSim!I945</f>
        <v>49.029426460271132</v>
      </c>
      <c r="C945">
        <f>BostonSim!I945</f>
        <v>31.358587892657894</v>
      </c>
      <c r="D945" t="str">
        <f t="shared" si="14"/>
        <v>W</v>
      </c>
    </row>
    <row r="946" spans="1:4" x14ac:dyDescent="0.25">
      <c r="A946">
        <v>945</v>
      </c>
      <c r="B946">
        <f>DallasSim!I946</f>
        <v>40.524031550084203</v>
      </c>
      <c r="C946">
        <f>BostonSim!I946</f>
        <v>29.403480007232051</v>
      </c>
      <c r="D946" t="str">
        <f t="shared" si="14"/>
        <v>W</v>
      </c>
    </row>
    <row r="947" spans="1:4" x14ac:dyDescent="0.25">
      <c r="A947">
        <v>946</v>
      </c>
      <c r="B947">
        <f>DallasSim!I947</f>
        <v>45.307444300767067</v>
      </c>
      <c r="C947">
        <f>BostonSim!I947</f>
        <v>25.089875267664137</v>
      </c>
      <c r="D947" t="str">
        <f t="shared" si="14"/>
        <v>W</v>
      </c>
    </row>
    <row r="948" spans="1:4" x14ac:dyDescent="0.25">
      <c r="A948">
        <v>947</v>
      </c>
      <c r="B948">
        <f>DallasSim!I948</f>
        <v>43.469994069616725</v>
      </c>
      <c r="C948">
        <f>BostonSim!I948</f>
        <v>29.47425542632303</v>
      </c>
      <c r="D948" t="str">
        <f t="shared" si="14"/>
        <v>W</v>
      </c>
    </row>
    <row r="949" spans="1:4" x14ac:dyDescent="0.25">
      <c r="A949">
        <v>948</v>
      </c>
      <c r="B949">
        <f>DallasSim!I949</f>
        <v>39.60932084731774</v>
      </c>
      <c r="C949">
        <f>BostonSim!I949</f>
        <v>18.685884980366559</v>
      </c>
      <c r="D949" t="str">
        <f t="shared" si="14"/>
        <v>W</v>
      </c>
    </row>
    <row r="950" spans="1:4" x14ac:dyDescent="0.25">
      <c r="A950">
        <v>949</v>
      </c>
      <c r="B950">
        <f>DallasSim!I950</f>
        <v>51.516398580403582</v>
      </c>
      <c r="C950">
        <f>BostonSim!I950</f>
        <v>17.858611925083625</v>
      </c>
      <c r="D950" t="str">
        <f t="shared" si="14"/>
        <v>W</v>
      </c>
    </row>
    <row r="951" spans="1:4" x14ac:dyDescent="0.25">
      <c r="A951">
        <v>950</v>
      </c>
      <c r="B951">
        <f>DallasSim!I951</f>
        <v>49.662143526201241</v>
      </c>
      <c r="C951">
        <f>BostonSim!I951</f>
        <v>30.057362071203581</v>
      </c>
      <c r="D951" t="str">
        <f t="shared" si="14"/>
        <v>W</v>
      </c>
    </row>
    <row r="952" spans="1:4" x14ac:dyDescent="0.25">
      <c r="A952">
        <v>951</v>
      </c>
      <c r="B952">
        <f>DallasSim!I952</f>
        <v>49.619800764733903</v>
      </c>
      <c r="C952">
        <f>BostonSim!I952</f>
        <v>28.77911290316392</v>
      </c>
      <c r="D952" t="str">
        <f t="shared" si="14"/>
        <v>W</v>
      </c>
    </row>
    <row r="953" spans="1:4" x14ac:dyDescent="0.25">
      <c r="A953">
        <v>952</v>
      </c>
      <c r="B953">
        <f>DallasSim!I953</f>
        <v>49.636453505589465</v>
      </c>
      <c r="C953">
        <f>BostonSim!I953</f>
        <v>29.687342579579642</v>
      </c>
      <c r="D953" t="str">
        <f t="shared" si="14"/>
        <v>W</v>
      </c>
    </row>
    <row r="954" spans="1:4" x14ac:dyDescent="0.25">
      <c r="A954">
        <v>953</v>
      </c>
      <c r="B954">
        <f>DallasSim!I954</f>
        <v>39.938650249718911</v>
      </c>
      <c r="C954">
        <f>BostonSim!I954</f>
        <v>30.646932941268624</v>
      </c>
      <c r="D954" t="str">
        <f t="shared" si="14"/>
        <v>W</v>
      </c>
    </row>
    <row r="955" spans="1:4" x14ac:dyDescent="0.25">
      <c r="A955">
        <v>954</v>
      </c>
      <c r="B955">
        <f>DallasSim!I955</f>
        <v>32.006061308102289</v>
      </c>
      <c r="C955">
        <f>BostonSim!I955</f>
        <v>25.617820709833975</v>
      </c>
      <c r="D955" t="str">
        <f t="shared" si="14"/>
        <v>W</v>
      </c>
    </row>
    <row r="956" spans="1:4" x14ac:dyDescent="0.25">
      <c r="A956">
        <v>955</v>
      </c>
      <c r="B956">
        <f>DallasSim!I956</f>
        <v>49.33818101658202</v>
      </c>
      <c r="C956">
        <f>BostonSim!I956</f>
        <v>28.70726434755629</v>
      </c>
      <c r="D956" t="str">
        <f t="shared" si="14"/>
        <v>W</v>
      </c>
    </row>
    <row r="957" spans="1:4" x14ac:dyDescent="0.25">
      <c r="A957">
        <v>956</v>
      </c>
      <c r="B957">
        <f>DallasSim!I957</f>
        <v>44.012787577896447</v>
      </c>
      <c r="C957">
        <f>BostonSim!I957</f>
        <v>30.70407975269643</v>
      </c>
      <c r="D957" t="str">
        <f t="shared" si="14"/>
        <v>W</v>
      </c>
    </row>
    <row r="958" spans="1:4" x14ac:dyDescent="0.25">
      <c r="A958">
        <v>957</v>
      </c>
      <c r="B958">
        <f>DallasSim!I958</f>
        <v>48.831660867391378</v>
      </c>
      <c r="C958">
        <f>BostonSim!I958</f>
        <v>29.681357379998122</v>
      </c>
      <c r="D958" t="str">
        <f t="shared" si="14"/>
        <v>W</v>
      </c>
    </row>
    <row r="959" spans="1:4" x14ac:dyDescent="0.25">
      <c r="A959">
        <v>958</v>
      </c>
      <c r="B959">
        <f>DallasSim!I959</f>
        <v>48.18278033757835</v>
      </c>
      <c r="C959">
        <f>BostonSim!I959</f>
        <v>30.11839539029825</v>
      </c>
      <c r="D959" t="str">
        <f t="shared" si="14"/>
        <v>W</v>
      </c>
    </row>
    <row r="960" spans="1:4" x14ac:dyDescent="0.25">
      <c r="A960">
        <v>959</v>
      </c>
      <c r="B960">
        <f>DallasSim!I960</f>
        <v>49.446012527229428</v>
      </c>
      <c r="C960">
        <f>BostonSim!I960</f>
        <v>29.188731751276997</v>
      </c>
      <c r="D960" t="str">
        <f t="shared" si="14"/>
        <v>W</v>
      </c>
    </row>
    <row r="961" spans="1:4" x14ac:dyDescent="0.25">
      <c r="A961">
        <v>960</v>
      </c>
      <c r="B961">
        <f>DallasSim!I961</f>
        <v>42.58673081769038</v>
      </c>
      <c r="C961">
        <f>BostonSim!I961</f>
        <v>27.096160970071164</v>
      </c>
      <c r="D961" t="str">
        <f t="shared" si="14"/>
        <v>W</v>
      </c>
    </row>
    <row r="962" spans="1:4" x14ac:dyDescent="0.25">
      <c r="A962">
        <v>961</v>
      </c>
      <c r="B962">
        <f>DallasSim!I962</f>
        <v>24.618558794194541</v>
      </c>
      <c r="C962">
        <f>BostonSim!I962</f>
        <v>31.056774592242228</v>
      </c>
      <c r="D962" t="str">
        <f t="shared" si="14"/>
        <v>L</v>
      </c>
    </row>
    <row r="963" spans="1:4" x14ac:dyDescent="0.25">
      <c r="A963">
        <v>962</v>
      </c>
      <c r="B963">
        <f>DallasSim!I963</f>
        <v>43.082318190283274</v>
      </c>
      <c r="C963">
        <f>BostonSim!I963</f>
        <v>30.84129404545498</v>
      </c>
      <c r="D963" t="str">
        <f t="shared" ref="D963:D1001" si="15">IF(B963&gt;C963,"W",IF(B963&lt;C963,"L","T"))</f>
        <v>W</v>
      </c>
    </row>
    <row r="964" spans="1:4" x14ac:dyDescent="0.25">
      <c r="A964">
        <v>963</v>
      </c>
      <c r="B964">
        <f>DallasSim!I964</f>
        <v>41.817983293094279</v>
      </c>
      <c r="C964">
        <f>BostonSim!I964</f>
        <v>19.889422091727884</v>
      </c>
      <c r="D964" t="str">
        <f t="shared" si="15"/>
        <v>W</v>
      </c>
    </row>
    <row r="965" spans="1:4" x14ac:dyDescent="0.25">
      <c r="A965">
        <v>964</v>
      </c>
      <c r="B965">
        <f>DallasSim!I965</f>
        <v>43.446193965176938</v>
      </c>
      <c r="C965">
        <f>BostonSim!I965</f>
        <v>30.536354577835787</v>
      </c>
      <c r="D965" t="str">
        <f t="shared" si="15"/>
        <v>W</v>
      </c>
    </row>
    <row r="966" spans="1:4" x14ac:dyDescent="0.25">
      <c r="A966">
        <v>965</v>
      </c>
      <c r="B966">
        <f>DallasSim!I966</f>
        <v>44.838783571590049</v>
      </c>
      <c r="C966">
        <f>BostonSim!I966</f>
        <v>26.709748842746809</v>
      </c>
      <c r="D966" t="str">
        <f t="shared" si="15"/>
        <v>W</v>
      </c>
    </row>
    <row r="967" spans="1:4" x14ac:dyDescent="0.25">
      <c r="A967">
        <v>966</v>
      </c>
      <c r="B967">
        <f>DallasSim!I967</f>
        <v>49.815212208956311</v>
      </c>
      <c r="C967">
        <f>BostonSim!I967</f>
        <v>24.947790394664946</v>
      </c>
      <c r="D967" t="str">
        <f t="shared" si="15"/>
        <v>W</v>
      </c>
    </row>
    <row r="968" spans="1:4" x14ac:dyDescent="0.25">
      <c r="A968">
        <v>967</v>
      </c>
      <c r="B968">
        <f>DallasSim!I968</f>
        <v>47.909843514910364</v>
      </c>
      <c r="C968">
        <f>BostonSim!I968</f>
        <v>29.052428540140454</v>
      </c>
      <c r="D968" t="str">
        <f t="shared" si="15"/>
        <v>W</v>
      </c>
    </row>
    <row r="969" spans="1:4" x14ac:dyDescent="0.25">
      <c r="A969">
        <v>968</v>
      </c>
      <c r="B969">
        <f>DallasSim!I969</f>
        <v>49.278213877206703</v>
      </c>
      <c r="C969">
        <f>BostonSim!I969</f>
        <v>23.68285306199256</v>
      </c>
      <c r="D969" t="str">
        <f t="shared" si="15"/>
        <v>W</v>
      </c>
    </row>
    <row r="970" spans="1:4" x14ac:dyDescent="0.25">
      <c r="A970">
        <v>969</v>
      </c>
      <c r="B970">
        <f>DallasSim!I970</f>
        <v>49.528201299841228</v>
      </c>
      <c r="C970">
        <f>BostonSim!I970</f>
        <v>17.589500675452275</v>
      </c>
      <c r="D970" t="str">
        <f t="shared" si="15"/>
        <v>W</v>
      </c>
    </row>
    <row r="971" spans="1:4" x14ac:dyDescent="0.25">
      <c r="A971">
        <v>970</v>
      </c>
      <c r="B971">
        <f>DallasSim!I971</f>
        <v>48.827315009622637</v>
      </c>
      <c r="C971">
        <f>BostonSim!I971</f>
        <v>29.16867759086945</v>
      </c>
      <c r="D971" t="str">
        <f t="shared" si="15"/>
        <v>W</v>
      </c>
    </row>
    <row r="972" spans="1:4" x14ac:dyDescent="0.25">
      <c r="A972">
        <v>971</v>
      </c>
      <c r="B972">
        <f>DallasSim!I972</f>
        <v>31.879099342929454</v>
      </c>
      <c r="C972">
        <f>BostonSim!I972</f>
        <v>27.156776630266208</v>
      </c>
      <c r="D972" t="str">
        <f t="shared" si="15"/>
        <v>W</v>
      </c>
    </row>
    <row r="973" spans="1:4" x14ac:dyDescent="0.25">
      <c r="A973">
        <v>972</v>
      </c>
      <c r="B973">
        <f>DallasSim!I973</f>
        <v>49.449631800395707</v>
      </c>
      <c r="C973">
        <f>BostonSim!I973</f>
        <v>15.537317116093153</v>
      </c>
      <c r="D973" t="str">
        <f t="shared" si="15"/>
        <v>W</v>
      </c>
    </row>
    <row r="974" spans="1:4" x14ac:dyDescent="0.25">
      <c r="A974">
        <v>973</v>
      </c>
      <c r="B974">
        <f>DallasSim!I974</f>
        <v>48.623014022319587</v>
      </c>
      <c r="C974">
        <f>BostonSim!I974</f>
        <v>23.569451731068042</v>
      </c>
      <c r="D974" t="str">
        <f t="shared" si="15"/>
        <v>W</v>
      </c>
    </row>
    <row r="975" spans="1:4" x14ac:dyDescent="0.25">
      <c r="A975">
        <v>974</v>
      </c>
      <c r="B975">
        <f>DallasSim!I975</f>
        <v>42.391182667753675</v>
      </c>
      <c r="C975">
        <f>BostonSim!I975</f>
        <v>25.845078489906996</v>
      </c>
      <c r="D975" t="str">
        <f t="shared" si="15"/>
        <v>W</v>
      </c>
    </row>
    <row r="976" spans="1:4" x14ac:dyDescent="0.25">
      <c r="A976">
        <v>975</v>
      </c>
      <c r="B976">
        <f>DallasSim!I976</f>
        <v>39.733575450787384</v>
      </c>
      <c r="C976">
        <f>BostonSim!I976</f>
        <v>26.498168523973519</v>
      </c>
      <c r="D976" t="str">
        <f t="shared" si="15"/>
        <v>W</v>
      </c>
    </row>
    <row r="977" spans="1:4" x14ac:dyDescent="0.25">
      <c r="A977">
        <v>976</v>
      </c>
      <c r="B977">
        <f>DallasSim!I977</f>
        <v>40.140493024274562</v>
      </c>
      <c r="C977">
        <f>BostonSim!I977</f>
        <v>30.000851925795892</v>
      </c>
      <c r="D977" t="str">
        <f t="shared" si="15"/>
        <v>W</v>
      </c>
    </row>
    <row r="978" spans="1:4" x14ac:dyDescent="0.25">
      <c r="A978">
        <v>977</v>
      </c>
      <c r="B978">
        <f>DallasSim!I978</f>
        <v>48.761664781378926</v>
      </c>
      <c r="C978">
        <f>BostonSim!I978</f>
        <v>31.542451725030368</v>
      </c>
      <c r="D978" t="str">
        <f t="shared" si="15"/>
        <v>W</v>
      </c>
    </row>
    <row r="979" spans="1:4" x14ac:dyDescent="0.25">
      <c r="A979">
        <v>978</v>
      </c>
      <c r="B979">
        <f>DallasSim!I979</f>
        <v>38.21180701088889</v>
      </c>
      <c r="C979">
        <f>BostonSim!I979</f>
        <v>29.230825358038039</v>
      </c>
      <c r="D979" t="str">
        <f t="shared" si="15"/>
        <v>W</v>
      </c>
    </row>
    <row r="980" spans="1:4" x14ac:dyDescent="0.25">
      <c r="A980">
        <v>979</v>
      </c>
      <c r="B980">
        <f>DallasSim!I980</f>
        <v>33.179940809890908</v>
      </c>
      <c r="C980">
        <f>BostonSim!I980</f>
        <v>21.606066199920654</v>
      </c>
      <c r="D980" t="str">
        <f t="shared" si="15"/>
        <v>W</v>
      </c>
    </row>
    <row r="981" spans="1:4" x14ac:dyDescent="0.25">
      <c r="A981">
        <v>980</v>
      </c>
      <c r="B981">
        <f>DallasSim!I981</f>
        <v>29.856421160171269</v>
      </c>
      <c r="C981">
        <f>BostonSim!I981</f>
        <v>29.814898042154027</v>
      </c>
      <c r="D981" t="str">
        <f t="shared" si="15"/>
        <v>W</v>
      </c>
    </row>
    <row r="982" spans="1:4" x14ac:dyDescent="0.25">
      <c r="A982">
        <v>981</v>
      </c>
      <c r="B982">
        <f>DallasSim!I982</f>
        <v>49.270666061490445</v>
      </c>
      <c r="C982">
        <f>BostonSim!I982</f>
        <v>25.491422937619831</v>
      </c>
      <c r="D982" t="str">
        <f t="shared" si="15"/>
        <v>W</v>
      </c>
    </row>
    <row r="983" spans="1:4" x14ac:dyDescent="0.25">
      <c r="A983">
        <v>982</v>
      </c>
      <c r="B983">
        <f>DallasSim!I983</f>
        <v>40.591392943663259</v>
      </c>
      <c r="C983">
        <f>BostonSim!I983</f>
        <v>30.856651481660059</v>
      </c>
      <c r="D983" t="str">
        <f t="shared" si="15"/>
        <v>W</v>
      </c>
    </row>
    <row r="984" spans="1:4" x14ac:dyDescent="0.25">
      <c r="A984">
        <v>983</v>
      </c>
      <c r="B984">
        <f>DallasSim!I984</f>
        <v>39.506025104718468</v>
      </c>
      <c r="C984">
        <f>BostonSim!I984</f>
        <v>22.212815956229242</v>
      </c>
      <c r="D984" t="str">
        <f t="shared" si="15"/>
        <v>W</v>
      </c>
    </row>
    <row r="985" spans="1:4" x14ac:dyDescent="0.25">
      <c r="A985">
        <v>984</v>
      </c>
      <c r="B985">
        <f>DallasSim!I985</f>
        <v>49.44942637030406</v>
      </c>
      <c r="C985">
        <f>BostonSim!I985</f>
        <v>30.374383316027327</v>
      </c>
      <c r="D985" t="str">
        <f t="shared" si="15"/>
        <v>W</v>
      </c>
    </row>
    <row r="986" spans="1:4" x14ac:dyDescent="0.25">
      <c r="A986">
        <v>985</v>
      </c>
      <c r="B986">
        <f>DallasSim!I986</f>
        <v>43.713241576911081</v>
      </c>
      <c r="C986">
        <f>BostonSim!I986</f>
        <v>30.710013992153936</v>
      </c>
      <c r="D986" t="str">
        <f t="shared" si="15"/>
        <v>W</v>
      </c>
    </row>
    <row r="987" spans="1:4" x14ac:dyDescent="0.25">
      <c r="A987">
        <v>986</v>
      </c>
      <c r="B987">
        <f>DallasSim!I987</f>
        <v>49.409910617015619</v>
      </c>
      <c r="C987">
        <f>BostonSim!I987</f>
        <v>29.727994365079059</v>
      </c>
      <c r="D987" t="str">
        <f t="shared" si="15"/>
        <v>W</v>
      </c>
    </row>
    <row r="988" spans="1:4" x14ac:dyDescent="0.25">
      <c r="A988">
        <v>987</v>
      </c>
      <c r="B988">
        <f>DallasSim!I988</f>
        <v>45.557540601153555</v>
      </c>
      <c r="C988">
        <f>BostonSim!I988</f>
        <v>15.099968019448806</v>
      </c>
      <c r="D988" t="str">
        <f t="shared" si="15"/>
        <v>W</v>
      </c>
    </row>
    <row r="989" spans="1:4" x14ac:dyDescent="0.25">
      <c r="A989">
        <v>988</v>
      </c>
      <c r="B989">
        <f>DallasSim!I989</f>
        <v>48.917256206762424</v>
      </c>
      <c r="C989">
        <f>BostonSim!I989</f>
        <v>27.498084460298148</v>
      </c>
      <c r="D989" t="str">
        <f t="shared" si="15"/>
        <v>W</v>
      </c>
    </row>
    <row r="990" spans="1:4" x14ac:dyDescent="0.25">
      <c r="A990">
        <v>989</v>
      </c>
      <c r="B990">
        <f>DallasSim!I990</f>
        <v>42.630342341555739</v>
      </c>
      <c r="C990">
        <f>BostonSim!I990</f>
        <v>30.602306427336323</v>
      </c>
      <c r="D990" t="str">
        <f t="shared" si="15"/>
        <v>W</v>
      </c>
    </row>
    <row r="991" spans="1:4" x14ac:dyDescent="0.25">
      <c r="A991">
        <v>990</v>
      </c>
      <c r="B991">
        <f>DallasSim!I991</f>
        <v>48.172720258183467</v>
      </c>
      <c r="C991">
        <f>BostonSim!I991</f>
        <v>27.04247583590756</v>
      </c>
      <c r="D991" t="str">
        <f t="shared" si="15"/>
        <v>W</v>
      </c>
    </row>
    <row r="992" spans="1:4" x14ac:dyDescent="0.25">
      <c r="A992">
        <v>991</v>
      </c>
      <c r="B992">
        <f>DallasSim!I992</f>
        <v>43.220124252031809</v>
      </c>
      <c r="C992">
        <f>BostonSim!I992</f>
        <v>28.523875630166298</v>
      </c>
      <c r="D992" t="str">
        <f t="shared" si="15"/>
        <v>W</v>
      </c>
    </row>
    <row r="993" spans="1:4" x14ac:dyDescent="0.25">
      <c r="A993">
        <v>992</v>
      </c>
      <c r="B993">
        <f>DallasSim!I993</f>
        <v>47.802870501231332</v>
      </c>
      <c r="C993">
        <f>BostonSim!I993</f>
        <v>30.930136042323056</v>
      </c>
      <c r="D993" t="str">
        <f t="shared" si="15"/>
        <v>W</v>
      </c>
    </row>
    <row r="994" spans="1:4" x14ac:dyDescent="0.25">
      <c r="A994">
        <v>993</v>
      </c>
      <c r="B994">
        <f>DallasSim!I994</f>
        <v>38.930438810205899</v>
      </c>
      <c r="C994">
        <f>BostonSim!I994</f>
        <v>30.10833991765837</v>
      </c>
      <c r="D994" t="str">
        <f t="shared" si="15"/>
        <v>W</v>
      </c>
    </row>
    <row r="995" spans="1:4" x14ac:dyDescent="0.25">
      <c r="A995">
        <v>994</v>
      </c>
      <c r="B995">
        <f>DallasSim!I995</f>
        <v>33.897043689969699</v>
      </c>
      <c r="C995">
        <f>BostonSim!I995</f>
        <v>28.523130460148227</v>
      </c>
      <c r="D995" t="str">
        <f t="shared" si="15"/>
        <v>W</v>
      </c>
    </row>
    <row r="996" spans="1:4" x14ac:dyDescent="0.25">
      <c r="A996">
        <v>995</v>
      </c>
      <c r="B996">
        <f>DallasSim!I996</f>
        <v>41.469779433252924</v>
      </c>
      <c r="C996">
        <f>BostonSim!I996</f>
        <v>26.251489076012298</v>
      </c>
      <c r="D996" t="str">
        <f t="shared" si="15"/>
        <v>W</v>
      </c>
    </row>
    <row r="997" spans="1:4" x14ac:dyDescent="0.25">
      <c r="A997">
        <v>996</v>
      </c>
      <c r="B997">
        <f>DallasSim!I997</f>
        <v>44.961573928698641</v>
      </c>
      <c r="C997">
        <f>BostonSim!I997</f>
        <v>31.858730671398984</v>
      </c>
      <c r="D997" t="str">
        <f t="shared" si="15"/>
        <v>W</v>
      </c>
    </row>
    <row r="998" spans="1:4" x14ac:dyDescent="0.25">
      <c r="A998">
        <v>997</v>
      </c>
      <c r="B998">
        <f>DallasSim!I998</f>
        <v>45.363005526532469</v>
      </c>
      <c r="C998">
        <f>BostonSim!I998</f>
        <v>28.274050947763762</v>
      </c>
      <c r="D998" t="str">
        <f t="shared" si="15"/>
        <v>W</v>
      </c>
    </row>
    <row r="999" spans="1:4" x14ac:dyDescent="0.25">
      <c r="A999">
        <v>998</v>
      </c>
      <c r="B999">
        <f>DallasSim!I999</f>
        <v>41.246690349133246</v>
      </c>
      <c r="C999">
        <f>BostonSim!I999</f>
        <v>30.134134546595245</v>
      </c>
      <c r="D999" t="str">
        <f t="shared" si="15"/>
        <v>W</v>
      </c>
    </row>
    <row r="1000" spans="1:4" x14ac:dyDescent="0.25">
      <c r="A1000">
        <v>999</v>
      </c>
      <c r="B1000">
        <f>DallasSim!I1000</f>
        <v>33.452157631120478</v>
      </c>
      <c r="C1000">
        <f>BostonSim!I1000</f>
        <v>31.280046259205836</v>
      </c>
      <c r="D1000" t="str">
        <f t="shared" si="15"/>
        <v>W</v>
      </c>
    </row>
    <row r="1001" spans="1:4" x14ac:dyDescent="0.25">
      <c r="A1001">
        <v>1000</v>
      </c>
      <c r="B1001">
        <f>DallasSim!I1001</f>
        <v>44.190002078772238</v>
      </c>
      <c r="C1001">
        <f>BostonSim!I1001</f>
        <v>27.842702525844857</v>
      </c>
      <c r="D1001" t="str">
        <f t="shared" si="15"/>
        <v>W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5295C9-9EDD-492F-94F9-CFF2233B95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Data_Sheet</vt:lpstr>
      <vt:lpstr>LP_RosterModel</vt:lpstr>
      <vt:lpstr>IP_RosterModel</vt:lpstr>
      <vt:lpstr>H_GreedyScore</vt:lpstr>
      <vt:lpstr>H_GreedyValue</vt:lpstr>
      <vt:lpstr>Simulation</vt:lpstr>
      <vt:lpstr>The Dream Team</vt:lpstr>
      <vt:lpstr>BOSTON</vt:lpstr>
      <vt:lpstr>DallasSim</vt:lpstr>
      <vt:lpstr>BostonSim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KWAN HAO TING</dc:creator>
  <cp:lastModifiedBy>bryan kwan</cp:lastModifiedBy>
  <dcterms:created xsi:type="dcterms:W3CDTF">2025-11-17T00:01:04Z</dcterms:created>
  <dcterms:modified xsi:type="dcterms:W3CDTF">2026-02-13T19:35:16Z</dcterms:modified>
</cp:coreProperties>
</file>